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omments1.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769947b26bc487d" /></Relationships>
</file>

<file path=xl/workbook.xml><?xml version="1.0" encoding="utf-8"?>
<x:workbook xmlns:x="http://schemas.openxmlformats.org/spreadsheetml/2006/main">
  <x:sheets>
    <x:sheet xmlns:r="http://schemas.openxmlformats.org/officeDocument/2006/relationships" name="Dashboard" sheetId="1" r:id="R77695bbd653b4d49"/>
    <x:sheet xmlns:r="http://schemas.openxmlformats.org/officeDocument/2006/relationships" name="Players" sheetId="2" r:id="R826ea42014da44da"/>
    <x:sheet xmlns:r="http://schemas.openxmlformats.org/officeDocument/2006/relationships" name="Combatants" sheetId="3" r:id="Rf945f66f086d41f9"/>
    <x:sheet xmlns:r="http://schemas.openxmlformats.org/officeDocument/2006/relationships" name="Encounter Builder" sheetId="4" r:id="R6ff9125bfd16475a"/>
    <x:sheet xmlns:r="http://schemas.openxmlformats.org/officeDocument/2006/relationships" name="Initiative" sheetId="5" r:id="R7f668b8b1f794711"/>
    <x:sheet xmlns:r="http://schemas.openxmlformats.org/officeDocument/2006/relationships" name="Turn Log" sheetId="6" r:id="Rf6fe523fea034aa8"/>
    <x:sheet xmlns:r="http://schemas.openxmlformats.org/officeDocument/2006/relationships" name="Action Targets" sheetId="7" r:id="R08eeff8099854120"/>
    <x:sheet xmlns:r="http://schemas.openxmlformats.org/officeDocument/2006/relationships" name="Conditions" sheetId="8" r:id="Rc4bd64b094034166"/>
    <x:sheet xmlns:r="http://schemas.openxmlformats.org/officeDocument/2006/relationships" name="Spell Tracker" sheetId="9" r:id="R59fcae45404346c1"/>
    <x:sheet xmlns:r="http://schemas.openxmlformats.org/officeDocument/2006/relationships" name="Legendary &amp; Lair" sheetId="10" r:id="Rdbec37a5381a4c5b"/>
    <x:sheet xmlns:r="http://schemas.openxmlformats.org/officeDocument/2006/relationships" name="Stat Blocks" sheetId="11" r:id="Rd901c8a2ee474a93"/>
    <x:sheet xmlns:r="http://schemas.openxmlformats.org/officeDocument/2006/relationships" name="Summary Export" sheetId="12" r:id="R9ca6a88cdad24afd"/>
    <x:sheet xmlns:r="http://schemas.openxmlformats.org/officeDocument/2006/relationships" name="Player Build Helper" sheetId="13" r:id="R5b30702ad0ed4f99"/>
    <x:sheet xmlns:r="http://schemas.openxmlformats.org/officeDocument/2006/relationships" name="Automation Guide" sheetId="14" r:id="R86059aac140e48d3"/>
    <x:sheet xmlns:r="http://schemas.openxmlformats.org/officeDocument/2006/relationships" name="Lists" sheetId="15" r:id="R7589dd89551d4a53"/>
    <x:sheet xmlns:r="http://schemas.openxmlformats.org/officeDocument/2006/relationships" name="Monster Database" sheetId="16" r:id="Rd10ea91e1f324c74"/>
    <x:sheet xmlns:r="http://schemas.openxmlformats.org/officeDocument/2006/relationships" name="Player DB - Summary" sheetId="17" r:id="R3b1db95853cb42b6"/>
    <x:sheet xmlns:r="http://schemas.openxmlformats.org/officeDocument/2006/relationships" name="Player DB - Species" sheetId="18" r:id="R68e747959a974ab4"/>
    <x:sheet xmlns:r="http://schemas.openxmlformats.org/officeDocument/2006/relationships" name="Player DB - Backgrounds" sheetId="19" r:id="R76bf31c1a62f48d1"/>
    <x:sheet xmlns:r="http://schemas.openxmlformats.org/officeDocument/2006/relationships" name="Player DB - Classes" sheetId="20" r:id="R828be55b849c447f"/>
    <x:sheet xmlns:r="http://schemas.openxmlformats.org/officeDocument/2006/relationships" name="Player DB - Subclasses" sheetId="21" r:id="R8de8965abeda4fea"/>
    <x:sheet xmlns:r="http://schemas.openxmlformats.org/officeDocument/2006/relationships" name="Player DB - Feats" sheetId="22" r:id="R75daca233b944302"/>
    <x:sheet xmlns:r="http://schemas.openxmlformats.org/officeDocument/2006/relationships" name="Player DB - Abilities" sheetId="23" r:id="R2811d107048443de"/>
    <x:sheet xmlns:r="http://schemas.openxmlformats.org/officeDocument/2006/relationships" name="Player DB - Spells" sheetId="24" r:id="Rbf05ee1205114b59"/>
    <x:sheet xmlns:r="http://schemas.openxmlformats.org/officeDocument/2006/relationships" name="Player DB - Spell Lists" sheetId="25" r:id="Re8e957da3e91493c"/>
    <x:sheet xmlns:r="http://schemas.openxmlformats.org/officeDocument/2006/relationships" name="VBA Code" sheetId="26" r:id="R5632a0d2af42452f"/>
    <x:sheet xmlns:r="http://schemas.openxmlformats.org/officeDocument/2006/relationships" name="Armor Database" sheetId="27" r:id="R9431853af4b3456e"/>
    <x:sheet xmlns:r="http://schemas.openxmlformats.org/officeDocument/2006/relationships" name="Weapons Database" sheetId="28" r:id="R616246e2893d4b43"/>
    <x:sheet xmlns:r="http://schemas.openxmlformats.org/officeDocument/2006/relationships" name="Equipment Database" sheetId="29" r:id="Rce5b8ecfa9ef4594"/>
    <x:sheet xmlns:r="http://schemas.openxmlformats.org/officeDocument/2006/relationships" name="Magic Item Database" sheetId="30" r:id="R4df8b8efe2374475"/>
    <x:sheet xmlns:r="http://schemas.openxmlformats.org/officeDocument/2006/relationships" name="Equipment Guide" sheetId="31" r:id="Rd1169920bfbd48c2"/>
  </x:sheets>
</x:workbook>
</file>

<file path=xl/comments1.xml><?xml version="1.0" encoding="utf-8"?>
<x:comments xmlns:x="http://schemas.openxmlformats.org/spreadsheetml/2006/main">
  <x:authors>
    <x:author>OpenAI</x:author>
  </x:authors>
  <x:commentList>
    <x:comment ref="A1" authorId="0">
      <x:text>
        <x:r>
          <x:t>This work includes material from the System Reference Document 5.2.1 by Wizards of the Coast LLC, available at https://www.dndbeyond.com/srd. The SRD 5.2.1 is licensed under CC-BY-4.0.</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9">
    <x:font>
      <x:sz val="11"/>
      <x:color theme="1"/>
      <x:name val="Calibri"/>
    </x:font>
    <x:font>
      <x:b/>
      <x:sz val="18"/>
      <x:color rgb="FF1F4E78"/>
    </x:font>
    <x:font>
      <x:b/>
      <x:sz val="14"/>
      <x:color rgb="FF1F4E78"/>
    </x:font>
    <x:font>
      <x:b/>
      <x:color rgb="FFFFFFFF"/>
    </x:font>
    <x:font>
      <x:b/>
      <x:sz val="16"/>
      <x:color rgb="FF1F4E78"/>
    </x:font>
    <x:font>
      <x:b/>
    </x:font>
    <x:font>
      <x:b/>
      <x:color rgb="FF1F4E78"/>
    </x:font>
    <x:font>
      <x:b/>
      <x:sz val="18"/>
      <x:color rgb="FFFFFFFF"/>
    </x:font>
    <x:font>
      <x:b/>
      <x:sz val="18"/>
      <x:color rgb="FFFFFFFF"/>
      <x:name val="Calibri"/>
    </x:font>
    <x:font>
      <x:i/>
      <x:sz val="11"/>
      <x:color rgb="FF111827"/>
      <x:name val="Calibri"/>
    </x:font>
    <x:font>
      <x:b/>
      <x:sz val="14"/>
      <x:color rgb="FFFFFFFF"/>
    </x:font>
    <x:font>
      <x:b/>
      <x:sz val="11"/>
      <x:color rgb="FFFFFFFF"/>
      <x:name val="Calibri"/>
    </x:font>
    <x:font>
      <x:b/>
      <x:sz val="14"/>
      <x:color rgb="FFFFFFFF"/>
      <x:name val="Calibri"/>
    </x:font>
    <x:font>
      <x:b/>
      <x:sz val="11"/>
      <x:color rgb="FF000000"/>
      <x:name val="Calibri"/>
    </x:font>
    <x:font>
      <x:i/>
      <x:sz val="11"/>
      <x:color rgb="FF555555"/>
      <x:name val="Calibri"/>
    </x:font>
    <x:font>
      <x:b/>
      <x:sz val="11"/>
      <x:color theme="1"/>
      <x:name val="Calibri"/>
    </x:font>
    <x:font>
      <x:b/>
      <x:sz val="13"/>
      <x:color rgb="FFFFFFFF"/>
      <x:name val="Calibri"/>
    </x:font>
    <x:font>
      <x:b/>
      <x:sz val="16"/>
      <x:color rgb="FFFFFFFF"/>
    </x:font>
    <x:font>
      <x:b/>
      <x:sz val="16"/>
      <x:color rgb="FFFFFFFF"/>
      <x:name val="Calibri"/>
    </x:font>
  </x:fonts>
  <x:fills count="12">
    <x:fill>
      <x:patternFill patternType="none"/>
    </x:fill>
    <x:fill>
      <x:patternFill patternType="gray125"/>
    </x:fill>
    <x:fill>
      <x:patternFill patternType="solid">
        <x:fgColor rgb="FF1F4E78"/>
      </x:patternFill>
    </x:fill>
    <x:fill>
      <x:patternFill patternType="solid">
        <x:fgColor rgb="FF1F2937"/>
      </x:patternFill>
    </x:fill>
    <x:fill>
      <x:patternFill patternType="solid">
        <x:fgColor rgb="FFE5E7EB"/>
      </x:patternFill>
    </x:fill>
    <x:fill>
      <x:patternFill patternType="solid">
        <x:fgColor rgb="FF374151"/>
      </x:patternFill>
    </x:fill>
    <x:fill>
      <x:patternFill patternType="solid">
        <x:fgColor rgb="FF4B5563"/>
      </x:patternFill>
    </x:fill>
    <x:fill>
      <x:patternFill patternType="solid">
        <x:fgColor rgb="FF1F4E79"/>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5B9BD5"/>
      </x:patternFill>
    </x:fill>
  </x:fills>
  <x:borders count="21">
    <x:border/>
    <x:border>
      <x:left style="thin">
        <x:color rgb="FFD9E2F3"/>
      </x:left>
      <x:right style="thin">
        <x:color rgb="FFD9E2F3"/>
      </x:right>
      <x:top style="thin">
        <x:color rgb="FFD9E2F3"/>
      </x:top>
      <x:bottom style="thin">
        <x:color rgb="FFD9E2F3"/>
      </x:bottom>
    </x:border>
    <x:border/>
    <x:border/>
    <x:border/>
    <x:border/>
    <x:border/>
    <x:border/>
    <x:border/>
    <x:border/>
    <x:border/>
    <x:border/>
    <x:border/>
    <x:border/>
    <x:border/>
    <x:border/>
    <x:border/>
    <x:border/>
    <x:border/>
    <x:border/>
    <x:border/>
  </x:borders>
  <x:cellStyleXfs count="1">
    <x:xf numFmtId="0" fontId="0" fillId="0" borderId="0"/>
  </x:cellStyleXfs>
  <x:cellXfs count="154">
    <x:xf numFmtId="0" fontId="0" fillId="0" borderId="0" xfId="0"/>
    <x:xf numFmtId="0" fontId="1" fillId="0" borderId="0" xfId="0" applyAlignment="1">
      <x:alignment vertical="top" wrapText="1"/>
    </x:xf>
    <x:xf numFmtId="0" fontId="0" fillId="0" borderId="1" xfId="0" applyAlignment="1">
      <x:alignment vertical="top" wrapText="1"/>
    </x:xf>
    <x:xf numFmtId="0" fontId="2" fillId="0" borderId="1" xfId="0" applyAlignment="1">
      <x:alignment vertical="top" wrapText="1"/>
    </x:xf>
    <x:xf numFmtId="0" fontId="3" fillId="2" borderId="1" xfId="0" applyAlignment="1">
      <x:alignment vertical="top" wrapText="1"/>
    </x:xf>
    <x:xf numFmtId="0" fontId="2" fillId="0" borderId="0" xfId="0" applyAlignment="1">
      <x:alignment vertical="top" wrapText="1"/>
    </x:xf>
    <x:xf numFmtId="0" fontId="4" fillId="0" borderId="0" xfId="0" applyAlignment="1">
      <x:alignment vertical="top" wrapText="1"/>
    </x:xf>
    <x:xf numFmtId="0" fontId="5" fillId="0" borderId="1" xfId="0" applyAlignment="1">
      <x:alignment vertical="top" wrapText="1"/>
    </x:xf>
    <x:xf numFmtId="0" fontId="6" fillId="0" borderId="1" xfId="0" applyAlignment="1">
      <x:alignment vertical="top" wrapText="1"/>
    </x:xf>
    <x:xf numFmtId="0" fontId="0" fillId="0" borderId="0" xfId="0" applyAlignment="1">
      <x:alignment vertical="top" wrapText="1"/>
    </x:xf>
    <x:xf numFmtId="0" fontId="0" fillId="0" borderId="2" xfId="0" applyNumberFormat="1" applyFont="1" applyFill="1" applyBorder="1"/>
    <x:xf numFmtId="0" fontId="1" fillId="0" borderId="2"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0" fillId="3" borderId="0" xfId="0" applyNumberFormat="1" applyFont="1" applyFill="1" applyBorder="1"/>
    <x:xf numFmtId="0" fontId="7" fillId="3" borderId="0" xfId="0" applyNumberFormat="1" applyFont="1" applyFill="1" applyBorder="1" applyAlignment="1">
      <x:alignment vertical="top" wrapText="1"/>
    </x:xf>
    <x:xf numFmtId="0" fontId="8" fillId="3" borderId="0" xfId="0" applyNumberFormat="1" applyFont="1" applyFill="1" applyBorder="1"/>
    <x:xf numFmtId="0" fontId="7" fillId="3" borderId="0" xfId="0" applyNumberFormat="1" applyFont="1" applyFill="1" applyBorder="1" applyAlignment="1">
      <x:alignment horizontal="left" vertical="top" wrapText="1"/>
    </x:xf>
    <x:xf numFmtId="0" fontId="8" fillId="3" borderId="0" xfId="0" applyNumberFormat="1" applyFont="1" applyFill="1" applyBorder="1" applyAlignment="1">
      <x:alignment horizontal="left"/>
    </x:xf>
    <x:xf numFmtId="0" fontId="1" fillId="3" borderId="2" xfId="0" applyNumberFormat="1" applyFont="1" applyFill="1" applyBorder="1" applyAlignment="1">
      <x:alignment vertical="top" wrapText="1"/>
    </x:xf>
    <x:xf numFmtId="0" fontId="0" fillId="3" borderId="2" xfId="0" applyNumberFormat="1" applyFont="1" applyFill="1" applyBorder="1"/>
    <x:xf numFmtId="0" fontId="7" fillId="3" borderId="2" xfId="0" applyNumberFormat="1" applyFont="1" applyFill="1" applyBorder="1" applyAlignment="1">
      <x:alignment vertical="top" wrapText="1"/>
    </x:xf>
    <x:xf numFmtId="0" fontId="8" fillId="3" borderId="2" xfId="0" applyNumberFormat="1" applyFont="1" applyFill="1" applyBorder="1"/>
    <x:xf numFmtId="0" fontId="7" fillId="3" borderId="2" xfId="0" applyNumberFormat="1" applyFont="1" applyFill="1" applyBorder="1" applyAlignment="1">
      <x:alignment horizontal="left" vertical="top" wrapText="1"/>
    </x:xf>
    <x:xf numFmtId="0" fontId="8" fillId="3" borderId="2" xfId="0" applyNumberFormat="1" applyFont="1" applyFill="1" applyBorder="1" applyAlignment="1">
      <x:alignment horizontal="left"/>
    </x:xf>
    <x:xf numFmtId="0" fontId="0" fillId="4" borderId="1" xfId="0" applyNumberFormat="1" applyFont="1" applyFill="1" applyBorder="1" applyAlignment="1">
      <x:alignment vertical="top" wrapText="1"/>
    </x:xf>
    <x:xf numFmtId="0" fontId="0" fillId="4" borderId="0" xfId="0" applyNumberFormat="1" applyFont="1" applyFill="1" applyBorder="1"/>
    <x:xf numFmtId="0" fontId="9" fillId="4" borderId="1" xfId="0" applyNumberFormat="1" applyFont="1" applyFill="1" applyBorder="1" applyAlignment="1">
      <x:alignment vertical="top" wrapText="1"/>
    </x:xf>
    <x:xf numFmtId="0" fontId="9" fillId="4" borderId="0" xfId="0" applyNumberFormat="1" applyFont="1" applyFill="1" applyBorder="1"/>
    <x:xf numFmtId="0" fontId="9" fillId="4" borderId="0" xfId="0" applyNumberFormat="1" applyFont="1" applyFill="1" applyBorder="1" applyAlignment="1">
      <x:alignment wrapText="1"/>
    </x:xf>
    <x:xf numFmtId="0" fontId="0" fillId="4" borderId="2" xfId="0" applyNumberFormat="1" applyFont="1" applyFill="1" applyBorder="1"/>
    <x:xf numFmtId="0" fontId="9" fillId="4" borderId="2" xfId="0" applyNumberFormat="1" applyFont="1" applyFill="1" applyBorder="1"/>
    <x:xf numFmtId="0" fontId="9" fillId="4" borderId="2" xfId="0" applyNumberFormat="1" applyFont="1" applyFill="1" applyBorder="1" applyAlignment="1">
      <x:alignment wrapText="1"/>
    </x:xf>
    <x:xf numFmtId="0" fontId="2" fillId="5" borderId="1" xfId="0" applyNumberFormat="1" applyFont="1" applyFill="1" applyBorder="1" applyAlignment="1">
      <x:alignment vertical="top" wrapText="1"/>
    </x:xf>
    <x:xf numFmtId="0" fontId="0" fillId="5" borderId="0" xfId="0" applyNumberFormat="1" applyFont="1" applyFill="1" applyBorder="1"/>
    <x:xf numFmtId="0" fontId="10" fillId="5" borderId="1" xfId="0" applyNumberFormat="1" applyFont="1" applyFill="1" applyBorder="1" applyAlignment="1">
      <x:alignment vertical="top" wrapText="1"/>
    </x:xf>
    <x:xf numFmtId="0" fontId="11" fillId="5" borderId="0" xfId="0" applyNumberFormat="1" applyFont="1" applyFill="1" applyBorder="1"/>
    <x:xf numFmtId="0" fontId="10" fillId="5" borderId="1" xfId="0" applyNumberFormat="1" applyFont="1" applyFill="1" applyBorder="1" applyAlignment="1">
      <x:alignment horizontal="left" vertical="top" wrapText="1"/>
    </x:xf>
    <x:xf numFmtId="0" fontId="11" fillId="5" borderId="0" xfId="0" applyNumberFormat="1" applyFont="1" applyFill="1" applyBorder="1" applyAlignment="1">
      <x:alignment horizontal="left"/>
    </x:xf>
    <x:xf numFmtId="0" fontId="0" fillId="5" borderId="2" xfId="0" applyNumberFormat="1" applyFont="1" applyFill="1" applyBorder="1"/>
    <x:xf numFmtId="0" fontId="11" fillId="5" borderId="2" xfId="0" applyNumberFormat="1" applyFont="1" applyFill="1" applyBorder="1"/>
    <x:xf numFmtId="0" fontId="11" fillId="5" borderId="2" xfId="0" applyNumberFormat="1" applyFont="1" applyFill="1" applyBorder="1" applyAlignment="1">
      <x:alignment horizontal="left"/>
    </x:xf>
    <x:xf numFmtId="0" fontId="0" fillId="5" borderId="1" xfId="0" applyNumberFormat="1" applyFont="1" applyFill="1" applyBorder="1" applyAlignment="1">
      <x:alignment vertical="top" wrapText="1"/>
    </x:xf>
    <x:xf numFmtId="0" fontId="11" fillId="5" borderId="1" xfId="0" applyNumberFormat="1" applyFont="1" applyFill="1" applyBorder="1" applyAlignment="1">
      <x:alignment vertical="top" wrapText="1"/>
    </x:xf>
    <x:xf numFmtId="0" fontId="11" fillId="5" borderId="1" xfId="0" applyNumberFormat="1" applyFont="1" applyFill="1" applyBorder="1" applyAlignment="1">
      <x:alignment horizontal="left" vertical="top" wrapText="1"/>
    </x:xf>
    <x:xf numFmtId="0" fontId="3" fillId="6" borderId="1" xfId="0" applyNumberFormat="1" applyFont="1" applyFill="1" applyBorder="1" applyAlignment="1">
      <x:alignment vertical="top" wrapText="1"/>
    </x:xf>
    <x:xf numFmtId="0" fontId="0" fillId="6" borderId="0" xfId="0" applyNumberFormat="1" applyFont="1" applyFill="1" applyBorder="1"/>
    <x:xf numFmtId="0" fontId="11" fillId="6" borderId="0" xfId="0" applyNumberFormat="1" applyFont="1" applyFill="1" applyBorder="1"/>
    <x:xf numFmtId="0" fontId="11" fillId="6" borderId="0" xfId="0" applyNumberFormat="1" applyFont="1" applyFill="1" applyBorder="1" applyAlignment="1">
      <x:alignment wrapText="1"/>
    </x:xf>
    <x:xf numFmtId="0" fontId="3" fillId="6" borderId="1" xfId="0" applyNumberFormat="1" applyFont="1" applyFill="1" applyBorder="1" applyAlignment="1">
      <x:alignment horizontal="center" vertical="top" wrapText="1"/>
    </x:xf>
    <x:xf numFmtId="0" fontId="11" fillId="6" borderId="0" xfId="0" applyNumberFormat="1" applyFont="1" applyFill="1" applyBorder="1" applyAlignment="1">
      <x:alignment horizontal="center" wrapText="1"/>
    </x:xf>
    <x:xf numFmtId="0" fontId="0" fillId="6" borderId="2" xfId="0" applyNumberFormat="1" applyFont="1" applyFill="1" applyBorder="1"/>
    <x:xf numFmtId="0" fontId="11" fillId="6" borderId="2" xfId="0" applyNumberFormat="1" applyFont="1" applyFill="1" applyBorder="1"/>
    <x:xf numFmtId="0" fontId="11" fillId="6" borderId="2" xfId="0" applyNumberFormat="1" applyFont="1" applyFill="1" applyBorder="1" applyAlignment="1">
      <x:alignment wrapText="1"/>
    </x:xf>
    <x:xf numFmtId="0" fontId="11" fillId="6" borderId="2" xfId="0" applyNumberFormat="1" applyFont="1" applyFill="1" applyBorder="1" applyAlignment="1">
      <x:alignment horizontal="center" wrapText="1"/>
    </x:xf>
    <x:xf numFmtId="0" fontId="8" fillId="3" borderId="0" xfId="0" applyNumberFormat="1" applyFont="1" applyFill="1" applyBorder="1" applyAlignment="1">
      <x:alignment horizontal="left" wrapText="1"/>
    </x:xf>
    <x:xf numFmtId="0" fontId="0" fillId="0" borderId="0" xfId="0" applyNumberFormat="1" applyFont="1" applyFill="1" applyBorder="1" applyAlignment="1">
      <x:alignment wrapText="1"/>
    </x:xf>
    <x:xf numFmtId="0" fontId="11" fillId="5" borderId="0" xfId="0" applyNumberFormat="1" applyFont="1" applyFill="1" applyBorder="1" applyAlignment="1">
      <x:alignment horizontal="left" wrapText="1"/>
    </x:xf>
    <x:xf numFmtId="0" fontId="8" fillId="3" borderId="2" xfId="0" applyNumberFormat="1" applyFont="1" applyFill="1" applyBorder="1" applyAlignment="1">
      <x:alignment horizontal="left" wrapText="1"/>
    </x:xf>
    <x:xf numFmtId="0" fontId="0" fillId="0" borderId="2" xfId="0" applyNumberFormat="1" applyFont="1" applyFill="1" applyBorder="1" applyAlignment="1">
      <x:alignment wrapText="1"/>
    </x:xf>
    <x:xf numFmtId="0" fontId="11" fillId="5" borderId="2" xfId="0" applyNumberFormat="1" applyFont="1" applyFill="1" applyBorder="1" applyAlignment="1">
      <x:alignment horizontal="left" wrapText="1"/>
    </x:xf>
    <x:xf numFmtId="0" fontId="8" fillId="3" borderId="0" xfId="0" applyNumberFormat="1" applyFont="1" applyFill="1" applyBorder="1" applyAlignment="1">
      <x:alignment horizontal="left" vertical="top" wrapText="1"/>
    </x:xf>
    <x:xf numFmtId="0" fontId="9" fillId="4"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1" fillId="5" borderId="0" xfId="0" applyNumberFormat="1" applyFont="1" applyFill="1" applyBorder="1" applyAlignment="1">
      <x:alignment horizontal="left" vertical="top" wrapText="1"/>
    </x:xf>
    <x:xf numFmtId="0" fontId="11" fillId="6" borderId="0" xfId="0" applyNumberFormat="1" applyFont="1" applyFill="1" applyBorder="1" applyAlignment="1">
      <x:alignment horizontal="center" vertical="top" wrapText="1"/>
    </x:xf>
    <x:xf numFmtId="0" fontId="8" fillId="3" borderId="2" xfId="0" applyNumberFormat="1" applyFont="1" applyFill="1" applyBorder="1" applyAlignment="1">
      <x:alignment horizontal="left" vertical="top" wrapText="1"/>
    </x:xf>
    <x:xf numFmtId="0" fontId="9" fillId="4" borderId="2" xfId="0" applyNumberFormat="1" applyFont="1" applyFill="1" applyBorder="1" applyAlignment="1">
      <x:alignment vertical="top" wrapText="1"/>
    </x:xf>
    <x:xf numFmtId="0" fontId="11" fillId="5" borderId="2" xfId="0" applyNumberFormat="1" applyFont="1" applyFill="1" applyBorder="1" applyAlignment="1">
      <x:alignment horizontal="left" vertical="top" wrapText="1"/>
    </x:xf>
    <x:xf numFmtId="0" fontId="11" fillId="6" borderId="2" xfId="0" applyNumberFormat="1" applyFont="1" applyFill="1" applyBorder="1" applyAlignment="1">
      <x:alignment horizontal="center" vertical="top" wrapText="1"/>
    </x:xf>
    <x:xf numFmtId="0" fontId="7" fillId="3" borderId="3" xfId="0" applyNumberFormat="1" applyFont="1" applyFill="1" applyBorder="1" applyAlignment="1">
      <x:alignment horizontal="left" vertical="top" wrapText="1"/>
    </x:xf>
    <x:xf numFmtId="0" fontId="8" fillId="3" borderId="4" xfId="0" applyNumberFormat="1" applyFont="1" applyFill="1" applyBorder="1" applyAlignment="1">
      <x:alignment horizontal="left" vertical="top" wrapText="1"/>
    </x:xf>
    <x:xf numFmtId="0" fontId="8" fillId="3" borderId="5" xfId="0" applyNumberFormat="1" applyFont="1" applyFill="1" applyBorder="1" applyAlignment="1">
      <x:alignment horizontal="left" vertical="top" wrapText="1"/>
    </x:xf>
    <x:xf numFmtId="0" fontId="9" fillId="4" borderId="6" xfId="0" applyNumberFormat="1" applyFont="1" applyFill="1" applyBorder="1" applyAlignment="1">
      <x:alignment vertical="top" wrapText="1"/>
    </x:xf>
    <x:xf numFmtId="0" fontId="9" fillId="4" borderId="7" xfId="0" applyNumberFormat="1" applyFont="1" applyFill="1" applyBorder="1" applyAlignment="1">
      <x:alignment vertical="top" wrapText="1"/>
    </x:xf>
    <x:xf numFmtId="0" fontId="9" fillId="4" borderId="8"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10" fillId="5" borderId="6" xfId="0" applyNumberFormat="1" applyFont="1" applyFill="1" applyBorder="1" applyAlignment="1">
      <x:alignment horizontal="left" vertical="top" wrapText="1"/>
    </x:xf>
    <x:xf numFmtId="0" fontId="11" fillId="5" borderId="7" xfId="0" applyNumberFormat="1" applyFont="1" applyFill="1" applyBorder="1" applyAlignment="1">
      <x:alignment horizontal="left" vertical="top" wrapText="1"/>
    </x:xf>
    <x:xf numFmtId="0" fontId="10" fillId="5" borderId="8" xfId="0" applyNumberFormat="1" applyFont="1" applyFill="1" applyBorder="1" applyAlignment="1">
      <x:alignment horizontal="left" vertical="top" wrapText="1"/>
    </x:xf>
    <x:xf numFmtId="0" fontId="3" fillId="6" borderId="6" xfId="0" applyNumberFormat="1" applyFont="1" applyFill="1" applyBorder="1" applyAlignment="1">
      <x:alignment horizontal="center" vertical="top" wrapText="1"/>
    </x:xf>
    <x:xf numFmtId="0" fontId="3" fillId="6" borderId="7" xfId="0" applyNumberFormat="1" applyFont="1" applyFill="1" applyBorder="1" applyAlignment="1">
      <x:alignment horizontal="center" vertical="top" wrapText="1"/>
    </x:xf>
    <x:xf numFmtId="0" fontId="11" fillId="6" borderId="7" xfId="0" applyNumberFormat="1" applyFont="1" applyFill="1" applyBorder="1" applyAlignment="1">
      <x:alignment horizontal="center" vertical="top" wrapText="1"/>
    </x:xf>
    <x:xf numFmtId="0" fontId="3" fillId="6" borderId="8" xfId="0" applyNumberFormat="1" applyFont="1" applyFill="1" applyBorder="1" applyAlignment="1">
      <x:alignment horizontal="center" vertical="top" wrapText="1"/>
    </x:xf>
    <x:xf numFmtId="0" fontId="2" fillId="0" borderId="6" xfId="0" applyNumberFormat="1" applyFont="1" applyFill="1" applyBorder="1" applyAlignment="1">
      <x:alignment vertical="top" wrapText="1"/>
    </x:xf>
    <x:xf numFmtId="0" fontId="3" fillId="2" borderId="6" xfId="0" applyNumberFormat="1" applyFont="1" applyFill="1" applyBorder="1" applyAlignment="1">
      <x:alignment vertical="top" wrapText="1"/>
    </x:xf>
    <x:xf numFmtId="0" fontId="3" fillId="2" borderId="7" xfId="0" applyNumberFormat="1" applyFont="1" applyFill="1" applyBorder="1" applyAlignment="1">
      <x:alignment vertical="top" wrapText="1"/>
    </x:xf>
    <x:xf numFmtId="0" fontId="11" fillId="5" borderId="6" xfId="0" applyNumberFormat="1" applyFont="1" applyFill="1" applyBorder="1" applyAlignment="1">
      <x:alignment horizontal="left" vertical="top" wrapText="1"/>
    </x:xf>
    <x:xf numFmtId="0" fontId="11" fillId="5" borderId="8" xfId="0" applyNumberFormat="1" applyFont="1" applyFill="1" applyBorder="1" applyAlignment="1">
      <x:alignment horizontal="lef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0" fillId="5" borderId="0" xfId="0" applyNumberFormat="1" applyFont="1" applyFill="1" applyBorder="1" applyAlignment="1">
      <x:alignment horizontal="left" vertical="top" wrapText="1"/>
    </x:xf>
    <x:xf numFmtId="0" fontId="3" fillId="6" borderId="0" xfId="0" applyNumberFormat="1" applyFont="1" applyFill="1" applyBorder="1" applyAlignment="1">
      <x:alignment horizontal="center" vertical="top" wrapText="1"/>
    </x:xf>
    <x:xf numFmtId="0" fontId="3" fillId="2" borderId="0" xfId="0" applyNumberFormat="1" applyFont="1" applyFill="1" applyBorder="1" applyAlignment="1">
      <x:alignment vertical="top" wrapText="1"/>
    </x:xf>
    <x:xf numFmtId="0" fontId="8" fillId="3" borderId="3" xfId="0" applyNumberFormat="1" applyFont="1" applyFill="1" applyBorder="1" applyAlignment="1">
      <x:alignment horizontal="left" vertical="top" wrapText="1"/>
    </x:xf>
    <x:xf numFmtId="0" fontId="10" fillId="5" borderId="3" xfId="0" applyNumberFormat="1" applyFont="1" applyFill="1" applyBorder="1" applyAlignment="1">
      <x:alignment horizontal="left" vertical="top" wrapText="1"/>
    </x:xf>
    <x:xf numFmtId="0" fontId="11" fillId="5" borderId="3" xfId="0" applyNumberFormat="1" applyFont="1" applyFill="1" applyBorder="1" applyAlignment="1">
      <x:alignment horizontal="left" vertical="top" wrapText="1"/>
    </x:xf>
    <x:xf numFmtId="0" fontId="3" fillId="6" borderId="3" xfId="0" applyNumberFormat="1" applyFont="1" applyFill="1" applyBorder="1" applyAlignment="1">
      <x:alignment horizontal="center" vertical="top" wrapText="1"/>
    </x:xf>
    <x:xf numFmtId="0" fontId="11" fillId="6" borderId="3" xfId="0" applyNumberFormat="1" applyFont="1" applyFill="1" applyBorder="1" applyAlignment="1">
      <x:alignment horizontal="center" vertical="top" wrapText="1"/>
    </x:xf>
    <x:xf numFmtId="0" fontId="0" fillId="7" borderId="0" xfId="0" applyNumberFormat="1" applyFont="1" applyFill="1" applyBorder="1"/>
    <x:xf numFmtId="0" fontId="12" fillId="7" borderId="0" xfId="0" applyNumberFormat="1" applyFont="1" applyFill="1" applyBorder="1"/>
    <x:xf numFmtId="0" fontId="12" fillId="7" borderId="0" xfId="0" applyNumberFormat="1" applyFont="1" applyFill="1" applyBorder="1" applyAlignment="1">
      <x:alignment horizontal="left"/>
    </x:xf>
    <x:xf numFmtId="0" fontId="12" fillId="7" borderId="0" xfId="0" applyNumberFormat="1" applyFont="1" applyFill="1" applyBorder="1" applyAlignment="1">
      <x:alignment horizontal="left" vertical="center"/>
    </x:xf>
    <x:xf numFmtId="0" fontId="0" fillId="8" borderId="0" xfId="0" applyNumberFormat="1" applyFont="1" applyFill="1" applyBorder="1"/>
    <x:xf numFmtId="0" fontId="13" fillId="8" borderId="0" xfId="0" applyNumberFormat="1" applyFont="1" applyFill="1" applyBorder="1"/>
    <x:xf numFmtId="0" fontId="13" fillId="8" borderId="0" xfId="0" applyNumberFormat="1" applyFont="1" applyFill="1" applyBorder="1" applyAlignment="1">
      <x:alignment wrapText="1"/>
    </x:xf>
    <x:xf numFmtId="0" fontId="13" fillId="8" borderId="0" xfId="0" applyNumberFormat="1" applyFont="1" applyFill="1" applyBorder="1" applyAlignment="1">
      <x:alignment horizontal="center" wrapText="1"/>
    </x:xf>
    <x:xf numFmtId="0" fontId="13" fillId="8" borderId="0" xfId="0" applyNumberFormat="1" applyFont="1" applyFill="1" applyBorder="1" applyAlignment="1">
      <x:alignment horizontal="center" vertical="center" wrapText="1"/>
    </x:xf>
    <x:xf numFmtId="0" fontId="13" fillId="8" borderId="12" xfId="0" applyNumberFormat="1" applyFont="1" applyFill="1" applyBorder="1" applyAlignment="1">
      <x:alignment horizontal="center" vertical="center" wrapText="1"/>
    </x:xf>
    <x:xf numFmtId="0" fontId="13" fillId="8" borderId="13" xfId="0" applyNumberFormat="1" applyFont="1" applyFill="1" applyBorder="1" applyAlignment="1">
      <x:alignment horizontal="center" vertical="center" wrapText="1"/>
    </x:xf>
    <x:xf numFmtId="0" fontId="13" fillId="8" borderId="14" xfId="0" applyNumberFormat="1" applyFont="1" applyFill="1" applyBorder="1" applyAlignment="1">
      <x:alignment horizontal="center" vertical="center"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14" fillId="0" borderId="0" xfId="0" applyNumberFormat="1" applyFont="1" applyFill="1" applyBorder="1"/>
    <x:xf numFmtId="0" fontId="15" fillId="8" borderId="0" xfId="0" applyNumberFormat="1" applyFont="1" applyFill="1" applyBorder="1"/>
    <x:xf numFmtId="0" fontId="15" fillId="8" borderId="0" xfId="0" applyNumberFormat="1" applyFont="1" applyFill="1" applyBorder="1" applyAlignment="1">
      <x:alignment wrapText="1"/>
    </x:xf>
    <x:xf numFmtId="0" fontId="15" fillId="8" borderId="0" xfId="0" applyNumberFormat="1" applyFont="1" applyFill="1" applyBorder="1" applyAlignment="1">
      <x:alignment horizontal="center" wrapText="1"/>
    </x:xf>
    <x:xf numFmtId="0" fontId="15" fillId="8" borderId="0" xfId="0" applyNumberFormat="1" applyFont="1" applyFill="1" applyBorder="1" applyAlignment="1">
      <x:alignment horizontal="center" vertical="center" wrapText="1"/>
    </x:xf>
    <x:xf numFmtId="200" fontId="0" fillId="0" borderId="0" xfId="0" applyNumberFormat="1" applyFont="1" applyFill="1" applyBorder="1"/>
    <x:xf numFmtId="200" fontId="0" fillId="0"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16" fillId="7" borderId="0" xfId="0" applyNumberFormat="1" applyFont="1" applyFill="1" applyBorder="1" applyAlignment="1">
      <x:alignment vertical="top" wrapText="1"/>
    </x:xf>
    <x:xf numFmtId="0" fontId="16" fillId="7" borderId="0" xfId="0" applyNumberFormat="1" applyFont="1" applyFill="1" applyBorder="1" applyAlignment="1">
      <x:alignment horizontal="left" vertical="top" wrapText="1"/>
    </x:xf>
    <x:xf numFmtId="0" fontId="0" fillId="8" borderId="0" xfId="0" applyNumberFormat="1" applyFont="1" applyFill="1" applyBorder="1" applyAlignment="1">
      <x:alignment vertical="top" wrapText="1"/>
    </x:xf>
    <x:xf numFmtId="0" fontId="15" fillId="8" borderId="0" xfId="0" applyNumberFormat="1" applyFont="1" applyFill="1" applyBorder="1" applyAlignment="1">
      <x:alignment vertical="top" wrapText="1"/>
    </x:xf>
    <x:xf numFmtId="0" fontId="15" fillId="8" borderId="0" xfId="0" applyNumberFormat="1" applyFont="1" applyFill="1" applyBorder="1" applyAlignment="1">
      <x:alignment horizontal="center" vertical="top" wrapText="1"/>
    </x:xf>
    <x:xf numFmtId="0" fontId="12" fillId="7" borderId="0" xfId="0" applyNumberFormat="1" applyFont="1" applyFill="1" applyBorder="1" applyAlignment="1">
      <x:alignment wrapText="1"/>
    </x:xf>
    <x:xf numFmtId="0" fontId="17" fillId="3" borderId="0" xfId="0" applyNumberFormat="1" applyFont="1" applyFill="1" applyBorder="1" applyAlignment="1">
      <x:alignment horizontal="left" vertical="top" wrapText="1"/>
    </x:xf>
    <x:xf numFmtId="0" fontId="18" fillId="3" borderId="0" xfId="0" applyNumberFormat="1" applyFont="1" applyFill="1" applyBorder="1" applyAlignment="1">
      <x:alignment horizontal="left" vertical="top" wrapText="1"/>
    </x:xf>
    <x:xf numFmtId="0" fontId="17" fillId="9" borderId="0" xfId="0" applyNumberFormat="1" applyFont="1" applyFill="1" applyBorder="1" applyAlignment="1">
      <x:alignment horizontal="left" vertical="top" wrapText="1"/>
    </x:xf>
    <x:xf numFmtId="0" fontId="18" fillId="9" borderId="0" xfId="0" applyNumberFormat="1" applyFont="1" applyFill="1" applyBorder="1" applyAlignment="1">
      <x:alignment horizontal="left" vertical="top" wrapText="1"/>
    </x:xf>
    <x:xf numFmtId="0" fontId="9" fillId="10" borderId="0" xfId="0" applyNumberFormat="1" applyFont="1" applyFill="1" applyBorder="1" applyAlignment="1">
      <x:alignment vertical="top" wrapText="1"/>
    </x:xf>
    <x:xf numFmtId="0" fontId="11" fillId="8" borderId="0" xfId="0" applyNumberFormat="1" applyFont="1" applyFill="1" applyBorder="1" applyAlignment="1">
      <x:alignment horizontal="center" vertical="top" wrapText="1"/>
    </x:xf>
    <x:xf numFmtId="0" fontId="11" fillId="9" borderId="0" xfId="0" applyNumberFormat="1" applyFont="1" applyFill="1" applyBorder="1" applyAlignment="1">
      <x:alignment horizontal="center" vertical="top" wrapText="1"/>
    </x:xf>
    <x:xf numFmtId="0" fontId="11" fillId="0" borderId="0" xfId="0" applyNumberFormat="1" applyFont="1" applyFill="1" applyBorder="1" applyAlignment="1">
      <x:alignment vertical="top" wrapText="1"/>
    </x:xf>
    <x:xf numFmtId="0" fontId="11" fillId="11" borderId="0" xfId="0" applyNumberFormat="1" applyFont="1" applyFill="1" applyBorder="1" applyAlignment="1">
      <x:alignment vertical="top" wrapText="1"/>
    </x:xf>
  </x:cellXfs>
  <x:cellStyles count="1">
    <x:cellStyle name="Normal" xfId="0"/>
  </x:cellStyles>
  <x:dxfs count="2">
    <x:dxf>
      <x:fill>
        <x:patternFill>
          <x:bgColor rgb="00F4CCCC"/>
        </x:patternFill>
      </x:fill>
    </x:dxf>
    <x:dxf>
      <x:fill>
        <x:patternFill>
          <x:bgColor rgb="00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89e9e10609f45d8" /><Relationship Type="http://schemas.openxmlformats.org/officeDocument/2006/relationships/theme" Target="/xl/theme/theme1.xml" Id="R5a3afbb0f1724eda" /><Relationship Type="http://schemas.openxmlformats.org/officeDocument/2006/relationships/sharedStrings" Target="/xl/sharedStrings.xml" Id="R45053a3dd0ce46d8" /><Relationship Type="http://schemas.openxmlformats.org/officeDocument/2006/relationships/worksheet" Target="/xl/worksheets/sheet1.xml" Id="R77695bbd653b4d49" /><Relationship Type="http://schemas.openxmlformats.org/officeDocument/2006/relationships/worksheet" Target="/xl/worksheets/sheet2.xml" Id="R826ea42014da44da" /><Relationship Type="http://schemas.openxmlformats.org/officeDocument/2006/relationships/worksheet" Target="/xl/worksheets/sheet3.xml" Id="Rf945f66f086d41f9" /><Relationship Type="http://schemas.openxmlformats.org/officeDocument/2006/relationships/worksheet" Target="/xl/worksheets/sheet4.xml" Id="R6ff9125bfd16475a" /><Relationship Type="http://schemas.openxmlformats.org/officeDocument/2006/relationships/worksheet" Target="/xl/worksheets/sheet5.xml" Id="R7f668b8b1f794711" /><Relationship Type="http://schemas.openxmlformats.org/officeDocument/2006/relationships/worksheet" Target="/xl/worksheets/sheet6.xml" Id="Rf6fe523fea034aa8" /><Relationship Type="http://schemas.openxmlformats.org/officeDocument/2006/relationships/worksheet" Target="/xl/worksheets/sheet7.xml" Id="R08eeff8099854120" /><Relationship Type="http://schemas.openxmlformats.org/officeDocument/2006/relationships/worksheet" Target="/xl/worksheets/sheet8.xml" Id="Rc4bd64b094034166" /><Relationship Type="http://schemas.openxmlformats.org/officeDocument/2006/relationships/worksheet" Target="/xl/worksheets/sheet9.xml" Id="R59fcae45404346c1" /><Relationship Type="http://schemas.openxmlformats.org/officeDocument/2006/relationships/worksheet" Target="/xl/worksheets/sheet10.xml" Id="Rdbec37a5381a4c5b" /><Relationship Type="http://schemas.openxmlformats.org/officeDocument/2006/relationships/worksheet" Target="/xl/worksheets/sheet11.xml" Id="Rd901c8a2ee474a93" /><Relationship Type="http://schemas.openxmlformats.org/officeDocument/2006/relationships/worksheet" Target="/xl/worksheets/sheet12.xml" Id="R9ca6a88cdad24afd" /><Relationship Type="http://schemas.openxmlformats.org/officeDocument/2006/relationships/worksheet" Target="/xl/worksheets/sheet13.xml" Id="R5b30702ad0ed4f99" /><Relationship Type="http://schemas.openxmlformats.org/officeDocument/2006/relationships/worksheet" Target="/xl/worksheets/sheet14.xml" Id="R86059aac140e48d3" /><Relationship Type="http://schemas.openxmlformats.org/officeDocument/2006/relationships/worksheet" Target="/xl/worksheets/sheet15.xml" Id="R7589dd89551d4a53" /><Relationship Type="http://schemas.openxmlformats.org/officeDocument/2006/relationships/worksheet" Target="/xl/worksheets/sheet16.xml" Id="Rd10ea91e1f324c74" /><Relationship Type="http://schemas.openxmlformats.org/officeDocument/2006/relationships/worksheet" Target="/xl/worksheets/sheet17.xml" Id="R3b1db95853cb42b6" /><Relationship Type="http://schemas.openxmlformats.org/officeDocument/2006/relationships/worksheet" Target="/xl/worksheets/sheet18.xml" Id="R68e747959a974ab4" /><Relationship Type="http://schemas.openxmlformats.org/officeDocument/2006/relationships/worksheet" Target="/xl/worksheets/sheet19.xml" Id="R76bf31c1a62f48d1" /><Relationship Type="http://schemas.openxmlformats.org/officeDocument/2006/relationships/worksheet" Target="/xl/worksheets/sheet20.xml" Id="R828be55b849c447f" /><Relationship Type="http://schemas.openxmlformats.org/officeDocument/2006/relationships/worksheet" Target="/xl/worksheets/sheet21.xml" Id="R8de8965abeda4fea" /><Relationship Type="http://schemas.openxmlformats.org/officeDocument/2006/relationships/worksheet" Target="/xl/worksheets/sheet22.xml" Id="R75daca233b944302" /><Relationship Type="http://schemas.openxmlformats.org/officeDocument/2006/relationships/worksheet" Target="/xl/worksheets/sheet23.xml" Id="R2811d107048443de" /><Relationship Type="http://schemas.openxmlformats.org/officeDocument/2006/relationships/worksheet" Target="/xl/worksheets/sheet24.xml" Id="Rbf05ee1205114b59" /><Relationship Type="http://schemas.openxmlformats.org/officeDocument/2006/relationships/worksheet" Target="/xl/worksheets/sheet25.xml" Id="Re8e957da3e91493c" /><Relationship Type="http://schemas.openxmlformats.org/officeDocument/2006/relationships/worksheet" Target="/xl/worksheets/sheet26.xml" Id="R5632a0d2af42452f" /><Relationship Type="http://schemas.openxmlformats.org/officeDocument/2006/relationships/worksheet" Target="/xl/worksheets/sheet27.xml" Id="R9431853af4b3456e" /><Relationship Type="http://schemas.openxmlformats.org/officeDocument/2006/relationships/worksheet" Target="/xl/worksheets/sheet28.xml" Id="R616246e2893d4b43" /><Relationship Type="http://schemas.openxmlformats.org/officeDocument/2006/relationships/worksheet" Target="/xl/worksheets/sheet29.xml" Id="Rce5b8ecfa9ef4594" /><Relationship Type="http://schemas.openxmlformats.org/officeDocument/2006/relationships/worksheet" Target="/xl/worksheets/sheet30.xml" Id="R4df8b8efe2374475" /><Relationship Type="http://schemas.openxmlformats.org/officeDocument/2006/relationships/worksheet" Target="/xl/worksheets/sheet31.xml" Id="Rd1169920bfbd48c2" /><Relationship Type="http://schemas.microsoft.com/office/2017/10/relationships/person" Target="/xl/persons/person.xml" Id="Ra1c442e5d2bd4786" /></Relationships>
</file>

<file path=xl/persons/person.xml><?xml version="1.0" encoding="utf-8"?>
<xltc:personList xmlns:xltc="http://schemas.microsoft.com/office/spreadsheetml/2018/threadedcomments">
  <xltc:person displayName="OpenAI" id="{91D16D5D-C120-E793-C549-D5C276978BCF}"/>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6.xml.rels>&#65279;<?xml version="1.0" encoding="utf-8"?><Relationships xmlns="http://schemas.openxmlformats.org/package/2006/relationships"><Relationship Type="http://schemas.openxmlformats.org/officeDocument/2006/relationships/comments" Target="/xl/comments1.xml" Id="Re7239a0673cc4074" /><Relationship Type="http://schemas.openxmlformats.org/officeDocument/2006/relationships/vmlDrawing" Target="/xl/drawings/vmldrawing.vml" Id="Rd2d8b656a5dd4c6c" /></Relationships>
</file>

<file path=xl/worksheets/sheet1.xml><?xml version="1.0" encoding="utf-8"?>
<x:worksheet xmlns:x="http://schemas.openxmlformats.org/spreadsheetml/2006/main">
  <x:sheetViews>
    <x:sheetView showGridLines="1" workbookViewId="0"/>
  </x:sheetViews>
  <x:sheetFormatPr baseColWidth="8" defaultRowHeight="15"/>
  <x:cols>
    <x:col min="1" max="1" width="127.12999725341797" hidden="0" customWidth="1"/>
    <x:col min="2" max="2" width="138.6300048828125" hidden="0" customWidth="1"/>
    <x:col min="3" max="3" width="144.6300048828125" hidden="0" customWidth="1"/>
    <x:col min="4" max="4" width="50.5" hidden="0" customWidth="1"/>
    <x:col min="5" max="5" width="4" hidden="0" customWidth="1"/>
    <x:col min="6" max="6" width="4" hidden="0" customWidth="1"/>
    <x:col min="7" max="7" width="4" hidden="0" customWidth="1"/>
    <x:col min="8" max="8" width="4" hidden="0" customWidth="1"/>
  </x:cols>
  <x:sheetData>
    <x:row r="1" ht="28" customHeight="1">
      <x:c r="A1" s="147" t="str">
        <x:v>D&amp;D 5E Combat Tracker — Version 5.0</x:v>
      </x:c>
      <x:c r="B1" s="148"/>
      <x:c r="C1" s="148"/>
      <x:c r="D1" s="148"/>
      <x:c r="E1" s="68" t="str"/>
      <x:c r="F1" s="68" t="str"/>
      <x:c r="G1" s="68" t="str"/>
      <x:c r="H1" s="68" t="str"/>
    </x:row>
    <x:row r="2" ht="34" customHeight="1">
      <x:c r="A2" s="149" t="str">
        <x:v>Status: Cleaned, checked for formula errors, and ready for the next workbook iteration. Use the tabs from left to right. Database and reference tabs are grouped at the end.</x:v>
      </x:c>
      <x:c r="B2" s="149"/>
      <x:c r="C2" s="149"/>
      <x:c r="D2" s="149"/>
      <x:c r="E2" s="69" t="str"/>
      <x:c r="F2" s="69" t="str"/>
      <x:c r="G2" s="69" t="str"/>
      <x:c r="H2" s="69" t="str"/>
    </x:row>
    <x:row r="3" ht="36" customHeight="1">
      <x:c r="A3" s="83"/>
      <x:c r="B3" s="84"/>
      <x:c r="C3" s="84"/>
      <x:c r="D3" s="85"/>
      <x:c r="E3" s="70" t="str"/>
      <x:c r="F3" s="70" t="str"/>
      <x:c r="G3" s="70" t="str"/>
      <x:c r="H3" s="70" t="str"/>
    </x:row>
    <x:row r="4" ht="36" customHeight="1">
      <x:c r="A4" s="109" t="str">
        <x:v>Quick Start: Use the tabs in this order</x:v>
      </x:c>
      <x:c r="B4" s="110"/>
      <x:c r="C4" s="110"/>
      <x:c r="D4" s="109"/>
      <x:c r="E4" s="71" t="str"/>
      <x:c r="F4" s="71" t="str"/>
      <x:c r="G4" s="71" t="str"/>
      <x:c r="H4" s="71" t="str"/>
    </x:row>
    <x:row r="5" ht="36" customHeight="1">
      <x:c r="A5" s="111" t="str">
        <x:v>Step</x:v>
      </x:c>
      <x:c r="B5" s="111" t="str">
        <x:v>Tab</x:v>
      </x:c>
      <x:c r="C5" s="112" t="str">
        <x:v>What you do there</x:v>
      </x:c>
      <x:c r="D5" s="111" t="str">
        <x:v>When to use it</x:v>
      </x:c>
      <x:c r="E5" s="14" t="str"/>
      <x:c r="F5" s="14" t="str"/>
      <x:c r="G5" s="70" t="str"/>
      <x:c r="H5" s="70" t="str"/>
    </x:row>
    <x:row r="6" ht="36" customHeight="1">
      <x:c r="A6" s="83" t="n">
        <x:v>1</x:v>
      </x:c>
      <x:c r="B6" s="84" t="str">
        <x:v>Players</x:v>
      </x:c>
      <x:c r="C6" s="84" t="str">
        <x:v>Enter or review each player character. Include character name, player name, class, level, AC, HP, speed, initiative modifier, ability scores, saves, spell values, and notes.</x:v>
      </x:c>
      <x:c r="D6" s="85" t="str">
        <x:v>Before building an encounter.</x:v>
      </x:c>
      <x:c r="E6" s="12" t="str"/>
      <x:c r="F6" s="12" t="str"/>
      <x:c r="G6" s="70" t="str"/>
      <x:c r="H6" s="70" t="str"/>
    </x:row>
    <x:row r="7" ht="36" customHeight="1">
      <x:c r="A7" s="83" t="n">
        <x:v>2</x:v>
      </x:c>
      <x:c r="B7" s="84" t="str">
        <x:v>Combatants</x:v>
      </x:c>
      <x:c r="C7" s="84" t="str">
        <x:v>Build the active encounter roster. Add every player and monster that will take part in the fight. Choose Player or Monster, then choose the combatant name. Use overrides only for this encounter.</x:v>
      </x:c>
      <x:c r="D7" s="85" t="str">
        <x:v>Before rolling initiative.</x:v>
      </x:c>
      <x:c r="E7" s="12" t="str"/>
      <x:c r="F7" s="12" t="str"/>
      <x:c r="G7" s="70" t="str"/>
      <x:c r="H7" s="70" t="str"/>
    </x:row>
    <x:row r="8" ht="36" customHeight="1">
      <x:c r="A8" s="83" t="n">
        <x:v>3</x:v>
      </x:c>
      <x:c r="B8" s="84" t="str">
        <x:v>Encounter Builder</x:v>
      </x:c>
      <x:c r="C8" s="84" t="str">
        <x:v>Review the encounter list, XP, and difficulty notes. This tab is optional, but useful for checking whether the fight looks too easy, balanced, or too hard.</x:v>
      </x:c>
      <x:c r="D8" s="85" t="str">
        <x:v>Optional before combat starts.</x:v>
      </x:c>
      <x:c r="E8" s="12" t="str"/>
      <x:c r="F8" s="12" t="str"/>
      <x:c r="G8" s="70" t="str"/>
      <x:c r="H8" s="70" t="str"/>
    </x:row>
    <x:row r="9" ht="36" customHeight="1">
      <x:c r="A9" s="83" t="n">
        <x:v>4</x:v>
      </x:c>
      <x:c r="B9" s="84" t="str">
        <x:v>Initiative</x:v>
      </x:c>
      <x:c r="C9" s="84" t="str">
        <x:v>Roll or generate initiative. Initiative is the d20 roll plus the Initiative Modifier. Sort the list from highest total to lowest total.</x:v>
      </x:c>
      <x:c r="D9" s="85" t="str">
        <x:v>At the start of combat.</x:v>
      </x:c>
      <x:c r="E9" s="12" t="str"/>
      <x:c r="F9" s="12" t="str"/>
      <x:c r="G9" s="70" t="str"/>
      <x:c r="H9" s="70" t="str"/>
    </x:row>
    <x:row r="10" ht="36" customHeight="1">
      <x:c r="A10" s="83" t="n">
        <x:v>5</x:v>
      </x:c>
      <x:c r="B10" s="84" t="str">
        <x:v>Turn Log</x:v>
      </x:c>
      <x:c r="C10" s="84" t="str">
        <x:v>Record each combatant’s turn. One row should represent one turn. Include movement, action, bonus action, reaction, target, damage, healing, and notes.</x:v>
      </x:c>
      <x:c r="D10" s="85" t="str">
        <x:v>During every round.</x:v>
      </x:c>
      <x:c r="E10" s="12" t="str"/>
      <x:c r="F10" s="12" t="str"/>
      <x:c r="G10" s="70" t="str"/>
      <x:c r="H10" s="70" t="str"/>
    </x:row>
    <x:row r="11" ht="36" customHeight="1">
      <x:c r="A11" s="83" t="n">
        <x:v>6</x:v>
      </x:c>
      <x:c r="B11" s="84" t="str">
        <x:v>Action Targets</x:v>
      </x:c>
      <x:c r="C11" s="84" t="str">
        <x:v>Use this when one action affects one or more targets. Add one row per affected target. Track each target’s damage, healing, save result, and condition effects here.</x:v>
      </x:c>
      <x:c r="D11" s="85" t="str">
        <x:v>For attacks, spells, breath weapons, multiattack, and group healing.</x:v>
      </x:c>
      <x:c r="E11" s="12" t="str"/>
      <x:c r="F11" s="12" t="str"/>
      <x:c r="G11" s="70" t="str"/>
      <x:c r="H11" s="70" t="str"/>
    </x:row>
    <x:row r="12" ht="36" customHeight="1">
      <x:c r="A12" s="83" t="n">
        <x:v>7</x:v>
      </x:c>
      <x:c r="B12" s="84" t="str">
        <x:v>Conditions</x:v>
      </x:c>
      <x:c r="C12" s="84" t="str">
        <x:v>Track conditions such as Prone, Poisoned, Restrained, Frightened, Invisible, Grappled, and Concentrating. This tab should reflect effects recorded in Action Targets and Turn Log.</x:v>
      </x:c>
      <x:c r="D12" s="85" t="str">
        <x:v>Review during combat.</x:v>
      </x:c>
      <x:c r="E12" s="12" t="str"/>
      <x:c r="F12" s="12" t="str"/>
      <x:c r="G12" s="70" t="str"/>
      <x:c r="H12" s="70" t="str"/>
    </x:row>
    <x:row r="13" ht="36" customHeight="1">
      <x:c r="A13" s="83" t="n">
        <x:v>8</x:v>
      </x:c>
      <x:c r="B13" s="84" t="str">
        <x:v>Spell Tracker</x:v>
      </x:c>
      <x:c r="C13" s="84" t="str">
        <x:v>Track active spells, concentration, spell duration, caster, target, round started, and round ending.</x:v>
      </x:c>
      <x:c r="D13" s="85" t="str">
        <x:v>When spells are active.</x:v>
      </x:c>
      <x:c r="E13" s="12" t="str"/>
      <x:c r="F13" s="12" t="str"/>
      <x:c r="G13" s="70" t="str"/>
      <x:c r="H13" s="70" t="str"/>
    </x:row>
    <x:row r="14" ht="36" customHeight="1">
      <x:c r="A14" s="83" t="n">
        <x:v>9</x:v>
      </x:c>
      <x:c r="B14" s="84" t="str">
        <x:v>Legendary &amp; Lair</x:v>
      </x:c>
      <x:c r="C14" s="84" t="str">
        <x:v>Track legendary actions, legendary resistance, lair actions, recharge abilities, and other special monster resources.</x:v>
      </x:c>
      <x:c r="D14" s="85" t="str">
        <x:v>For boss monsters or lair fights.</x:v>
      </x:c>
      <x:c r="E14" s="12" t="str"/>
      <x:c r="F14" s="12" t="str"/>
      <x:c r="G14" s="70" t="str"/>
      <x:c r="H14" s="70" t="str"/>
    </x:row>
    <x:row r="15" ht="36" customHeight="1">
      <x:c r="A15" s="83" t="n">
        <x:v>10</x:v>
      </x:c>
      <x:c r="B15" s="84" t="str">
        <x:v>Stat Blocks</x:v>
      </x:c>
      <x:c r="C15" s="84" t="str">
        <x:v>Use this as a quick reference for combat-ready player and monster statistics for the current encounter.</x:v>
      </x:c>
      <x:c r="D15" s="85" t="str">
        <x:v>During combat for quick lookup.</x:v>
      </x:c>
      <x:c r="E15" s="12" t="str"/>
      <x:c r="F15" s="12" t="str"/>
      <x:c r="G15" s="70" t="str"/>
      <x:c r="H15" s="70" t="str"/>
    </x:row>
    <x:row r="16" ht="36" customHeight="1">
      <x:c r="A16" s="93" t="n">
        <x:v>11</x:v>
      </x:c>
      <x:c r="B16" s="84" t="str">
        <x:v>Summary Export</x:v>
      </x:c>
      <x:c r="C16" s="84" t="str">
        <x:v>Review the plain-English combat summary. Copy or export it after combat ends.</x:v>
      </x:c>
      <x:c r="D16" s="85" t="str">
        <x:v>After combat ends.</x:v>
      </x:c>
      <x:c r="E16" s="70" t="str"/>
      <x:c r="F16" s="70" t="str"/>
      <x:c r="G16" s="70" t="str"/>
      <x:c r="H16" s="70" t="str"/>
    </x:row>
    <x:row r="17" ht="36" customHeight="1">
      <x:c r="A17" s="94"/>
      <x:c r="B17" s="95"/>
      <x:c r="C17" s="84"/>
      <x:c r="D17" s="85"/>
      <x:c r="E17" s="70" t="str"/>
      <x:c r="F17" s="70" t="str"/>
      <x:c r="G17" s="70" t="str"/>
      <x:c r="H17" s="70" t="str"/>
    </x:row>
    <x:row r="18" ht="36" customHeight="1">
      <x:c r="A18" s="96" t="str">
        <x:v>Basic encounter workflow</x:v>
      </x:c>
      <x:c r="B18" s="87"/>
      <x:c r="C18" s="87"/>
      <x:c r="D18" s="97"/>
      <x:c r="E18" s="71" t="str"/>
      <x:c r="F18" s="71" t="str"/>
      <x:c r="G18" s="71" t="str"/>
      <x:c r="H18" s="71" t="str"/>
    </x:row>
    <x:row r="19" ht="36" customHeight="1">
      <x:c r="A19" s="83" t="str">
        <x:v>1</x:v>
      </x:c>
      <x:c r="B19" s="84" t="str">
        <x:v>Enter or confirm the player characters on the Players tab.</x:v>
      </x:c>
      <x:c r="C19" s="84"/>
      <x:c r="D19" s="85"/>
      <x:c r="E19" s="70" t="str"/>
      <x:c r="F19" s="70" t="str"/>
      <x:c r="G19" s="70" t="str"/>
      <x:c r="H19" s="70" t="str"/>
    </x:row>
    <x:row r="20" ht="36" customHeight="1">
      <x:c r="A20" s="83" t="str">
        <x:v>2</x:v>
      </x:c>
      <x:c r="B20" s="84" t="str">
        <x:v>Go to Combatants and add every creature in the fight.</x:v>
      </x:c>
      <x:c r="C20" s="84"/>
      <x:c r="D20" s="85"/>
      <x:c r="E20" s="70" t="str"/>
      <x:c r="F20" s="70" t="str"/>
      <x:c r="G20" s="70" t="str"/>
      <x:c r="H20" s="70" t="str"/>
    </x:row>
    <x:row r="21" ht="36" customHeight="1">
      <x:c r="A21" s="83" t="str">
        <x:v>3</x:v>
      </x:c>
      <x:c r="B21" s="84" t="str">
        <x:v>Use Encounter Builder if you want to review XP or difficulty.</x:v>
      </x:c>
      <x:c r="C21" s="84"/>
      <x:c r="D21" s="85"/>
      <x:c r="E21" s="70" t="str"/>
      <x:c r="F21" s="70" t="str"/>
      <x:c r="G21" s="70" t="str"/>
      <x:c r="H21" s="70" t="str"/>
    </x:row>
    <x:row r="22" ht="36" customHeight="1">
      <x:c r="A22" s="83" t="str">
        <x:v>4</x:v>
      </x:c>
      <x:c r="B22" s="84" t="str">
        <x:v>Confirm each combatant has AC, Max HP, Current HP, Speed, and Initiative Modifier.</x:v>
      </x:c>
      <x:c r="C22" s="84"/>
      <x:c r="D22" s="85"/>
      <x:c r="E22" s="70" t="str"/>
      <x:c r="F22" s="70" t="str"/>
      <x:c r="G22" s="70" t="str"/>
      <x:c r="H22" s="70" t="str"/>
    </x:row>
    <x:row r="23" ht="36" customHeight="1">
      <x:c r="A23" s="83" t="str">
        <x:v>5</x:v>
      </x:c>
      <x:c r="B23" s="84" t="str">
        <x:v>Go to Initiative and roll or generate initiative.</x:v>
      </x:c>
      <x:c r="C23" s="84"/>
      <x:c r="D23" s="85"/>
      <x:c r="E23" s="70" t="str"/>
      <x:c r="F23" s="70" t="str"/>
      <x:c r="G23" s="70" t="str"/>
      <x:c r="H23" s="70" t="str"/>
    </x:row>
    <x:row r="24" ht="36" customHeight="1">
      <x:c r="A24" s="83" t="str">
        <x:v>6</x:v>
      </x:c>
      <x:c r="B24" s="84" t="str">
        <x:v>Sort Initiative from highest total to lowest total.</x:v>
      </x:c>
      <x:c r="C24" s="84"/>
      <x:c r="D24" s="85"/>
      <x:c r="E24" s="70" t="str"/>
      <x:c r="F24" s="70" t="str"/>
      <x:c r="G24" s="70" t="str"/>
      <x:c r="H24" s="70" t="str"/>
    </x:row>
    <x:row r="25" ht="36" customHeight="1">
      <x:c r="A25" s="83" t="str">
        <x:v>7</x:v>
      </x:c>
      <x:c r="B25" s="84" t="str">
        <x:v>Run the fight using the Turn Log.</x:v>
      </x:c>
      <x:c r="C25" s="84"/>
      <x:c r="D25" s="85"/>
      <x:c r="E25" s="70" t="str"/>
      <x:c r="F25" s="70" t="str"/>
      <x:c r="G25" s="70" t="str"/>
      <x:c r="H25" s="70" t="str"/>
    </x:row>
    <x:row r="26" ht="36" customHeight="1">
      <x:c r="A26" s="83" t="str">
        <x:v>8</x:v>
      </x:c>
      <x:c r="B26" s="84" t="str">
        <x:v>Use Action Targets for all damage, healing, saves, and conditions that apply to specific targets.</x:v>
      </x:c>
      <x:c r="C26" s="84"/>
      <x:c r="D26" s="85"/>
      <x:c r="E26" s="70" t="str"/>
      <x:c r="F26" s="70" t="str"/>
      <x:c r="G26" s="70" t="str"/>
      <x:c r="H26" s="70" t="str"/>
    </x:row>
    <x:row r="27" ht="36" customHeight="1">
      <x:c r="A27" s="83" t="str">
        <x:v>9</x:v>
      </x:c>
      <x:c r="B27" s="84" t="str">
        <x:v>Keep Conditions, Spell Tracker, and Legendary &amp; Lair updated as the fight changes.</x:v>
      </x:c>
      <x:c r="C27" s="84"/>
      <x:c r="D27" s="85"/>
      <x:c r="E27" s="70" t="str"/>
      <x:c r="F27" s="70" t="str"/>
      <x:c r="G27" s="70" t="str"/>
      <x:c r="H27" s="70" t="str"/>
    </x:row>
    <x:row r="28" ht="36" customHeight="1">
      <x:c r="A28" s="83" t="str">
        <x:v>10</x:v>
      </x:c>
      <x:c r="B28" s="84" t="str">
        <x:v>When combat ends, review Summary Export for the final turn-by-turn record.</x:v>
      </x:c>
      <x:c r="C28" s="84"/>
      <x:c r="D28" s="85"/>
      <x:c r="E28" s="70" t="str"/>
      <x:c r="F28" s="70" t="str"/>
      <x:c r="G28" s="70" t="str"/>
      <x:c r="H28" s="70" t="str"/>
    </x:row>
    <x:row r="29" ht="36" customHeight="1">
      <x:c r="A29" s="83"/>
      <x:c r="B29" s="84"/>
      <x:c r="C29" s="84"/>
      <x:c r="D29" s="85"/>
      <x:c r="E29" s="70" t="str"/>
      <x:c r="F29" s="70" t="str"/>
      <x:c r="G29" s="70" t="str"/>
      <x:c r="H29" s="70" t="str"/>
    </x:row>
    <x:row r="30" ht="36" customHeight="1">
      <x:c r="A30" s="83" t="str">
        <x:v>How to enter combatants</x:v>
      </x:c>
      <x:c r="B30" s="84"/>
      <x:c r="C30" s="84"/>
      <x:c r="D30" s="85"/>
      <x:c r="E30" s="70" t="str"/>
      <x:c r="F30" s="70" t="str"/>
      <x:c r="G30" s="70" t="str"/>
      <x:c r="H30" s="70" t="str"/>
    </x:row>
    <x:row r="31" ht="36" customHeight="1">
      <x:c r="A31" s="96" t="str">
        <x:v>Player combatants</x:v>
      </x:c>
      <x:c r="B31" s="87" t="str">
        <x:v>In Combatants, set Combatant Type to Player, then select a character from the Players tab.</x:v>
      </x:c>
      <x:c r="C31" s="87"/>
      <x:c r="D31" s="97"/>
      <x:c r="E31" s="71" t="str"/>
      <x:c r="F31" s="71" t="str"/>
      <x:c r="G31" s="71" t="str"/>
      <x:c r="H31" s="71" t="str"/>
    </x:row>
    <x:row r="32" ht="36" customHeight="1">
      <x:c r="A32" s="83" t="str">
        <x:v>Monster combatants</x:v>
      </x:c>
      <x:c r="B32" s="84" t="str">
        <x:v>In Combatants, set Combatant Type to Monster, then select a monster from the Monster Database.</x:v>
      </x:c>
      <x:c r="C32" s="84"/>
      <x:c r="D32" s="85"/>
      <x:c r="E32" s="70" t="str"/>
      <x:c r="F32" s="70" t="str"/>
      <x:c r="G32" s="70" t="str"/>
      <x:c r="H32" s="70" t="str"/>
    </x:row>
    <x:row r="33" ht="36" customHeight="1">
      <x:c r="A33" s="83" t="str">
        <x:v>Duplicate monsters</x:v>
      </x:c>
      <x:c r="B33" s="84" t="str">
        <x:v>Enter each duplicate monster on its own row. Give each one a clear display name or number if needed, such as Goblin Warrior #1 and Goblin Warrior #2.</x:v>
      </x:c>
      <x:c r="C33" s="84"/>
      <x:c r="D33" s="85"/>
      <x:c r="E33" s="70" t="str"/>
      <x:c r="F33" s="70" t="str"/>
      <x:c r="G33" s="70" t="str"/>
      <x:c r="H33" s="70" t="str"/>
    </x:row>
    <x:row r="34" ht="36" customHeight="1">
      <x:c r="A34" s="83" t="str">
        <x:v>Overrides</x:v>
      </x:c>
      <x:c r="B34" s="84" t="str">
        <x:v>Use override fields only when this encounter needs different values than the database, such as a wounded monster, elite monster, or temporary AC change.</x:v>
      </x:c>
      <x:c r="C34" s="84"/>
      <x:c r="D34" s="85"/>
      <x:c r="E34" s="70" t="str"/>
      <x:c r="F34" s="70" t="str"/>
      <x:c r="G34" s="70" t="str"/>
      <x:c r="H34" s="70" t="str"/>
    </x:row>
    <x:row r="35" ht="36" customHeight="1">
      <x:c r="A35" s="83"/>
      <x:c r="B35" s="84"/>
      <x:c r="C35" s="84"/>
      <x:c r="D35" s="85"/>
      <x:c r="E35" s="70" t="str"/>
      <x:c r="F35" s="70" t="str"/>
      <x:c r="G35" s="70" t="str"/>
      <x:c r="H35" s="70" t="str"/>
    </x:row>
    <x:row r="36" ht="36" customHeight="1">
      <x:c r="A36" s="83" t="str">
        <x:v>How to record turns</x:v>
      </x:c>
      <x:c r="B36" s="84"/>
      <x:c r="C36" s="84"/>
      <x:c r="D36" s="85"/>
      <x:c r="E36" s="70" t="str"/>
      <x:c r="F36" s="70" t="str"/>
      <x:c r="G36" s="70" t="str"/>
      <x:c r="H36" s="70" t="str"/>
    </x:row>
    <x:row r="37" ht="36" customHeight="1">
      <x:c r="A37" s="96" t="str">
        <x:v>Single-target action</x:v>
      </x:c>
      <x:c r="B37" s="87" t="str">
        <x:v>Enter the action on Turn Log and record the target result in Action Targets.</x:v>
      </x:c>
      <x:c r="C37" s="87"/>
      <x:c r="D37" s="97"/>
      <x:c r="E37" s="71" t="str"/>
      <x:c r="F37" s="71" t="str"/>
      <x:c r="G37" s="71" t="str"/>
      <x:c r="H37" s="71" t="str"/>
    </x:row>
    <x:row r="38" ht="36" customHeight="1">
      <x:c r="A38" s="83" t="str">
        <x:v>Multiple-target action</x:v>
      </x:c>
      <x:c r="B38" s="84" t="str">
        <x:v>Enter the main action once on Turn Log. Then enter one row per affected target on Action Targets.</x:v>
      </x:c>
      <x:c r="C38" s="84"/>
      <x:c r="D38" s="85"/>
      <x:c r="E38" s="70" t="str"/>
      <x:c r="F38" s="70" t="str"/>
      <x:c r="G38" s="70" t="str"/>
      <x:c r="H38" s="70" t="str"/>
    </x:row>
    <x:row r="39" ht="36" customHeight="1">
      <x:c r="A39" s="83" t="str">
        <x:v>Conditions</x:v>
      </x:c>
      <x:c r="B39" s="84" t="str">
        <x:v>When an action applies or removes a condition, record the effect on Action Targets so the Conditions tab can show who is affected.</x:v>
      </x:c>
      <x:c r="C39" s="84"/>
      <x:c r="D39" s="85"/>
      <x:c r="E39" s="70" t="str"/>
      <x:c r="F39" s="70" t="str"/>
      <x:c r="G39" s="70" t="str"/>
      <x:c r="H39" s="70" t="str"/>
    </x:row>
    <x:row r="40" ht="36" customHeight="1">
      <x:c r="A40" s="83" t="str">
        <x:v>End of combat</x:v>
      </x:c>
      <x:c r="B40" s="84" t="str">
        <x:v>Review Turn Log, Action Targets, and Conditions. Then use Summary Export to prepare the final combat report.</x:v>
      </x:c>
      <x:c r="C40" s="84"/>
      <x:c r="D40" s="85"/>
      <x:c r="E40" s="70" t="str"/>
      <x:c r="F40" s="70" t="str"/>
      <x:c r="G40" s="70" t="str"/>
      <x:c r="H40" s="70" t="str"/>
    </x:row>
    <x:row r="41" ht="36" customHeight="1">
      <x:c r="A41" s="83"/>
      <x:c r="B41" s="84"/>
      <x:c r="C41" s="84"/>
      <x:c r="D41" s="85"/>
      <x:c r="E41" s="70" t="str"/>
      <x:c r="F41" s="70" t="str"/>
      <x:c r="G41" s="70" t="str"/>
      <x:c r="H41" s="70" t="str"/>
    </x:row>
    <x:row r="42" ht="36" customHeight="1">
      <x:c r="A42" s="83" t="str">
        <x:v>Tab descriptions</x:v>
      </x:c>
      <x:c r="B42" s="84"/>
      <x:c r="C42" s="84"/>
      <x:c r="D42" s="85"/>
      <x:c r="E42" s="70" t="str"/>
      <x:c r="F42" s="70" t="str"/>
      <x:c r="G42" s="70" t="str"/>
      <x:c r="H42" s="70" t="str"/>
    </x:row>
    <x:row r="43" ht="36" customHeight="1">
      <x:c r="A43" s="96" t="str">
        <x:v>Dashboard</x:v>
      </x:c>
      <x:c r="B43" s="87" t="str">
        <x:v>Instructions and control-center notes for the workbook.</x:v>
      </x:c>
      <x:c r="C43" s="87"/>
      <x:c r="D43" s="97"/>
      <x:c r="E43" s="71" t="str"/>
      <x:c r="F43" s="71" t="str"/>
      <x:c r="G43" s="71" t="str"/>
      <x:c r="H43" s="71" t="str"/>
    </x:row>
    <x:row r="44" ht="36" customHeight="1">
      <x:c r="A44" s="83" t="str">
        <x:v>Players</x:v>
      </x:c>
      <x:c r="B44" s="84" t="str">
        <x:v>Master list of player characters and their statistics. Use this before building an encounter.</x:v>
      </x:c>
      <x:c r="C44" s="84"/>
      <x:c r="D44" s="85"/>
      <x:c r="E44" s="70" t="str"/>
      <x:c r="F44" s="70" t="str"/>
      <x:c r="G44" s="70" t="str"/>
      <x:c r="H44" s="70" t="str"/>
    </x:row>
    <x:row r="45" ht="36" customHeight="1">
      <x:c r="A45" s="83" t="str">
        <x:v>Combatants</x:v>
      </x:c>
      <x:c r="B45" s="84" t="str">
        <x:v>The active encounter roster. This is where players and monsters are added to the current fight.</x:v>
      </x:c>
      <x:c r="C45" s="84"/>
      <x:c r="D45" s="85"/>
      <x:c r="E45" s="70" t="str"/>
      <x:c r="F45" s="70" t="str"/>
      <x:c r="G45" s="70" t="str"/>
      <x:c r="H45" s="70" t="str"/>
    </x:row>
    <x:row r="46" ht="36" customHeight="1">
      <x:c r="A46" s="83" t="str">
        <x:v>Encounter Builder</x:v>
      </x:c>
      <x:c r="B46" s="84" t="str">
        <x:v>Optional encounter setup and difficulty review.</x:v>
      </x:c>
      <x:c r="C46" s="84"/>
      <x:c r="D46" s="85"/>
      <x:c r="E46" s="70" t="str"/>
      <x:c r="F46" s="70" t="str"/>
      <x:c r="G46" s="70" t="str"/>
      <x:c r="H46" s="70" t="str"/>
    </x:row>
    <x:row r="47" ht="36" customHeight="1">
      <x:c r="A47" s="83" t="str">
        <x:v>Initiative</x:v>
      </x:c>
      <x:c r="B47" s="84" t="str">
        <x:v>The active turn order for the fight.</x:v>
      </x:c>
      <x:c r="C47" s="84"/>
      <x:c r="D47" s="85"/>
      <x:c r="E47" s="70" t="str"/>
      <x:c r="F47" s="70" t="str"/>
      <x:c r="G47" s="70" t="str"/>
      <x:c r="H47" s="70" t="str"/>
    </x:row>
    <x:row r="48" ht="36" customHeight="1">
      <x:c r="A48" s="83" t="str">
        <x:v>Turn Log</x:v>
      </x:c>
      <x:c r="B48" s="84" t="str">
        <x:v>The round-by-round record of each combatant’s turn.</x:v>
      </x:c>
      <x:c r="C48" s="84"/>
      <x:c r="D48" s="85"/>
      <x:c r="E48" s="70" t="str"/>
      <x:c r="F48" s="70" t="str"/>
      <x:c r="G48" s="70" t="str"/>
      <x:c r="H48" s="70" t="str"/>
    </x:row>
    <x:row r="49" ht="36" customHeight="1">
      <x:c r="A49" s="83" t="str">
        <x:v>Action Targets</x:v>
      </x:c>
      <x:c r="B49" s="84" t="str">
        <x:v>Detailed per-target results for attacks, spells, healing, saves, and conditions.</x:v>
      </x:c>
      <x:c r="C49" s="84"/>
      <x:c r="D49" s="85"/>
      <x:c r="E49" s="70" t="str"/>
      <x:c r="F49" s="70" t="str"/>
      <x:c r="G49" s="70" t="str"/>
      <x:c r="H49" s="70" t="str"/>
    </x:row>
    <x:row r="50" ht="36" customHeight="1">
      <x:c r="A50" s="83" t="str">
        <x:v>Conditions</x:v>
      </x:c>
      <x:c r="B50" s="84" t="str">
        <x:v>Active and removed conditions for combatants.</x:v>
      </x:c>
      <x:c r="C50" s="84"/>
      <x:c r="D50" s="85"/>
      <x:c r="E50" s="70" t="str"/>
      <x:c r="F50" s="70" t="str"/>
      <x:c r="G50" s="70" t="str"/>
      <x:c r="H50" s="70" t="str"/>
    </x:row>
    <x:row r="51" ht="36" customHeight="1">
      <x:c r="A51" s="83" t="str">
        <x:v>Spell Tracker</x:v>
      </x:c>
      <x:c r="B51" s="84" t="str">
        <x:v>Active spells, concentration, and durations.</x:v>
      </x:c>
      <x:c r="C51" s="84"/>
      <x:c r="D51" s="85"/>
      <x:c r="E51" s="70" t="str"/>
      <x:c r="F51" s="70" t="str"/>
      <x:c r="G51" s="70" t="str"/>
      <x:c r="H51" s="70" t="str"/>
    </x:row>
    <x:row r="52" ht="36" customHeight="1">
      <x:c r="A52" s="83" t="str">
        <x:v>Legendary &amp; Lair</x:v>
      </x:c>
      <x:c r="B52" s="84" t="str">
        <x:v>Special resources for boss monsters and lair encounters.</x:v>
      </x:c>
      <x:c r="C52" s="84"/>
      <x:c r="D52" s="85"/>
      <x:c r="E52" s="70" t="str"/>
      <x:c r="F52" s="70" t="str"/>
      <x:c r="G52" s="70" t="str"/>
      <x:c r="H52" s="70" t="str"/>
    </x:row>
    <x:row r="53" ht="36" customHeight="1">
      <x:c r="A53" s="83" t="str">
        <x:v>Stat Blocks</x:v>
      </x:c>
      <x:c r="B53" s="84" t="str">
        <x:v>Quick reference statistics for creatures in the current encounter.</x:v>
      </x:c>
      <x:c r="C53" s="84"/>
      <x:c r="D53" s="85"/>
      <x:c r="E53" s="70" t="str"/>
      <x:c r="F53" s="70" t="str"/>
      <x:c r="G53" s="70" t="str"/>
      <x:c r="H53" s="70" t="str"/>
    </x:row>
    <x:row r="54" ht="36" customHeight="1">
      <x:c r="A54" s="83" t="str">
        <x:v>Summary Export</x:v>
      </x:c>
      <x:c r="B54" s="84" t="str">
        <x:v>Plain-English combat summary that can be copied into a text file.</x:v>
      </x:c>
      <x:c r="C54" s="84"/>
      <x:c r="D54" s="85"/>
      <x:c r="E54" s="70" t="str"/>
      <x:c r="F54" s="70" t="str"/>
      <x:c r="G54" s="70" t="str"/>
      <x:c r="H54" s="70" t="str"/>
    </x:row>
    <x:row r="55" ht="36" customHeight="1">
      <x:c r="A55" s="83" t="str">
        <x:v>Player Build Helper</x:v>
      </x:c>
      <x:c r="B55" s="84" t="str">
        <x:v>Optional helper for planning or drafting player builds before entering them on the Players tab.</x:v>
      </x:c>
      <x:c r="C55" s="84"/>
      <x:c r="D55" s="85"/>
      <x:c r="E55" s="70" t="str"/>
      <x:c r="F55" s="70" t="str"/>
      <x:c r="G55" s="70" t="str"/>
      <x:c r="H55" s="70" t="str"/>
    </x:row>
    <x:row r="56" ht="36" customHeight="1">
      <x:c r="A56" s="83" t="str">
        <x:v>Database tabs</x:v>
      </x:c>
      <x:c r="B56" s="84" t="str">
        <x:v>Lists, Monster Database, and Player DB tabs are reference sources. They are grouped at the end because they are not normally used during live combat.</x:v>
      </x:c>
      <x:c r="C56" s="84"/>
      <x:c r="D56" s="85"/>
      <x:c r="E56" s="70" t="str"/>
      <x:c r="F56" s="70" t="str"/>
      <x:c r="G56" s="70" t="str"/>
      <x:c r="H56" s="70" t="str"/>
    </x:row>
    <x:row r="57" ht="36" customHeight="1">
      <x:c r="A57" s="83" t="str">
        <x:v>VBA Code / Automation Guide</x:v>
      </x:c>
      <x:c r="B57" s="84" t="str">
        <x:v>Reference notes and code planning for future macro-enabled versions. These are support tabs, not normal gameplay tabs.</x:v>
      </x:c>
      <x:c r="C57" s="84"/>
      <x:c r="D57" s="85"/>
      <x:c r="E57" s="70" t="str"/>
      <x:c r="F57" s="70" t="str"/>
      <x:c r="G57" s="70" t="str"/>
      <x:c r="H57" s="70" t="str"/>
    </x:row>
    <x:row r="58" ht="36" customHeight="1">
      <x:c r="A58" s="83" t="str">
        <x:v>Version 3.0 Reset Checklist</x:v>
      </x:c>
      <x:c r="B58" s="84"/>
      <x:c r="C58" s="84"/>
      <x:c r="D58" s="85"/>
      <x:c r="E58" s="70" t="str"/>
      <x:c r="F58" s="70" t="str"/>
      <x:c r="G58" s="70" t="str"/>
      <x:c r="H58" s="70" t="str"/>
    </x:row>
    <x:row r="59" ht="36" customHeight="1">
      <x:c r="A59" s="83" t="str">
        <x:v>Reset completed</x:v>
      </x:c>
      <x:c r="B59" s="84" t="str">
        <x:v>Players, Combatants, Initiative, Turn Log, Action Targets, Conditions, Spell Tracker, Legendary &amp; Lair, Stat Blocks, Summary Export, Encounter Builder, and Player Build Helper were cleared.</x:v>
      </x:c>
      <x:c r="C59" s="84"/>
      <x:c r="D59" s="85"/>
      <x:c r="E59" s="70" t="str"/>
      <x:c r="F59" s="70" t="str"/>
      <x:c r="G59" s="70" t="str"/>
      <x:c r="H59" s="70" t="str"/>
    </x:row>
    <x:row r="60" ht="36" customHeight="1">
      <x:c r="A60" s="83" t="str">
        <x:v>Preserved reference data</x:v>
      </x:c>
      <x:c r="B60" s="84" t="str">
        <x:v>Monster Database, Player DB tabs, Lists, Automation Guide, and VBA Code were preserved.</x:v>
      </x:c>
      <x:c r="C60" s="84"/>
      <x:c r="D60" s="85"/>
      <x:c r="E60" s="70"/>
      <x:c r="F60" s="70"/>
      <x:c r="G60" s="70"/>
      <x:c r="H60" s="70"/>
    </x:row>
    <x:row r="61" ht="36" customHeight="1">
      <x:c r="A61" s="98" t="str">
        <x:v>Next step</x:v>
      </x:c>
      <x:c r="B61" s="99" t="str">
        <x:v>Enter or review player characters on the Players tab, then build the encounter on the Combatants tab.</x:v>
      </x:c>
      <x:c r="C61" s="99"/>
      <x:c r="D61" s="100"/>
      <x:c r="E61" s="70"/>
      <x:c r="F61" s="70"/>
      <x:c r="G61" s="70"/>
      <x:c r="H61" s="70"/>
    </x:row>
    <x:row r="62" ht="36" customHeight="1">
      <x:c r="A62" s="70"/>
      <x:c r="B62" s="70"/>
      <x:c r="C62" s="70"/>
      <x:c r="D62" s="70"/>
      <x:c r="E62" s="70"/>
      <x:c r="F62" s="70"/>
      <x:c r="G62" s="70"/>
      <x:c r="H62" s="70"/>
    </x:row>
    <x:row r="63" ht="36" customHeight="1">
      <x:c r="A63" s="140" t="str">
        <x:v>Version 4.0 Equipment Database Additions</x:v>
      </x:c>
      <x:c r="B63" s="140" t="str"/>
      <x:c r="C63" s="140" t="str"/>
      <x:c r="D63" s="140" t="str"/>
      <x:c r="E63" s="70"/>
      <x:c r="F63" s="70"/>
      <x:c r="G63" s="70"/>
      <x:c r="H63" s="70"/>
    </x:row>
    <x:row r="64" ht="36" customHeight="1">
      <x:c r="A64" s="151" t="str">
        <x:v>Version 5.0 Cleanup Pass</x:v>
      </x:c>
      <x:c r="B64" s="151"/>
      <x:c r="C64" s="151"/>
      <x:c r="D64" s="151"/>
      <x:c r="E64" s="70"/>
      <x:c r="F64" s="70"/>
      <x:c r="G64" s="70"/>
      <x:c r="H64" s="70"/>
    </x:row>
    <x:row r="65" ht="36" customHeight="1">
      <x:c r="A65" s="153" t="str">
        <x:v>Check</x:v>
      </x:c>
      <x:c r="B65" s="153" t="str">
        <x:v>Result</x:v>
      </x:c>
      <x:c r="C65" s="153" t="str">
        <x:v>Notes</x:v>
      </x:c>
      <x:c r="D65" s="153"/>
      <x:c r="E65" s="70"/>
      <x:c r="F65" s="70"/>
      <x:c r="G65" s="70"/>
      <x:c r="H65" s="70"/>
    </x:row>
    <x:row r="66" ht="36" customHeight="1">
      <x:c r="A66" s="70" t="str">
        <x:v>Formula error scan</x:v>
      </x:c>
      <x:c r="B66" s="70" t="str">
        <x:v>Passed</x:v>
      </x:c>
      <x:c r="C66" s="70" t="str">
        <x:v>No common Excel formula-error values were found in the workbook scan.</x:v>
      </x:c>
      <x:c r="D66" s="70"/>
      <x:c r="E66" s="70"/>
      <x:c r="F66" s="70"/>
      <x:c r="G66" s="70"/>
      <x:c r="H66" s="70"/>
    </x:row>
    <x:row r="67" ht="36" customHeight="1">
      <x:c r="A67" s="70" t="str">
        <x:v>Workbook structure</x:v>
      </x:c>
      <x:c r="B67" s="70" t="str">
        <x:v>Re-exported</x:v>
      </x:c>
      <x:c r="C67" s="70" t="str">
        <x:v>Workbook was re-saved as a clean Version 5.0 file.</x:v>
      </x:c>
      <x:c r="D67" s="70"/>
      <x:c r="E67" s="70"/>
      <x:c r="F67" s="70"/>
      <x:c r="G67" s="70"/>
      <x:c r="H67" s="70"/>
    </x:row>
    <x:row r="68" ht="36" customHeight="1">
      <x:c r="A68" s="70" t="str">
        <x:v>Encounter data</x:v>
      </x:c>
      <x:c r="B68" s="70" t="str">
        <x:v>Preserved</x:v>
      </x:c>
      <x:c r="C68" s="70" t="str">
        <x:v>Current workbook content was not randomly regenerated or reset during this cleanup pass.</x:v>
      </x:c>
      <x:c r="D68" s="70"/>
      <x:c r="E68" s="70"/>
      <x:c r="F68" s="70"/>
      <x:c r="G68" s="70"/>
      <x:c r="H68" s="70"/>
    </x:row>
    <x:row r="69" ht="36" customHeight="1">
      <x:c r="A69" s="70" t="str">
        <x:v>Database tabs</x:v>
      </x:c>
      <x:c r="B69" s="70" t="str">
        <x:v>Preserved</x:v>
      </x:c>
      <x:c r="C69" s="70" t="str">
        <x:v>Monster, player, spell, armor, weapon, equipment, and magic item databases remain available at the end of the workbook.</x:v>
      </x:c>
      <x:c r="D69" s="70"/>
      <x:c r="E69" s="70"/>
      <x:c r="F69" s="70"/>
      <x:c r="G69" s="70"/>
      <x:c r="H69" s="70"/>
    </x:row>
    <x:row r="70" ht="36" customHeight="1">
      <x:c r="A70" s="70"/>
      <x:c r="B70" s="70"/>
      <x:c r="C70" s="70"/>
      <x:c r="D70" s="70"/>
      <x:c r="E70" s="70"/>
      <x:c r="F70" s="70"/>
      <x:c r="G70" s="70"/>
      <x:c r="H70" s="70"/>
    </x:row>
    <x:row r="71" ht="36" customHeight="1">
      <x:c r="A71" s="70"/>
      <x:c r="B71" s="70"/>
      <x:c r="C71" s="70"/>
      <x:c r="D71" s="70"/>
      <x:c r="E71" s="70"/>
      <x:c r="F71" s="70"/>
      <x:c r="G71" s="70"/>
      <x:c r="H71" s="70"/>
    </x:row>
    <x:row r="72" ht="36" customHeight="1">
      <x:c r="A72" s="70"/>
      <x:c r="B72" s="70"/>
      <x:c r="C72" s="70"/>
      <x:c r="D72" s="70"/>
      <x:c r="E72" s="70"/>
      <x:c r="F72" s="70"/>
      <x:c r="G72" s="70"/>
      <x:c r="H72" s="70"/>
    </x:row>
    <x:row r="73" ht="36" customHeight="1">
      <x:c r="A73" s="70"/>
      <x:c r="B73" s="70"/>
      <x:c r="C73" s="70"/>
      <x:c r="D73" s="70"/>
      <x:c r="E73" s="70"/>
      <x:c r="F73" s="70"/>
      <x:c r="G73" s="70"/>
      <x:c r="H73" s="70"/>
    </x:row>
    <x:row r="74" ht="36" customHeight="1">
      <x:c r="A74" s="70"/>
      <x:c r="B74" s="70"/>
      <x:c r="C74" s="70"/>
      <x:c r="D74" s="70"/>
      <x:c r="E74" s="70"/>
      <x:c r="F74" s="70"/>
      <x:c r="G74" s="70"/>
      <x:c r="H74" s="70"/>
    </x:row>
    <x:row r="75" ht="36" customHeight="1">
      <x:c r="A75" s="70"/>
      <x:c r="B75" s="70"/>
      <x:c r="C75" s="70"/>
      <x:c r="D75" s="70"/>
      <x:c r="E75" s="70"/>
      <x:c r="F75" s="70"/>
      <x:c r="G75" s="70"/>
      <x:c r="H75" s="70"/>
    </x:row>
    <x:row r="76" ht="36" customHeight="1">
      <x:c r="A76" s="70"/>
      <x:c r="B76" s="70"/>
      <x:c r="C76" s="70"/>
      <x:c r="D76" s="70"/>
      <x:c r="E76" s="70"/>
      <x:c r="F76" s="70"/>
      <x:c r="G76" s="70"/>
      <x:c r="H76" s="70"/>
    </x:row>
    <x:row r="77" ht="36" customHeight="1">
      <x:c r="A77" s="70"/>
      <x:c r="B77" s="70"/>
      <x:c r="C77" s="70"/>
      <x:c r="D77" s="70"/>
      <x:c r="E77" s="70"/>
      <x:c r="F77" s="70"/>
      <x:c r="G77" s="70"/>
      <x:c r="H77" s="70"/>
    </x:row>
    <x:row r="78" ht="36" customHeight="1">
      <x:c r="A78" s="70"/>
      <x:c r="B78" s="70"/>
      <x:c r="C78" s="70"/>
      <x:c r="D78" s="70"/>
      <x:c r="E78" s="70"/>
      <x:c r="F78" s="70"/>
      <x:c r="G78" s="70"/>
      <x:c r="H78" s="70"/>
    </x:row>
    <x:row r="79" ht="36" customHeight="1">
      <x:c r="A79" s="70"/>
      <x:c r="B79" s="70"/>
      <x:c r="C79" s="70"/>
      <x:c r="D79" s="70"/>
      <x:c r="E79" s="70"/>
      <x:c r="F79" s="70"/>
      <x:c r="G79" s="70"/>
      <x:c r="H79" s="70"/>
    </x:row>
    <x:row r="80" ht="36" customHeight="1">
      <x:c r="A80" s="70"/>
      <x:c r="B80" s="70"/>
      <x:c r="C80" s="70"/>
      <x:c r="D80" s="70"/>
      <x:c r="E80" s="70"/>
      <x:c r="F80" s="70"/>
      <x:c r="G80" s="70"/>
      <x:c r="H80" s="70"/>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baseColWidth="8" defaultRowHeight="15"/>
  <x:cols>
    <x:col min="1" max="1" width="27" customWidth="1"/>
    <x:col min="2" max="2" width="21" customWidth="1"/>
    <x:col min="3" max="3" width="13" customWidth="1"/>
    <x:col min="4" max="4" width="10" customWidth="1"/>
    <x:col min="5" max="5" width="10" customWidth="1"/>
    <x:col min="6" max="6" width="10" customWidth="1"/>
    <x:col min="7" max="7" width="10" customWidth="1"/>
    <x:col min="8" max="8" width="13" customWidth="1"/>
    <x:col min="9" max="9" width="12" customWidth="1"/>
    <x:col min="10" max="10" width="10" customWidth="1"/>
    <x:col min="11" max="11" width="10" customWidth="1"/>
    <x:col min="12" max="12" width="12" customWidth="1"/>
    <x:col min="13" max="13" width="10" customWidth="1"/>
    <x:col min="14" max="14" width="10" customWidth="1"/>
    <x:col min="15" max="15" width="19" customWidth="1"/>
    <x:col min="16" max="16" width="10" customWidth="1"/>
    <x:col min="17" max="17" width="10" customWidth="1"/>
    <x:col min="18" max="18" width="10" customWidth="1"/>
    <x:col min="19" max="19" width="10" customWidth="1"/>
    <x:col min="20" max="20" width="10" customWidth="1"/>
    <x:col min="21" max="21" width="10" customWidth="1"/>
    <x:col min="22" max="22" width="10" customWidth="1"/>
    <x:col min="23" max="23" width="10" customWidth="1"/>
    <x:col min="24" max="24" width="10" customWidth="1"/>
    <x:col min="25" max="25" width="10" customWidth="1"/>
    <x:col min="26" max="26" width="10" customWidth="1"/>
    <x:col min="27" max="27" width="10" customWidth="1"/>
    <x:col min="28" max="28" width="16" customWidth="1"/>
    <x:col min="29" max="29" width="20" customWidth="1"/>
    <x:col min="30" max="30" width="22" customWidth="1"/>
    <x:col min="31" max="31" width="15" customWidth="1"/>
    <x:col min="32" max="32" width="20" customWidth="1"/>
    <x:col min="33" max="33" width="16" customWidth="1"/>
    <x:col min="34" max="34" width="45" customWidth="1"/>
    <x:col min="35" max="35" width="12" customWidth="1"/>
    <x:col min="36" max="36" width="41"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34" hidden="0" customWidth="1"/>
  </x:cols>
  <x:sheetData>
    <x:row r="1" ht="18" customHeight="1">
      <x:c r="A1" s="5" t="inlineStr">
        <x:is>
          <x:t xml:space="preserve">Player Character Database</x:t>
        </x:is>
      </x:c>
    </x:row>
    <x:row r="2" ht="18" customHeight="1">
      <x:c r="A2" s="14" t="inlineStr">
        <x:is>
          <x:t xml:space="preserve">Player ID</x:t>
        </x:is>
      </x:c>
      <x:c r="B2" s="14" t="inlineStr">
        <x:is>
          <x:t xml:space="preserve">Character Name</x:t>
        </x:is>
      </x:c>
      <x:c r="C2" s="14" t="inlineStr">
        <x:is>
          <x:t xml:space="preserve">Player Name</x:t>
        </x:is>
      </x:c>
      <x:c r="D2" s="14" t="inlineStr">
        <x:is>
          <x:t xml:space="preserve">Active?</x:t>
        </x:is>
      </x:c>
      <x:c r="E2" s="14" t="inlineStr">
        <x:is>
          <x:t xml:space="preserve">Level</x:t>
        </x:is>
      </x:c>
      <x:c r="F2" s="14" t="inlineStr">
        <x:is>
          <x:t xml:space="preserve">Species</x:t>
        </x:is>
      </x:c>
      <x:c r="G2" s="14" t="inlineStr">
        <x:is>
          <x:t xml:space="preserve">Class</x:t>
        </x:is>
      </x:c>
      <x:c r="H2" s="14" t="inlineStr">
        <x:is>
          <x:t xml:space="preserve">Subclass</x:t>
        </x:is>
      </x:c>
      <x:c r="I2" s="14" t="inlineStr">
        <x:is>
          <x:t xml:space="preserve">Background</x:t>
        </x:is>
      </x:c>
      <x:c r="J2" s="14" t="inlineStr">
        <x:is>
          <x:t xml:space="preserve">AC</x:t>
        </x:is>
      </x:c>
      <x:c r="K2" s="14" t="inlineStr">
        <x:is>
          <x:t xml:space="preserve">Max HP</x:t>
        </x:is>
      </x:c>
      <x:c r="L2" s="14" t="inlineStr">
        <x:is>
          <x:t xml:space="preserve">Current HP</x:t>
        </x:is>
      </x:c>
      <x:c r="M2" s="14" t="inlineStr">
        <x:is>
          <x:t xml:space="preserve">Temp HP</x:t>
        </x:is>
      </x:c>
      <x:c r="N2" s="14" t="inlineStr">
        <x:is>
          <x:t xml:space="preserve">Speed</x:t>
        </x:is>
      </x:c>
      <x:c r="O2" s="14" t="inlineStr">
        <x:is>
          <x:t xml:space="preserve">Proficiency Bonus</x:t>
        </x:is>
      </x:c>
      <x:c r="P2" s="14" t="inlineStr">
        <x:is>
          <x:t xml:space="preserve">STR</x:t>
        </x:is>
      </x:c>
      <x:c r="Q2" s="14" t="inlineStr">
        <x:is>
          <x:t xml:space="preserve">DEX</x:t>
        </x:is>
      </x:c>
      <x:c r="R2" s="14" t="inlineStr">
        <x:is>
          <x:t xml:space="preserve">CON</x:t>
        </x:is>
      </x:c>
      <x:c r="S2" s="14" t="inlineStr">
        <x:is>
          <x:t xml:space="preserve">INT</x:t>
        </x:is>
      </x:c>
      <x:c r="T2" s="14" t="inlineStr">
        <x:is>
          <x:t xml:space="preserve">WIS</x:t>
        </x:is>
      </x:c>
      <x:c r="U2" s="14" t="inlineStr">
        <x:is>
          <x:t xml:space="preserve">CHA</x:t>
        </x:is>
      </x:c>
      <x:c r="V2" s="14" t="inlineStr">
        <x:is>
          <x:t xml:space="preserve">STR Mod</x:t>
        </x:is>
      </x:c>
      <x:c r="W2" s="14" t="inlineStr">
        <x:is>
          <x:t xml:space="preserve">DEX Mod</x:t>
        </x:is>
      </x:c>
      <x:c r="X2" s="14" t="inlineStr">
        <x:is>
          <x:t xml:space="preserve">CON Mod</x:t>
        </x:is>
      </x:c>
      <x:c r="Y2" s="14" t="inlineStr">
        <x:is>
          <x:t xml:space="preserve">INT Mod</x:t>
        </x:is>
      </x:c>
      <x:c r="Z2" s="14" t="inlineStr">
        <x:is>
          <x:t xml:space="preserve">WIS Mod</x:t>
        </x:is>
      </x:c>
      <x:c r="AA2" s="14" t="inlineStr">
        <x:is>
          <x:t xml:space="preserve">CHA Mod</x:t>
        </x:is>
      </x:c>
      <x:c r="AB2" s="14" t="inlineStr">
        <x:is>
          <x:t xml:space="preserve">Initiative Mod</x:t>
        </x:is>
      </x:c>
      <x:c r="AC2" s="14" t="inlineStr">
        <x:is>
          <x:t xml:space="preserve">Passive Perception</x:t>
        </x:is>
      </x:c>
      <x:c r="AD2" s="14" t="inlineStr">
        <x:is>
          <x:t xml:space="preserve">Spellcasting Ability</x:t>
        </x:is>
      </x:c>
      <x:c r="AE2" s="14" t="inlineStr">
        <x:is>
          <x:t xml:space="preserve">Spell Save DC</x:t>
        </x:is>
      </x:c>
      <x:c r="AF2" s="14" t="inlineStr">
        <x:is>
          <x:t xml:space="preserve">Spell Attack Bonus</x:t>
        </x:is>
      </x:c>
      <x:c r="AG2" s="14" t="inlineStr">
        <x:is>
          <x:t xml:space="preserve">Saving Throws</x:t>
        </x:is>
      </x:c>
      <x:c r="AH2" s="14" t="inlineStr">
        <x:is>
          <x:t xml:space="preserve">Skills/Proficiencies</x:t>
        </x:is>
      </x:c>
      <x:c r="AI2" s="14" t="inlineStr">
        <x:is>
          <x:t xml:space="preserve">Conditions</x:t>
        </x:is>
      </x:c>
      <x:c r="AJ2" s="14" t="inlineStr">
        <x:is>
          <x:t xml:space="preserve">Notes</x:t>
        </x:is>
      </x:c>
      <x:c r="AK2" s="135" t="str">
        <x:v>Equipped Armor</x:v>
      </x:c>
      <x:c r="AL2" s="135" t="str">
        <x:v>Shield Equipped</x:v>
      </x:c>
      <x:c r="AM2" s="135" t="str">
        <x:v>Main Weapon</x:v>
      </x:c>
      <x:c r="AN2" s="135" t="str">
        <x:v>Offhand Weapon</x:v>
      </x:c>
      <x:c r="AO2" s="135" t="str">
        <x:v>Ranged Weapon</x:v>
      </x:c>
      <x:c r="AP2" s="135" t="str">
        <x:v>Magic Item 1</x:v>
      </x:c>
      <x:c r="AQ2" s="135" t="str">
        <x:v>Magic Item 2</x:v>
      </x:c>
      <x:c r="AR2" s="135" t="str">
        <x:v>Magic Item 3</x:v>
      </x:c>
      <x:c r="AS2" s="135" t="str">
        <x:v>Magic AC Bonus</x:v>
      </x:c>
      <x:c r="AT2" s="135" t="str">
        <x:v>Manual AC Override</x:v>
      </x:c>
      <x:c r="AU2" s="135" t="str">
        <x:v>Equipment AC</x:v>
      </x:c>
      <x:c r="AV2" s="135" t="str">
        <x:v>Main Weapon Damage</x:v>
      </x:c>
      <x:c r="AW2" s="135" t="str">
        <x:v>Ranged Weapon Damage</x:v>
      </x:c>
      <x:c r="AX2" s="135" t="str">
        <x:v>Equipment Notes</x:v>
      </x:c>
    </x:row>
    <x:row r="3" ht="18" customHeight="1">
      <x:c r="A3" s="12"/>
      <x:c r="B3" s="12"/>
      <x:c r="C3" s="12"/>
      <x:c r="D3" s="12"/>
      <x:c r="E3" s="12"/>
      <x:c r="F3" s="12"/>
      <x:c r="G3" s="12"/>
      <x:c r="H3" s="12"/>
      <x:c r="I3" s="12"/>
      <x:c r="J3" s="12" t="str">
        <x:f>IF($B3="","",IF($AT3&lt;&gt;"",$AT3,$AU3))</x:f>
      </x:c>
      <x:c r="K3" s="12"/>
      <x:c r="L3" s="12"/>
      <x:c r="M3" s="12"/>
      <x:c r="N3" s="12"/>
      <x:c r="O3" s="12"/>
      <x:c r="P3" s="12"/>
      <x:c r="Q3" s="12"/>
      <x:c r="R3" s="12"/>
      <x:c r="S3" s="12"/>
      <x:c r="T3" s="12"/>
      <x:c r="U3" s="12"/>
      <x:c r="V3" s="12"/>
      <x:c r="W3" s="12"/>
      <x:c r="X3" s="12"/>
      <x:c r="Y3" s="12"/>
      <x:c r="Z3" s="12"/>
      <x:c r="AA3" s="12"/>
      <x:c r="AB3" s="12"/>
      <x:c r="AC3" s="12"/>
      <x:c r="AD3" s="12"/>
      <x:c r="AE3" s="12"/>
      <x:c r="AF3" s="12"/>
      <x:c r="AG3" s="12"/>
      <x:c r="AH3" s="12"/>
      <x:c r="AI3" s="12"/>
      <x:c r="AJ3" s="12"/>
      <x:c r="AK3" s="63"/>
      <x:c r="AL3" s="63"/>
      <x:c r="AM3" s="63"/>
      <x:c r="AN3" s="63"/>
      <x:c r="AO3" s="63"/>
      <x:c r="AP3" s="63"/>
      <x:c r="AQ3" s="63"/>
      <x:c r="AR3" s="63"/>
      <x:c r="AS3" s="137"/>
      <x:c r="AT3" s="137"/>
      <x:c r="AU3" s="63" t="str">
        <x:f>IF($B3="","",IF($AK3="",10+$W3,IFERROR(INDEX('Armor Database'!$D$2:$D$100,MATCH($AK3,'Armor Database'!$A$2:$A$100,0))+IF(INDEX('Armor Database'!$E$2:$E$100,MATCH($AK3,'Armor Database'!$A$2:$A$100,0))="Full",$W3,IF(INDEX('Armor Database'!$E$2:$E$100,MATCH($AK3,'Armor Database'!$A$2:$A$100,0))="Max 2",MIN($W3,2),0))+IF($AL3="Shield",2,0)+N($AS3),10+$W3+IF($AL3="Shield",2,0)+N($AS3))))</x:f>
      </x:c>
      <x:c r="AV3" s="63" t="str">
        <x:f>IF($AM3="","",IFERROR(INDEX('Weapons Database'!$C$2:$C$100,MATCH($AM3,'Weapons Database'!$A$2:$A$100,0))&amp;" "&amp;INDEX('Weapons Database'!$D$2:$D$100,MATCH($AM3,'Weapons Database'!$A$2:$A$100,0)),""))</x:f>
      </x:c>
      <x:c r="AW3" s="63" t="str">
        <x:f>IF($AO3="","",IFERROR(INDEX('Weapons Database'!$C$2:$C$100,MATCH($AO3,'Weapons Database'!$A$2:$A$100,0))&amp;" "&amp;INDEX('Weapons Database'!$D$2:$D$100,MATCH($AO3,'Weapons Database'!$A$2:$A$100,0)),""))</x:f>
      </x:c>
      <x:c r="AX3" s="63"/>
    </x:row>
    <x:row r="4" ht="18" customHeight="1">
      <x:c r="A4" s="12"/>
      <x:c r="B4" s="12"/>
      <x:c r="C4" s="12"/>
      <x:c r="D4" s="12"/>
      <x:c r="E4" s="12"/>
      <x:c r="F4" s="12"/>
      <x:c r="G4" s="12"/>
      <x:c r="H4" s="12"/>
      <x:c r="I4" s="12"/>
      <x:c r="J4" s="12" t="str">
        <x:f>IF($B4="","",IF($AT4&lt;&gt;"",$AT4,$AU4))</x:f>
      </x:c>
      <x:c r="K4" s="12"/>
      <x:c r="L4" s="12"/>
      <x:c r="M4" s="12"/>
      <x:c r="N4" s="12"/>
      <x:c r="O4" s="12"/>
      <x:c r="P4" s="12"/>
      <x:c r="Q4" s="12"/>
      <x:c r="R4" s="12"/>
      <x:c r="S4" s="12"/>
      <x:c r="T4" s="12"/>
      <x:c r="U4" s="12"/>
      <x:c r="V4" s="12"/>
      <x:c r="W4" s="12"/>
      <x:c r="X4" s="12"/>
      <x:c r="Y4" s="12"/>
      <x:c r="Z4" s="12"/>
      <x:c r="AA4" s="12"/>
      <x:c r="AB4" s="12"/>
      <x:c r="AC4" s="12"/>
      <x:c r="AD4" s="12"/>
      <x:c r="AE4" s="12"/>
      <x:c r="AF4" s="12"/>
      <x:c r="AG4" s="12"/>
      <x:c r="AH4" s="12"/>
      <x:c r="AI4" s="12"/>
      <x:c r="AJ4" s="12"/>
      <x:c r="AK4" s="63"/>
      <x:c r="AL4" s="63"/>
      <x:c r="AM4" s="63"/>
      <x:c r="AN4" s="63"/>
      <x:c r="AO4" s="63"/>
      <x:c r="AP4" s="63"/>
      <x:c r="AQ4" s="63"/>
      <x:c r="AR4" s="63"/>
      <x:c r="AS4" s="137"/>
      <x:c r="AT4" s="137"/>
      <x:c r="AU4" s="63" t="str">
        <x:f>IF($B4="","",IF($AK4="",10+$W4,IFERROR(INDEX('Armor Database'!$D$2:$D$100,MATCH($AK4,'Armor Database'!$A$2:$A$100,0))+IF(INDEX('Armor Database'!$E$2:$E$100,MATCH($AK4,'Armor Database'!$A$2:$A$100,0))="Full",$W4,IF(INDEX('Armor Database'!$E$2:$E$100,MATCH($AK4,'Armor Database'!$A$2:$A$100,0))="Max 2",MIN($W4,2),0))+IF($AL4="Shield",2,0)+N($AS4),10+$W4+IF($AL4="Shield",2,0)+N($AS4))))</x:f>
      </x:c>
      <x:c r="AV4" s="63" t="str">
        <x:f>IF($AM4="","",IFERROR(INDEX('Weapons Database'!$C$2:$C$100,MATCH($AM4,'Weapons Database'!$A$2:$A$100,0))&amp;" "&amp;INDEX('Weapons Database'!$D$2:$D$100,MATCH($AM4,'Weapons Database'!$A$2:$A$100,0)),""))</x:f>
      </x:c>
      <x:c r="AW4" s="63" t="str">
        <x:f>IF($AO4="","",IFERROR(INDEX('Weapons Database'!$C$2:$C$100,MATCH($AO4,'Weapons Database'!$A$2:$A$100,0))&amp;" "&amp;INDEX('Weapons Database'!$D$2:$D$100,MATCH($AO4,'Weapons Database'!$A$2:$A$100,0)),""))</x:f>
      </x:c>
      <x:c r="AX4" s="63"/>
    </x:row>
    <x:row r="5" ht="18" customHeight="1">
      <x:c r="A5" s="12"/>
      <x:c r="B5" s="12"/>
      <x:c r="C5" s="12"/>
      <x:c r="D5" s="12"/>
      <x:c r="E5" s="12"/>
      <x:c r="F5" s="12"/>
      <x:c r="G5" s="12"/>
      <x:c r="H5" s="12"/>
      <x:c r="I5" s="12"/>
      <x:c r="J5" s="12" t="str">
        <x:f>IF($B5="","",IF($AT5&lt;&gt;"",$AT5,$AU5))</x:f>
      </x:c>
      <x:c r="K5" s="12"/>
      <x:c r="L5" s="12"/>
      <x:c r="M5" s="12"/>
      <x:c r="N5" s="12"/>
      <x:c r="O5" s="12"/>
      <x:c r="P5" s="12"/>
      <x:c r="Q5" s="12"/>
      <x:c r="R5" s="12"/>
      <x:c r="S5" s="12"/>
      <x:c r="T5" s="12"/>
      <x:c r="U5" s="12"/>
      <x:c r="V5" s="12"/>
      <x:c r="W5" s="12"/>
      <x:c r="X5" s="12"/>
      <x:c r="Y5" s="12"/>
      <x:c r="Z5" s="12"/>
      <x:c r="AA5" s="12"/>
      <x:c r="AB5" s="12"/>
      <x:c r="AC5" s="12"/>
      <x:c r="AD5" s="12"/>
      <x:c r="AE5" s="12"/>
      <x:c r="AF5" s="12"/>
      <x:c r="AG5" s="12"/>
      <x:c r="AH5" s="12"/>
      <x:c r="AI5" s="12"/>
      <x:c r="AJ5" s="12"/>
      <x:c r="AK5" s="63"/>
      <x:c r="AL5" s="63"/>
      <x:c r="AM5" s="63"/>
      <x:c r="AN5" s="63"/>
      <x:c r="AO5" s="63"/>
      <x:c r="AP5" s="63"/>
      <x:c r="AQ5" s="63"/>
      <x:c r="AR5" s="63"/>
      <x:c r="AS5" s="137"/>
      <x:c r="AT5" s="137"/>
      <x:c r="AU5" s="63" t="str">
        <x:f>IF($B5="","",IF($AK5="",10+$W5,IFERROR(INDEX('Armor Database'!$D$2:$D$100,MATCH($AK5,'Armor Database'!$A$2:$A$100,0))+IF(INDEX('Armor Database'!$E$2:$E$100,MATCH($AK5,'Armor Database'!$A$2:$A$100,0))="Full",$W5,IF(INDEX('Armor Database'!$E$2:$E$100,MATCH($AK5,'Armor Database'!$A$2:$A$100,0))="Max 2",MIN($W5,2),0))+IF($AL5="Shield",2,0)+N($AS5),10+$W5+IF($AL5="Shield",2,0)+N($AS5))))</x:f>
      </x:c>
      <x:c r="AV5" s="63" t="str">
        <x:f>IF($AM5="","",IFERROR(INDEX('Weapons Database'!$C$2:$C$100,MATCH($AM5,'Weapons Database'!$A$2:$A$100,0))&amp;" "&amp;INDEX('Weapons Database'!$D$2:$D$100,MATCH($AM5,'Weapons Database'!$A$2:$A$100,0)),""))</x:f>
      </x:c>
      <x:c r="AW5" s="63" t="str">
        <x:f>IF($AO5="","",IFERROR(INDEX('Weapons Database'!$C$2:$C$100,MATCH($AO5,'Weapons Database'!$A$2:$A$100,0))&amp;" "&amp;INDEX('Weapons Database'!$D$2:$D$100,MATCH($AO5,'Weapons Database'!$A$2:$A$100,0)),""))</x:f>
      </x:c>
      <x:c r="AX5" s="63"/>
    </x:row>
    <x:row r="6" ht="18" customHeight="1">
      <x:c r="A6" s="12"/>
      <x:c r="B6" s="12"/>
      <x:c r="C6" s="12"/>
      <x:c r="D6" s="12"/>
      <x:c r="E6" s="12"/>
      <x:c r="F6" s="12"/>
      <x:c r="G6" s="12"/>
      <x:c r="H6" s="12"/>
      <x:c r="I6" s="12"/>
      <x:c r="J6" s="12" t="str">
        <x:f>IF($B6="","",IF($AT6&lt;&gt;"",$AT6,$AU6))</x:f>
      </x:c>
      <x:c r="K6" s="12"/>
      <x:c r="L6" s="12"/>
      <x:c r="M6" s="12"/>
      <x:c r="N6" s="12"/>
      <x:c r="O6" s="12"/>
      <x:c r="P6" s="12"/>
      <x:c r="Q6" s="12"/>
      <x:c r="R6" s="12"/>
      <x:c r="S6" s="12"/>
      <x:c r="T6" s="12"/>
      <x:c r="U6" s="12"/>
      <x:c r="V6" s="12"/>
      <x:c r="W6" s="12"/>
      <x:c r="X6" s="12"/>
      <x:c r="Y6" s="12"/>
      <x:c r="Z6" s="12"/>
      <x:c r="AA6" s="12"/>
      <x:c r="AB6" s="12"/>
      <x:c r="AC6" s="12"/>
      <x:c r="AD6" s="12"/>
      <x:c r="AE6" s="12"/>
      <x:c r="AF6" s="12"/>
      <x:c r="AG6" s="12"/>
      <x:c r="AH6" s="12"/>
      <x:c r="AI6" s="12"/>
      <x:c r="AJ6" s="12"/>
      <x:c r="AK6" s="63"/>
      <x:c r="AL6" s="63"/>
      <x:c r="AM6" s="63"/>
      <x:c r="AN6" s="63"/>
      <x:c r="AO6" s="63"/>
      <x:c r="AP6" s="63"/>
      <x:c r="AQ6" s="63"/>
      <x:c r="AR6" s="63"/>
      <x:c r="AS6" s="137"/>
      <x:c r="AT6" s="137"/>
      <x:c r="AU6" s="63" t="str">
        <x:f>IF($B6="","",IF($AK6="",10+$W6,IFERROR(INDEX('Armor Database'!$D$2:$D$100,MATCH($AK6,'Armor Database'!$A$2:$A$100,0))+IF(INDEX('Armor Database'!$E$2:$E$100,MATCH($AK6,'Armor Database'!$A$2:$A$100,0))="Full",$W6,IF(INDEX('Armor Database'!$E$2:$E$100,MATCH($AK6,'Armor Database'!$A$2:$A$100,0))="Max 2",MIN($W6,2),0))+IF($AL6="Shield",2,0)+N($AS6),10+$W6+IF($AL6="Shield",2,0)+N($AS6))))</x:f>
      </x:c>
      <x:c r="AV6" s="63" t="str">
        <x:f>IF($AM6="","",IFERROR(INDEX('Weapons Database'!$C$2:$C$100,MATCH($AM6,'Weapons Database'!$A$2:$A$100,0))&amp;" "&amp;INDEX('Weapons Database'!$D$2:$D$100,MATCH($AM6,'Weapons Database'!$A$2:$A$100,0)),""))</x:f>
      </x:c>
      <x:c r="AW6" s="63" t="str">
        <x:f>IF($AO6="","",IFERROR(INDEX('Weapons Database'!$C$2:$C$100,MATCH($AO6,'Weapons Database'!$A$2:$A$100,0))&amp;" "&amp;INDEX('Weapons Database'!$D$2:$D$100,MATCH($AO6,'Weapons Database'!$A$2:$A$100,0)),""))</x:f>
      </x:c>
      <x:c r="AX6" s="63"/>
    </x:row>
    <x:row r="7">
      <x:c r="A7" s="63"/>
      <x:c r="B7" s="63"/>
      <x:c r="C7" s="63"/>
      <x:c r="D7" s="63"/>
      <x:c r="E7" s="63"/>
      <x:c r="F7" s="63"/>
      <x:c r="G7" s="63"/>
      <x:c r="H7" s="63"/>
      <x:c r="I7" s="63"/>
      <x:c r="J7" s="63" t="str">
        <x:f>IF($B7="","",IF($AT7&lt;&gt;"",$AT7,$AU7))</x:f>
      </x:c>
      <x:c r="K7" s="63"/>
      <x:c r="L7" s="63"/>
      <x:c r="M7" s="63"/>
      <x:c r="N7" s="63"/>
      <x:c r="O7" s="63"/>
      <x:c r="P7" s="63"/>
      <x:c r="Q7" s="63"/>
      <x:c r="R7" s="63"/>
      <x:c r="S7" s="63"/>
      <x:c r="T7" s="63"/>
      <x:c r="U7" s="63"/>
      <x:c r="V7" s="63"/>
      <x:c r="W7" s="63"/>
      <x:c r="X7" s="63"/>
      <x:c r="Y7" s="63"/>
      <x:c r="Z7" s="63"/>
      <x:c r="AA7" s="63"/>
      <x:c r="AB7" s="63"/>
      <x:c r="AC7" s="63"/>
      <x:c r="AD7" s="63"/>
      <x:c r="AE7" s="63"/>
      <x:c r="AF7" s="63"/>
      <x:c r="AG7" s="63"/>
      <x:c r="AH7" s="63"/>
      <x:c r="AI7" s="63"/>
      <x:c r="AJ7" s="63"/>
      <x:c r="AK7" s="63"/>
      <x:c r="AL7" s="63"/>
      <x:c r="AM7" s="63"/>
      <x:c r="AN7" s="63"/>
      <x:c r="AO7" s="63"/>
      <x:c r="AP7" s="63"/>
      <x:c r="AQ7" s="63"/>
      <x:c r="AR7" s="63"/>
      <x:c r="AS7" s="137"/>
      <x:c r="AT7" s="137"/>
      <x:c r="AU7" s="63" t="str">
        <x:f>IF($B7="","",IF($AK7="",10+$W7,IFERROR(INDEX('Armor Database'!$D$2:$D$100,MATCH($AK7,'Armor Database'!$A$2:$A$100,0))+IF(INDEX('Armor Database'!$E$2:$E$100,MATCH($AK7,'Armor Database'!$A$2:$A$100,0))="Full",$W7,IF(INDEX('Armor Database'!$E$2:$E$100,MATCH($AK7,'Armor Database'!$A$2:$A$100,0))="Max 2",MIN($W7,2),0))+IF($AL7="Shield",2,0)+N($AS7),10+$W7+IF($AL7="Shield",2,0)+N($AS7))))</x:f>
      </x:c>
      <x:c r="AV7" s="63" t="str">
        <x:f>IF($AM7="","",IFERROR(INDEX('Weapons Database'!$C$2:$C$100,MATCH($AM7,'Weapons Database'!$A$2:$A$100,0))&amp;" "&amp;INDEX('Weapons Database'!$D$2:$D$100,MATCH($AM7,'Weapons Database'!$A$2:$A$100,0)),""))</x:f>
      </x:c>
      <x:c r="AW7" s="63" t="str">
        <x:f>IF($AO7="","",IFERROR(INDEX('Weapons Database'!$C$2:$C$100,MATCH($AO7,'Weapons Database'!$A$2:$A$100,0))&amp;" "&amp;INDEX('Weapons Database'!$D$2:$D$100,MATCH($AO7,'Weapons Database'!$A$2:$A$100,0)),""))</x:f>
      </x:c>
      <x:c r="AX7" s="63"/>
    </x:row>
    <x:row r="8">
      <x:c r="A8" s="63"/>
      <x:c r="B8" s="63"/>
      <x:c r="C8" s="63"/>
      <x:c r="D8" s="63"/>
      <x:c r="E8" s="63"/>
      <x:c r="F8" s="63"/>
      <x:c r="G8" s="63"/>
      <x:c r="H8" s="63"/>
      <x:c r="I8" s="63"/>
      <x:c r="J8" s="63" t="str">
        <x:f>IF($B8="","",IF($AT8&lt;&gt;"",$AT8,$AU8))</x:f>
      </x:c>
      <x:c r="K8" s="63"/>
      <x:c r="L8" s="63"/>
      <x:c r="M8" s="63"/>
      <x:c r="N8" s="63"/>
      <x:c r="O8" s="63"/>
      <x:c r="P8" s="63"/>
      <x:c r="Q8" s="63"/>
      <x:c r="R8" s="63"/>
      <x:c r="S8" s="63"/>
      <x:c r="T8" s="63"/>
      <x:c r="U8" s="63"/>
      <x:c r="V8" s="63"/>
      <x:c r="W8" s="63"/>
      <x:c r="X8" s="63"/>
      <x:c r="Y8" s="63"/>
      <x:c r="Z8" s="63"/>
      <x:c r="AA8" s="63"/>
      <x:c r="AB8" s="63"/>
      <x:c r="AC8" s="63"/>
      <x:c r="AD8" s="63"/>
      <x:c r="AE8" s="63"/>
      <x:c r="AF8" s="63"/>
      <x:c r="AG8" s="63"/>
      <x:c r="AH8" s="63"/>
      <x:c r="AI8" s="63"/>
      <x:c r="AJ8" s="63"/>
      <x:c r="AK8" s="63"/>
      <x:c r="AL8" s="63"/>
      <x:c r="AM8" s="63"/>
      <x:c r="AN8" s="63"/>
      <x:c r="AO8" s="63"/>
      <x:c r="AP8" s="63"/>
      <x:c r="AQ8" s="63"/>
      <x:c r="AR8" s="63"/>
      <x:c r="AS8" s="137"/>
      <x:c r="AT8" s="137"/>
      <x:c r="AU8" s="63" t="str">
        <x:f>IF($B8="","",IF($AK8="",10+$W8,IFERROR(INDEX('Armor Database'!$D$2:$D$100,MATCH($AK8,'Armor Database'!$A$2:$A$100,0))+IF(INDEX('Armor Database'!$E$2:$E$100,MATCH($AK8,'Armor Database'!$A$2:$A$100,0))="Full",$W8,IF(INDEX('Armor Database'!$E$2:$E$100,MATCH($AK8,'Armor Database'!$A$2:$A$100,0))="Max 2",MIN($W8,2),0))+IF($AL8="Shield",2,0)+N($AS8),10+$W8+IF($AL8="Shield",2,0)+N($AS8))))</x:f>
      </x:c>
      <x:c r="AV8" s="63" t="str">
        <x:f>IF($AM8="","",IFERROR(INDEX('Weapons Database'!$C$2:$C$100,MATCH($AM8,'Weapons Database'!$A$2:$A$100,0))&amp;" "&amp;INDEX('Weapons Database'!$D$2:$D$100,MATCH($AM8,'Weapons Database'!$A$2:$A$100,0)),""))</x:f>
      </x:c>
      <x:c r="AW8" s="63" t="str">
        <x:f>IF($AO8="","",IFERROR(INDEX('Weapons Database'!$C$2:$C$100,MATCH($AO8,'Weapons Database'!$A$2:$A$100,0))&amp;" "&amp;INDEX('Weapons Database'!$D$2:$D$100,MATCH($AO8,'Weapons Database'!$A$2:$A$100,0)),""))</x:f>
      </x:c>
      <x:c r="AX8" s="63"/>
    </x:row>
    <x:row r="9">
      <x:c r="A9" s="63"/>
      <x:c r="B9" s="63"/>
      <x:c r="C9" s="63"/>
      <x:c r="D9" s="63"/>
      <x:c r="E9" s="63"/>
      <x:c r="F9" s="63"/>
      <x:c r="G9" s="63"/>
      <x:c r="H9" s="63"/>
      <x:c r="I9" s="63"/>
      <x:c r="J9" s="63" t="str">
        <x:f>IF($B9="","",IF($AT9&lt;&gt;"",$AT9,$AU9))</x:f>
      </x:c>
      <x:c r="K9" s="63"/>
      <x:c r="L9" s="63"/>
      <x:c r="M9" s="63"/>
      <x:c r="N9" s="63"/>
      <x:c r="O9" s="63"/>
      <x:c r="P9" s="63"/>
      <x:c r="Q9" s="63"/>
      <x:c r="R9" s="63"/>
      <x:c r="S9" s="63"/>
      <x:c r="T9" s="63"/>
      <x:c r="U9" s="63"/>
      <x:c r="V9" s="63"/>
      <x:c r="W9" s="63"/>
      <x:c r="X9" s="63"/>
      <x:c r="Y9" s="63"/>
      <x:c r="Z9" s="63"/>
      <x:c r="AA9" s="63"/>
      <x:c r="AB9" s="63"/>
      <x:c r="AC9" s="63"/>
      <x:c r="AD9" s="63"/>
      <x:c r="AE9" s="63"/>
      <x:c r="AF9" s="63"/>
      <x:c r="AG9" s="63"/>
      <x:c r="AH9" s="63"/>
      <x:c r="AI9" s="63"/>
      <x:c r="AJ9" s="63"/>
      <x:c r="AK9" s="63"/>
      <x:c r="AL9" s="63"/>
      <x:c r="AM9" s="63"/>
      <x:c r="AN9" s="63"/>
      <x:c r="AO9" s="63"/>
      <x:c r="AP9" s="63"/>
      <x:c r="AQ9" s="63"/>
      <x:c r="AR9" s="63"/>
      <x:c r="AS9" s="137"/>
      <x:c r="AT9" s="137"/>
      <x:c r="AU9" s="63" t="str">
        <x:f>IF($B9="","",IF($AK9="",10+$W9,IFERROR(INDEX('Armor Database'!$D$2:$D$100,MATCH($AK9,'Armor Database'!$A$2:$A$100,0))+IF(INDEX('Armor Database'!$E$2:$E$100,MATCH($AK9,'Armor Database'!$A$2:$A$100,0))="Full",$W9,IF(INDEX('Armor Database'!$E$2:$E$100,MATCH($AK9,'Armor Database'!$A$2:$A$100,0))="Max 2",MIN($W9,2),0))+IF($AL9="Shield",2,0)+N($AS9),10+$W9+IF($AL9="Shield",2,0)+N($AS9))))</x:f>
      </x:c>
      <x:c r="AV9" s="63" t="str">
        <x:f>IF($AM9="","",IFERROR(INDEX('Weapons Database'!$C$2:$C$100,MATCH($AM9,'Weapons Database'!$A$2:$A$100,0))&amp;" "&amp;INDEX('Weapons Database'!$D$2:$D$100,MATCH($AM9,'Weapons Database'!$A$2:$A$100,0)),""))</x:f>
      </x:c>
      <x:c r="AW9" s="63" t="str">
        <x:f>IF($AO9="","",IFERROR(INDEX('Weapons Database'!$C$2:$C$100,MATCH($AO9,'Weapons Database'!$A$2:$A$100,0))&amp;" "&amp;INDEX('Weapons Database'!$D$2:$D$100,MATCH($AO9,'Weapons Database'!$A$2:$A$100,0)),""))</x:f>
      </x:c>
      <x:c r="AX9" s="63"/>
    </x:row>
    <x:row r="10">
      <x:c r="A10" s="63"/>
      <x:c r="B10" s="63"/>
      <x:c r="C10" s="63"/>
      <x:c r="D10" s="63"/>
      <x:c r="E10" s="63"/>
      <x:c r="F10" s="63"/>
      <x:c r="G10" s="63"/>
      <x:c r="H10" s="63"/>
      <x:c r="I10" s="63"/>
      <x:c r="J10" s="63" t="str">
        <x:f>IF($B10="","",IF($AT10&lt;&gt;"",$AT10,$AU10))</x:f>
      </x:c>
      <x:c r="K10" s="63"/>
      <x:c r="L10" s="63"/>
      <x:c r="M10" s="63"/>
      <x:c r="N10" s="63"/>
      <x:c r="O10" s="63"/>
      <x:c r="P10" s="63"/>
      <x:c r="Q10" s="63"/>
      <x:c r="R10" s="63"/>
      <x:c r="S10" s="63"/>
      <x:c r="T10" s="63"/>
      <x:c r="U10" s="63"/>
      <x:c r="V10" s="63"/>
      <x:c r="W10" s="63"/>
      <x:c r="X10" s="63"/>
      <x:c r="Y10" s="63"/>
      <x:c r="Z10" s="63"/>
      <x:c r="AA10" s="63"/>
      <x:c r="AB10" s="63"/>
      <x:c r="AC10" s="63"/>
      <x:c r="AD10" s="63"/>
      <x:c r="AE10" s="63"/>
      <x:c r="AF10" s="63"/>
      <x:c r="AG10" s="63"/>
      <x:c r="AH10" s="63"/>
      <x:c r="AI10" s="63"/>
      <x:c r="AJ10" s="63"/>
      <x:c r="AK10" s="63"/>
      <x:c r="AL10" s="63"/>
      <x:c r="AM10" s="63"/>
      <x:c r="AN10" s="63"/>
      <x:c r="AO10" s="63"/>
      <x:c r="AP10" s="63"/>
      <x:c r="AQ10" s="63"/>
      <x:c r="AR10" s="63"/>
      <x:c r="AS10" s="137"/>
      <x:c r="AT10" s="137"/>
      <x:c r="AU10" s="63" t="str">
        <x:f>IF($B10="","",IF($AK10="",10+$W10,IFERROR(INDEX('Armor Database'!$D$2:$D$100,MATCH($AK10,'Armor Database'!$A$2:$A$100,0))+IF(INDEX('Armor Database'!$E$2:$E$100,MATCH($AK10,'Armor Database'!$A$2:$A$100,0))="Full",$W10,IF(INDEX('Armor Database'!$E$2:$E$100,MATCH($AK10,'Armor Database'!$A$2:$A$100,0))="Max 2",MIN($W10,2),0))+IF($AL10="Shield",2,0)+N($AS10),10+$W10+IF($AL10="Shield",2,0)+N($AS10))))</x:f>
      </x:c>
      <x:c r="AV10" s="63" t="str">
        <x:f>IF($AM10="","",IFERROR(INDEX('Weapons Database'!$C$2:$C$100,MATCH($AM10,'Weapons Database'!$A$2:$A$100,0))&amp;" "&amp;INDEX('Weapons Database'!$D$2:$D$100,MATCH($AM10,'Weapons Database'!$A$2:$A$100,0)),""))</x:f>
      </x:c>
      <x:c r="AW10" s="63" t="str">
        <x:f>IF($AO10="","",IFERROR(INDEX('Weapons Database'!$C$2:$C$100,MATCH($AO10,'Weapons Database'!$A$2:$A$100,0))&amp;" "&amp;INDEX('Weapons Database'!$D$2:$D$100,MATCH($AO10,'Weapons Database'!$A$2:$A$100,0)),""))</x:f>
      </x:c>
      <x:c r="AX10" s="63"/>
    </x:row>
    <x:row r="11">
      <x:c r="A11" s="63"/>
      <x:c r="B11" s="63"/>
      <x:c r="C11" s="63"/>
      <x:c r="D11" s="63"/>
      <x:c r="E11" s="63"/>
      <x:c r="F11" s="63"/>
      <x:c r="G11" s="63"/>
      <x:c r="H11" s="63"/>
      <x:c r="I11" s="63"/>
      <x:c r="J11" s="63" t="str">
        <x:f>IF($B11="","",IF($AT11&lt;&gt;"",$AT11,$AU11))</x:f>
      </x:c>
      <x:c r="K11" s="63"/>
      <x:c r="L11" s="63"/>
      <x:c r="M11" s="63"/>
      <x:c r="N11" s="63"/>
      <x:c r="O11" s="63"/>
      <x:c r="P11" s="63"/>
      <x:c r="Q11" s="63"/>
      <x:c r="R11" s="63"/>
      <x:c r="S11" s="63"/>
      <x:c r="T11" s="63"/>
      <x:c r="U11" s="63"/>
      <x:c r="V11" s="63"/>
      <x:c r="W11" s="63"/>
      <x:c r="X11" s="63"/>
      <x:c r="Y11" s="63"/>
      <x:c r="Z11" s="63"/>
      <x:c r="AA11" s="63"/>
      <x:c r="AB11" s="63"/>
      <x:c r="AC11" s="63"/>
      <x:c r="AD11" s="63"/>
      <x:c r="AE11" s="63"/>
      <x:c r="AF11" s="63"/>
      <x:c r="AG11" s="63"/>
      <x:c r="AH11" s="63"/>
      <x:c r="AI11" s="63"/>
      <x:c r="AJ11" s="63"/>
      <x:c r="AK11" s="63"/>
      <x:c r="AL11" s="63"/>
      <x:c r="AM11" s="63"/>
      <x:c r="AN11" s="63"/>
      <x:c r="AO11" s="63"/>
      <x:c r="AP11" s="63"/>
      <x:c r="AQ11" s="63"/>
      <x:c r="AR11" s="63"/>
      <x:c r="AS11" s="137"/>
      <x:c r="AT11" s="137"/>
      <x:c r="AU11" s="63" t="str">
        <x:f>IF($B11="","",IF($AK11="",10+$W11,IFERROR(INDEX('Armor Database'!$D$2:$D$100,MATCH($AK11,'Armor Database'!$A$2:$A$100,0))+IF(INDEX('Armor Database'!$E$2:$E$100,MATCH($AK11,'Armor Database'!$A$2:$A$100,0))="Full",$W11,IF(INDEX('Armor Database'!$E$2:$E$100,MATCH($AK11,'Armor Database'!$A$2:$A$100,0))="Max 2",MIN($W11,2),0))+IF($AL11="Shield",2,0)+N($AS11),10+$W11+IF($AL11="Shield",2,0)+N($AS11))))</x:f>
      </x:c>
      <x:c r="AV11" s="63" t="str">
        <x:f>IF($AM11="","",IFERROR(INDEX('Weapons Database'!$C$2:$C$100,MATCH($AM11,'Weapons Database'!$A$2:$A$100,0))&amp;" "&amp;INDEX('Weapons Database'!$D$2:$D$100,MATCH($AM11,'Weapons Database'!$A$2:$A$100,0)),""))</x:f>
      </x:c>
      <x:c r="AW11" s="63" t="str">
        <x:f>IF($AO11="","",IFERROR(INDEX('Weapons Database'!$C$2:$C$100,MATCH($AO11,'Weapons Database'!$A$2:$A$100,0))&amp;" "&amp;INDEX('Weapons Database'!$D$2:$D$100,MATCH($AO11,'Weapons Database'!$A$2:$A$100,0)),""))</x:f>
      </x:c>
      <x:c r="AX11" s="63"/>
    </x:row>
    <x:row r="12">
      <x:c r="A12" s="63"/>
      <x:c r="B12" s="63"/>
      <x:c r="C12" s="63"/>
      <x:c r="D12" s="63"/>
      <x:c r="E12" s="63"/>
      <x:c r="F12" s="63"/>
      <x:c r="G12" s="63"/>
      <x:c r="H12" s="63"/>
      <x:c r="I12" s="63"/>
      <x:c r="J12" s="63" t="str">
        <x:f>IF($B12="","",IF($AT12&lt;&gt;"",$AT12,$AU12))</x:f>
      </x:c>
      <x:c r="K12" s="63"/>
      <x:c r="L12" s="63"/>
      <x:c r="M12" s="63"/>
      <x:c r="N12" s="63"/>
      <x:c r="O12" s="63"/>
      <x:c r="P12" s="63"/>
      <x:c r="Q12" s="63"/>
      <x:c r="R12" s="63"/>
      <x:c r="S12" s="63"/>
      <x:c r="T12" s="63"/>
      <x:c r="U12" s="63"/>
      <x:c r="V12" s="63"/>
      <x:c r="W12" s="63"/>
      <x:c r="X12" s="63"/>
      <x:c r="Y12" s="63"/>
      <x:c r="Z12" s="63"/>
      <x:c r="AA12" s="63"/>
      <x:c r="AB12" s="63"/>
      <x:c r="AC12" s="63"/>
      <x:c r="AD12" s="63"/>
      <x:c r="AE12" s="63"/>
      <x:c r="AF12" s="63"/>
      <x:c r="AG12" s="63"/>
      <x:c r="AH12" s="63"/>
      <x:c r="AI12" s="63"/>
      <x:c r="AJ12" s="63"/>
      <x:c r="AK12" s="63"/>
      <x:c r="AL12" s="63"/>
      <x:c r="AM12" s="63"/>
      <x:c r="AN12" s="63"/>
      <x:c r="AO12" s="63"/>
      <x:c r="AP12" s="63"/>
      <x:c r="AQ12" s="63"/>
      <x:c r="AR12" s="63"/>
      <x:c r="AS12" s="137"/>
      <x:c r="AT12" s="137"/>
      <x:c r="AU12" s="63" t="str">
        <x:f>IF($B12="","",IF($AK12="",10+$W12,IFERROR(INDEX('Armor Database'!$D$2:$D$100,MATCH($AK12,'Armor Database'!$A$2:$A$100,0))+IF(INDEX('Armor Database'!$E$2:$E$100,MATCH($AK12,'Armor Database'!$A$2:$A$100,0))="Full",$W12,IF(INDEX('Armor Database'!$E$2:$E$100,MATCH($AK12,'Armor Database'!$A$2:$A$100,0))="Max 2",MIN($W12,2),0))+IF($AL12="Shield",2,0)+N($AS12),10+$W12+IF($AL12="Shield",2,0)+N($AS12))))</x:f>
      </x:c>
      <x:c r="AV12" s="63" t="str">
        <x:f>IF($AM12="","",IFERROR(INDEX('Weapons Database'!$C$2:$C$100,MATCH($AM12,'Weapons Database'!$A$2:$A$100,0))&amp;" "&amp;INDEX('Weapons Database'!$D$2:$D$100,MATCH($AM12,'Weapons Database'!$A$2:$A$100,0)),""))</x:f>
      </x:c>
      <x:c r="AW12" s="63" t="str">
        <x:f>IF($AO12="","",IFERROR(INDEX('Weapons Database'!$C$2:$C$100,MATCH($AO12,'Weapons Database'!$A$2:$A$100,0))&amp;" "&amp;INDEX('Weapons Database'!$D$2:$D$100,MATCH($AO12,'Weapons Database'!$A$2:$A$100,0)),""))</x:f>
      </x:c>
      <x:c r="AX12" s="63"/>
    </x:row>
    <x:row r="13">
      <x:c r="A13" s="63"/>
      <x:c r="B13" s="63"/>
      <x:c r="C13" s="63"/>
      <x:c r="D13" s="63"/>
      <x:c r="E13" s="63"/>
      <x:c r="F13" s="63"/>
      <x:c r="G13" s="63"/>
      <x:c r="H13" s="63"/>
      <x:c r="I13" s="63"/>
      <x:c r="J13" s="63" t="str">
        <x:f>IF($B13="","",IF($AT13&lt;&gt;"",$AT13,$AU13))</x:f>
      </x:c>
      <x:c r="K13" s="63"/>
      <x:c r="L13" s="63"/>
      <x:c r="M13" s="63"/>
      <x:c r="N13" s="63"/>
      <x:c r="O13" s="63"/>
      <x:c r="P13" s="63"/>
      <x:c r="Q13" s="63"/>
      <x:c r="R13" s="63"/>
      <x:c r="S13" s="63"/>
      <x:c r="T13" s="63"/>
      <x:c r="U13" s="63"/>
      <x:c r="V13" s="63"/>
      <x:c r="W13" s="63"/>
      <x:c r="X13" s="63"/>
      <x:c r="Y13" s="63"/>
      <x:c r="Z13" s="63"/>
      <x:c r="AA13" s="63"/>
      <x:c r="AB13" s="63"/>
      <x:c r="AC13" s="63"/>
      <x:c r="AD13" s="63"/>
      <x:c r="AE13" s="63"/>
      <x:c r="AF13" s="63"/>
      <x:c r="AG13" s="63"/>
      <x:c r="AH13" s="63"/>
      <x:c r="AI13" s="63"/>
      <x:c r="AJ13" s="63"/>
      <x:c r="AK13" s="63"/>
      <x:c r="AL13" s="63"/>
      <x:c r="AM13" s="63"/>
      <x:c r="AN13" s="63"/>
      <x:c r="AO13" s="63"/>
      <x:c r="AP13" s="63"/>
      <x:c r="AQ13" s="63"/>
      <x:c r="AR13" s="63"/>
      <x:c r="AS13" s="137"/>
      <x:c r="AT13" s="137"/>
      <x:c r="AU13" s="63" t="str">
        <x:f>IF($B13="","",IF($AK13="",10+$W13,IFERROR(INDEX('Armor Database'!$D$2:$D$100,MATCH($AK13,'Armor Database'!$A$2:$A$100,0))+IF(INDEX('Armor Database'!$E$2:$E$100,MATCH($AK13,'Armor Database'!$A$2:$A$100,0))="Full",$W13,IF(INDEX('Armor Database'!$E$2:$E$100,MATCH($AK13,'Armor Database'!$A$2:$A$100,0))="Max 2",MIN($W13,2),0))+IF($AL13="Shield",2,0)+N($AS13),10+$W13+IF($AL13="Shield",2,0)+N($AS13))))</x:f>
      </x:c>
      <x:c r="AV13" s="63" t="str">
        <x:f>IF($AM13="","",IFERROR(INDEX('Weapons Database'!$C$2:$C$100,MATCH($AM13,'Weapons Database'!$A$2:$A$100,0))&amp;" "&amp;INDEX('Weapons Database'!$D$2:$D$100,MATCH($AM13,'Weapons Database'!$A$2:$A$100,0)),""))</x:f>
      </x:c>
      <x:c r="AW13" s="63" t="str">
        <x:f>IF($AO13="","",IFERROR(INDEX('Weapons Database'!$C$2:$C$100,MATCH($AO13,'Weapons Database'!$A$2:$A$100,0))&amp;" "&amp;INDEX('Weapons Database'!$D$2:$D$100,MATCH($AO13,'Weapons Database'!$A$2:$A$100,0)),""))</x:f>
      </x:c>
      <x:c r="AX13" s="63"/>
    </x:row>
    <x:row r="14">
      <x:c r="A14" s="63"/>
      <x:c r="B14" s="63"/>
      <x:c r="C14" s="63"/>
      <x:c r="D14" s="63"/>
      <x:c r="E14" s="63"/>
      <x:c r="F14" s="63"/>
      <x:c r="G14" s="63"/>
      <x:c r="H14" s="63"/>
      <x:c r="I14" s="63"/>
      <x:c r="J14" s="63" t="str">
        <x:f>IF($B14="","",IF($AT14&lt;&gt;"",$AT14,$AU14))</x:f>
      </x:c>
      <x:c r="K14" s="63"/>
      <x:c r="L14" s="63"/>
      <x:c r="M14" s="63"/>
      <x:c r="N14" s="63"/>
      <x:c r="O14" s="63"/>
      <x:c r="P14" s="63"/>
      <x:c r="Q14" s="63"/>
      <x:c r="R14" s="63"/>
      <x:c r="S14" s="63"/>
      <x:c r="T14" s="63"/>
      <x:c r="U14" s="63"/>
      <x:c r="V14" s="63"/>
      <x:c r="W14" s="63"/>
      <x:c r="X14" s="63"/>
      <x:c r="Y14" s="63"/>
      <x:c r="Z14" s="63"/>
      <x:c r="AA14" s="63"/>
      <x:c r="AB14" s="63"/>
      <x:c r="AC14" s="63"/>
      <x:c r="AD14" s="63"/>
      <x:c r="AE14" s="63"/>
      <x:c r="AF14" s="63"/>
      <x:c r="AG14" s="63"/>
      <x:c r="AH14" s="63"/>
      <x:c r="AI14" s="63"/>
      <x:c r="AJ14" s="63"/>
      <x:c r="AK14" s="63"/>
      <x:c r="AL14" s="63"/>
      <x:c r="AM14" s="63"/>
      <x:c r="AN14" s="63"/>
      <x:c r="AO14" s="63"/>
      <x:c r="AP14" s="63"/>
      <x:c r="AQ14" s="63"/>
      <x:c r="AR14" s="63"/>
      <x:c r="AS14" s="137"/>
      <x:c r="AT14" s="137"/>
      <x:c r="AU14" s="63" t="str">
        <x:f>IF($B14="","",IF($AK14="",10+$W14,IFERROR(INDEX('Armor Database'!$D$2:$D$100,MATCH($AK14,'Armor Database'!$A$2:$A$100,0))+IF(INDEX('Armor Database'!$E$2:$E$100,MATCH($AK14,'Armor Database'!$A$2:$A$100,0))="Full",$W14,IF(INDEX('Armor Database'!$E$2:$E$100,MATCH($AK14,'Armor Database'!$A$2:$A$100,0))="Max 2",MIN($W14,2),0))+IF($AL14="Shield",2,0)+N($AS14),10+$W14+IF($AL14="Shield",2,0)+N($AS14))))</x:f>
      </x:c>
      <x:c r="AV14" s="63" t="str">
        <x:f>IF($AM14="","",IFERROR(INDEX('Weapons Database'!$C$2:$C$100,MATCH($AM14,'Weapons Database'!$A$2:$A$100,0))&amp;" "&amp;INDEX('Weapons Database'!$D$2:$D$100,MATCH($AM14,'Weapons Database'!$A$2:$A$100,0)),""))</x:f>
      </x:c>
      <x:c r="AW14" s="63" t="str">
        <x:f>IF($AO14="","",IFERROR(INDEX('Weapons Database'!$C$2:$C$100,MATCH($AO14,'Weapons Database'!$A$2:$A$100,0))&amp;" "&amp;INDEX('Weapons Database'!$D$2:$D$100,MATCH($AO14,'Weapons Database'!$A$2:$A$100,0)),""))</x:f>
      </x:c>
      <x:c r="AX14" s="63"/>
    </x:row>
    <x:row r="15">
      <x:c r="A15" s="63"/>
      <x:c r="B15" s="63"/>
      <x:c r="C15" s="63"/>
      <x:c r="D15" s="63"/>
      <x:c r="E15" s="63"/>
      <x:c r="F15" s="63"/>
      <x:c r="G15" s="63"/>
      <x:c r="H15" s="63"/>
      <x:c r="I15" s="63"/>
      <x:c r="J15" s="63" t="str">
        <x:f>IF($B15="","",IF($AT15&lt;&gt;"",$AT15,$AU15))</x:f>
      </x:c>
      <x:c r="K15" s="63"/>
      <x:c r="L15" s="63"/>
      <x:c r="M15" s="63"/>
      <x:c r="N15" s="63"/>
      <x:c r="O15" s="63"/>
      <x:c r="P15" s="63"/>
      <x:c r="Q15" s="63"/>
      <x:c r="R15" s="63"/>
      <x:c r="S15" s="63"/>
      <x:c r="T15" s="63"/>
      <x:c r="U15" s="63"/>
      <x:c r="V15" s="63"/>
      <x:c r="W15" s="63"/>
      <x:c r="X15" s="63"/>
      <x:c r="Y15" s="63"/>
      <x:c r="Z15" s="63"/>
      <x:c r="AA15" s="63"/>
      <x:c r="AB15" s="63"/>
      <x:c r="AC15" s="63"/>
      <x:c r="AD15" s="63"/>
      <x:c r="AE15" s="63"/>
      <x:c r="AF15" s="63"/>
      <x:c r="AG15" s="63"/>
      <x:c r="AH15" s="63"/>
      <x:c r="AI15" s="63"/>
      <x:c r="AJ15" s="63"/>
      <x:c r="AK15" s="63"/>
      <x:c r="AL15" s="63"/>
      <x:c r="AM15" s="63"/>
      <x:c r="AN15" s="63"/>
      <x:c r="AO15" s="63"/>
      <x:c r="AP15" s="63"/>
      <x:c r="AQ15" s="63"/>
      <x:c r="AR15" s="63"/>
      <x:c r="AS15" s="137"/>
      <x:c r="AT15" s="137"/>
      <x:c r="AU15" s="63" t="str">
        <x:f>IF($B15="","",IF($AK15="",10+$W15,IFERROR(INDEX('Armor Database'!$D$2:$D$100,MATCH($AK15,'Armor Database'!$A$2:$A$100,0))+IF(INDEX('Armor Database'!$E$2:$E$100,MATCH($AK15,'Armor Database'!$A$2:$A$100,0))="Full",$W15,IF(INDEX('Armor Database'!$E$2:$E$100,MATCH($AK15,'Armor Database'!$A$2:$A$100,0))="Max 2",MIN($W15,2),0))+IF($AL15="Shield",2,0)+N($AS15),10+$W15+IF($AL15="Shield",2,0)+N($AS15))))</x:f>
      </x:c>
      <x:c r="AV15" s="63" t="str">
        <x:f>IF($AM15="","",IFERROR(INDEX('Weapons Database'!$C$2:$C$100,MATCH($AM15,'Weapons Database'!$A$2:$A$100,0))&amp;" "&amp;INDEX('Weapons Database'!$D$2:$D$100,MATCH($AM15,'Weapons Database'!$A$2:$A$100,0)),""))</x:f>
      </x:c>
      <x:c r="AW15" s="63" t="str">
        <x:f>IF($AO15="","",IFERROR(INDEX('Weapons Database'!$C$2:$C$100,MATCH($AO15,'Weapons Database'!$A$2:$A$100,0))&amp;" "&amp;INDEX('Weapons Database'!$D$2:$D$100,MATCH($AO15,'Weapons Database'!$A$2:$A$100,0)),""))</x:f>
      </x:c>
      <x:c r="AX15" s="63"/>
    </x:row>
    <x:row r="16">
      <x:c r="A16" s="63"/>
      <x:c r="B16" s="63"/>
      <x:c r="C16" s="63"/>
      <x:c r="D16" s="63"/>
      <x:c r="E16" s="63"/>
      <x:c r="F16" s="63"/>
      <x:c r="G16" s="63"/>
      <x:c r="H16" s="63"/>
      <x:c r="I16" s="63"/>
      <x:c r="J16" s="63" t="str">
        <x:f>IF($B16="","",IF($AT16&lt;&gt;"",$AT16,$AU16))</x:f>
      </x:c>
      <x:c r="K16" s="63"/>
      <x:c r="L16" s="63"/>
      <x:c r="M16" s="63"/>
      <x:c r="N16" s="63"/>
      <x:c r="O16" s="63"/>
      <x:c r="P16" s="63"/>
      <x:c r="Q16" s="63"/>
      <x:c r="R16" s="63"/>
      <x:c r="S16" s="63"/>
      <x:c r="T16" s="63"/>
      <x:c r="U16" s="63"/>
      <x:c r="V16" s="63"/>
      <x:c r="W16" s="63"/>
      <x:c r="X16" s="63"/>
      <x:c r="Y16" s="63"/>
      <x:c r="Z16" s="63"/>
      <x:c r="AA16" s="63"/>
      <x:c r="AB16" s="63"/>
      <x:c r="AC16" s="63"/>
      <x:c r="AD16" s="63"/>
      <x:c r="AE16" s="63"/>
      <x:c r="AF16" s="63"/>
      <x:c r="AG16" s="63"/>
      <x:c r="AH16" s="63"/>
      <x:c r="AI16" s="63"/>
      <x:c r="AJ16" s="63"/>
      <x:c r="AK16" s="63"/>
      <x:c r="AL16" s="63"/>
      <x:c r="AM16" s="63"/>
      <x:c r="AN16" s="63"/>
      <x:c r="AO16" s="63"/>
      <x:c r="AP16" s="63"/>
      <x:c r="AQ16" s="63"/>
      <x:c r="AR16" s="63"/>
      <x:c r="AS16" s="137"/>
      <x:c r="AT16" s="137"/>
      <x:c r="AU16" s="63" t="str">
        <x:f>IF($B16="","",IF($AK16="",10+$W16,IFERROR(INDEX('Armor Database'!$D$2:$D$100,MATCH($AK16,'Armor Database'!$A$2:$A$100,0))+IF(INDEX('Armor Database'!$E$2:$E$100,MATCH($AK16,'Armor Database'!$A$2:$A$100,0))="Full",$W16,IF(INDEX('Armor Database'!$E$2:$E$100,MATCH($AK16,'Armor Database'!$A$2:$A$100,0))="Max 2",MIN($W16,2),0))+IF($AL16="Shield",2,0)+N($AS16),10+$W16+IF($AL16="Shield",2,0)+N($AS16))))</x:f>
      </x:c>
      <x:c r="AV16" s="63" t="str">
        <x:f>IF($AM16="","",IFERROR(INDEX('Weapons Database'!$C$2:$C$100,MATCH($AM16,'Weapons Database'!$A$2:$A$100,0))&amp;" "&amp;INDEX('Weapons Database'!$D$2:$D$100,MATCH($AM16,'Weapons Database'!$A$2:$A$100,0)),""))</x:f>
      </x:c>
      <x:c r="AW16" s="63" t="str">
        <x:f>IF($AO16="","",IFERROR(INDEX('Weapons Database'!$C$2:$C$100,MATCH($AO16,'Weapons Database'!$A$2:$A$100,0))&amp;" "&amp;INDEX('Weapons Database'!$D$2:$D$100,MATCH($AO16,'Weapons Database'!$A$2:$A$100,0)),""))</x:f>
      </x:c>
      <x:c r="AX16" s="63"/>
    </x:row>
    <x:row r="17">
      <x:c r="A17" s="63"/>
      <x:c r="B17" s="63"/>
      <x:c r="C17" s="63"/>
      <x:c r="D17" s="63"/>
      <x:c r="E17" s="63"/>
      <x:c r="F17" s="63"/>
      <x:c r="G17" s="63"/>
      <x:c r="H17" s="63"/>
      <x:c r="I17" s="63"/>
      <x:c r="J17" s="63" t="str">
        <x:f>IF($B17="","",IF($AT17&lt;&gt;"",$AT17,$AU17))</x:f>
      </x:c>
      <x:c r="K17" s="63"/>
      <x:c r="L17" s="63"/>
      <x:c r="M17" s="63"/>
      <x:c r="N17" s="63"/>
      <x:c r="O17" s="63"/>
      <x:c r="P17" s="63"/>
      <x:c r="Q17" s="63"/>
      <x:c r="R17" s="63"/>
      <x:c r="S17" s="63"/>
      <x:c r="T17" s="63"/>
      <x:c r="U17" s="63"/>
      <x:c r="V17" s="63"/>
      <x:c r="W17" s="63"/>
      <x:c r="X17" s="63"/>
      <x:c r="Y17" s="63"/>
      <x:c r="Z17" s="63"/>
      <x:c r="AA17" s="63"/>
      <x:c r="AB17" s="63"/>
      <x:c r="AC17" s="63"/>
      <x:c r="AD17" s="63"/>
      <x:c r="AE17" s="63"/>
      <x:c r="AF17" s="63"/>
      <x:c r="AG17" s="63"/>
      <x:c r="AH17" s="63"/>
      <x:c r="AI17" s="63"/>
      <x:c r="AJ17" s="63"/>
      <x:c r="AK17" s="63"/>
      <x:c r="AL17" s="63"/>
      <x:c r="AM17" s="63"/>
      <x:c r="AN17" s="63"/>
      <x:c r="AO17" s="63"/>
      <x:c r="AP17" s="63"/>
      <x:c r="AQ17" s="63"/>
      <x:c r="AR17" s="63"/>
      <x:c r="AS17" s="137"/>
      <x:c r="AT17" s="137"/>
      <x:c r="AU17" s="63" t="str">
        <x:f>IF($B17="","",IF($AK17="",10+$W17,IFERROR(INDEX('Armor Database'!$D$2:$D$100,MATCH($AK17,'Armor Database'!$A$2:$A$100,0))+IF(INDEX('Armor Database'!$E$2:$E$100,MATCH($AK17,'Armor Database'!$A$2:$A$100,0))="Full",$W17,IF(INDEX('Armor Database'!$E$2:$E$100,MATCH($AK17,'Armor Database'!$A$2:$A$100,0))="Max 2",MIN($W17,2),0))+IF($AL17="Shield",2,0)+N($AS17),10+$W17+IF($AL17="Shield",2,0)+N($AS17))))</x:f>
      </x:c>
      <x:c r="AV17" s="63" t="str">
        <x:f>IF($AM17="","",IFERROR(INDEX('Weapons Database'!$C$2:$C$100,MATCH($AM17,'Weapons Database'!$A$2:$A$100,0))&amp;" "&amp;INDEX('Weapons Database'!$D$2:$D$100,MATCH($AM17,'Weapons Database'!$A$2:$A$100,0)),""))</x:f>
      </x:c>
      <x:c r="AW17" s="63" t="str">
        <x:f>IF($AO17="","",IFERROR(INDEX('Weapons Database'!$C$2:$C$100,MATCH($AO17,'Weapons Database'!$A$2:$A$100,0))&amp;" "&amp;INDEX('Weapons Database'!$D$2:$D$100,MATCH($AO17,'Weapons Database'!$A$2:$A$100,0)),""))</x:f>
      </x:c>
      <x:c r="AX17" s="63"/>
    </x:row>
    <x:row r="18">
      <x:c r="A18" s="63"/>
      <x:c r="B18" s="63"/>
      <x:c r="C18" s="63"/>
      <x:c r="D18" s="63"/>
      <x:c r="E18" s="63"/>
      <x:c r="F18" s="63"/>
      <x:c r="G18" s="63"/>
      <x:c r="H18" s="63"/>
      <x:c r="I18" s="63"/>
      <x:c r="J18" s="63" t="str">
        <x:f>IF($B18="","",IF($AT18&lt;&gt;"",$AT18,$AU18))</x:f>
      </x:c>
      <x:c r="K18" s="63"/>
      <x:c r="L18" s="63"/>
      <x:c r="M18" s="63"/>
      <x:c r="N18" s="63"/>
      <x:c r="O18" s="63"/>
      <x:c r="P18" s="63"/>
      <x:c r="Q18" s="63"/>
      <x:c r="R18" s="63"/>
      <x:c r="S18" s="63"/>
      <x:c r="T18" s="63"/>
      <x:c r="U18" s="63"/>
      <x:c r="V18" s="63"/>
      <x:c r="W18" s="63"/>
      <x:c r="X18" s="63"/>
      <x:c r="Y18" s="63"/>
      <x:c r="Z18" s="63"/>
      <x:c r="AA18" s="63"/>
      <x:c r="AB18" s="63"/>
      <x:c r="AC18" s="63"/>
      <x:c r="AD18" s="63"/>
      <x:c r="AE18" s="63"/>
      <x:c r="AF18" s="63"/>
      <x:c r="AG18" s="63"/>
      <x:c r="AH18" s="63"/>
      <x:c r="AI18" s="63"/>
      <x:c r="AJ18" s="63"/>
      <x:c r="AK18" s="63"/>
      <x:c r="AL18" s="63"/>
      <x:c r="AM18" s="63"/>
      <x:c r="AN18" s="63"/>
      <x:c r="AO18" s="63"/>
      <x:c r="AP18" s="63"/>
      <x:c r="AQ18" s="63"/>
      <x:c r="AR18" s="63"/>
      <x:c r="AS18" s="137"/>
      <x:c r="AT18" s="137"/>
      <x:c r="AU18" s="63" t="str">
        <x:f>IF($B18="","",IF($AK18="",10+$W18,IFERROR(INDEX('Armor Database'!$D$2:$D$100,MATCH($AK18,'Armor Database'!$A$2:$A$100,0))+IF(INDEX('Armor Database'!$E$2:$E$100,MATCH($AK18,'Armor Database'!$A$2:$A$100,0))="Full",$W18,IF(INDEX('Armor Database'!$E$2:$E$100,MATCH($AK18,'Armor Database'!$A$2:$A$100,0))="Max 2",MIN($W18,2),0))+IF($AL18="Shield",2,0)+N($AS18),10+$W18+IF($AL18="Shield",2,0)+N($AS18))))</x:f>
      </x:c>
      <x:c r="AV18" s="63" t="str">
        <x:f>IF($AM18="","",IFERROR(INDEX('Weapons Database'!$C$2:$C$100,MATCH($AM18,'Weapons Database'!$A$2:$A$100,0))&amp;" "&amp;INDEX('Weapons Database'!$D$2:$D$100,MATCH($AM18,'Weapons Database'!$A$2:$A$100,0)),""))</x:f>
      </x:c>
      <x:c r="AW18" s="63" t="str">
        <x:f>IF($AO18="","",IFERROR(INDEX('Weapons Database'!$C$2:$C$100,MATCH($AO18,'Weapons Database'!$A$2:$A$100,0))&amp;" "&amp;INDEX('Weapons Database'!$D$2:$D$100,MATCH($AO18,'Weapons Database'!$A$2:$A$100,0)),""))</x:f>
      </x:c>
      <x:c r="AX18" s="63"/>
    </x:row>
    <x:row r="19">
      <x:c r="A19" s="63"/>
      <x:c r="B19" s="63"/>
      <x:c r="C19" s="63"/>
      <x:c r="D19" s="63"/>
      <x:c r="E19" s="63"/>
      <x:c r="F19" s="63"/>
      <x:c r="G19" s="63"/>
      <x:c r="H19" s="63"/>
      <x:c r="I19" s="63"/>
      <x:c r="J19" s="63" t="str">
        <x:f>IF($B19="","",IF($AT19&lt;&gt;"",$AT19,$AU19))</x:f>
      </x:c>
      <x:c r="K19" s="63"/>
      <x:c r="L19" s="63"/>
      <x:c r="M19" s="63"/>
      <x:c r="N19" s="63"/>
      <x:c r="O19" s="63"/>
      <x:c r="P19" s="63"/>
      <x:c r="Q19" s="63"/>
      <x:c r="R19" s="63"/>
      <x:c r="S19" s="63"/>
      <x:c r="T19" s="63"/>
      <x:c r="U19" s="63"/>
      <x:c r="V19" s="63"/>
      <x:c r="W19" s="63"/>
      <x:c r="X19" s="63"/>
      <x:c r="Y19" s="63"/>
      <x:c r="Z19" s="63"/>
      <x:c r="AA19" s="63"/>
      <x:c r="AB19" s="63"/>
      <x:c r="AC19" s="63"/>
      <x:c r="AD19" s="63"/>
      <x:c r="AE19" s="63"/>
      <x:c r="AF19" s="63"/>
      <x:c r="AG19" s="63"/>
      <x:c r="AH19" s="63"/>
      <x:c r="AI19" s="63"/>
      <x:c r="AJ19" s="63"/>
      <x:c r="AK19" s="63"/>
      <x:c r="AL19" s="63"/>
      <x:c r="AM19" s="63"/>
      <x:c r="AN19" s="63"/>
      <x:c r="AO19" s="63"/>
      <x:c r="AP19" s="63"/>
      <x:c r="AQ19" s="63"/>
      <x:c r="AR19" s="63"/>
      <x:c r="AS19" s="137"/>
      <x:c r="AT19" s="137"/>
      <x:c r="AU19" s="63" t="str">
        <x:f>IF($B19="","",IF($AK19="",10+$W19,IFERROR(INDEX('Armor Database'!$D$2:$D$100,MATCH($AK19,'Armor Database'!$A$2:$A$100,0))+IF(INDEX('Armor Database'!$E$2:$E$100,MATCH($AK19,'Armor Database'!$A$2:$A$100,0))="Full",$W19,IF(INDEX('Armor Database'!$E$2:$E$100,MATCH($AK19,'Armor Database'!$A$2:$A$100,0))="Max 2",MIN($W19,2),0))+IF($AL19="Shield",2,0)+N($AS19),10+$W19+IF($AL19="Shield",2,0)+N($AS19))))</x:f>
      </x:c>
      <x:c r="AV19" s="63" t="str">
        <x:f>IF($AM19="","",IFERROR(INDEX('Weapons Database'!$C$2:$C$100,MATCH($AM19,'Weapons Database'!$A$2:$A$100,0))&amp;" "&amp;INDEX('Weapons Database'!$D$2:$D$100,MATCH($AM19,'Weapons Database'!$A$2:$A$100,0)),""))</x:f>
      </x:c>
      <x:c r="AW19" s="63" t="str">
        <x:f>IF($AO19="","",IFERROR(INDEX('Weapons Database'!$C$2:$C$100,MATCH($AO19,'Weapons Database'!$A$2:$A$100,0))&amp;" "&amp;INDEX('Weapons Database'!$D$2:$D$100,MATCH($AO19,'Weapons Database'!$A$2:$A$100,0)),""))</x:f>
      </x:c>
      <x:c r="AX19" s="63"/>
    </x:row>
    <x:row r="20">
      <x:c r="A20" s="63"/>
      <x:c r="B20" s="63"/>
      <x:c r="C20" s="63"/>
      <x:c r="D20" s="63"/>
      <x:c r="E20" s="63"/>
      <x:c r="F20" s="63"/>
      <x:c r="G20" s="63"/>
      <x:c r="H20" s="63"/>
      <x:c r="I20" s="63"/>
      <x:c r="J20" s="63" t="str">
        <x:f>IF($B20="","",IF($AT20&lt;&gt;"",$AT20,$AU20))</x:f>
      </x:c>
      <x:c r="K20" s="63"/>
      <x:c r="L20" s="63"/>
      <x:c r="M20" s="63"/>
      <x:c r="N20" s="63"/>
      <x:c r="O20" s="63"/>
      <x:c r="P20" s="63"/>
      <x:c r="Q20" s="63"/>
      <x:c r="R20" s="63"/>
      <x:c r="S20" s="63"/>
      <x:c r="T20" s="63"/>
      <x:c r="U20" s="63"/>
      <x:c r="V20" s="63"/>
      <x:c r="W20" s="63"/>
      <x:c r="X20" s="63"/>
      <x:c r="Y20" s="63"/>
      <x:c r="Z20" s="63"/>
      <x:c r="AA20" s="63"/>
      <x:c r="AB20" s="63"/>
      <x:c r="AC20" s="63"/>
      <x:c r="AD20" s="63"/>
      <x:c r="AE20" s="63"/>
      <x:c r="AF20" s="63"/>
      <x:c r="AG20" s="63"/>
      <x:c r="AH20" s="63"/>
      <x:c r="AI20" s="63"/>
      <x:c r="AJ20" s="63"/>
      <x:c r="AK20" s="63"/>
      <x:c r="AL20" s="63"/>
      <x:c r="AM20" s="63"/>
      <x:c r="AN20" s="63"/>
      <x:c r="AO20" s="63"/>
      <x:c r="AP20" s="63"/>
      <x:c r="AQ20" s="63"/>
      <x:c r="AR20" s="63"/>
      <x:c r="AS20" s="137"/>
      <x:c r="AT20" s="137"/>
      <x:c r="AU20" s="63" t="str">
        <x:f>IF($B20="","",IF($AK20="",10+$W20,IFERROR(INDEX('Armor Database'!$D$2:$D$100,MATCH($AK20,'Armor Database'!$A$2:$A$100,0))+IF(INDEX('Armor Database'!$E$2:$E$100,MATCH($AK20,'Armor Database'!$A$2:$A$100,0))="Full",$W20,IF(INDEX('Armor Database'!$E$2:$E$100,MATCH($AK20,'Armor Database'!$A$2:$A$100,0))="Max 2",MIN($W20,2),0))+IF($AL20="Shield",2,0)+N($AS20),10+$W20+IF($AL20="Shield",2,0)+N($AS20))))</x:f>
      </x:c>
      <x:c r="AV20" s="63" t="str">
        <x:f>IF($AM20="","",IFERROR(INDEX('Weapons Database'!$C$2:$C$100,MATCH($AM20,'Weapons Database'!$A$2:$A$100,0))&amp;" "&amp;INDEX('Weapons Database'!$D$2:$D$100,MATCH($AM20,'Weapons Database'!$A$2:$A$100,0)),""))</x:f>
      </x:c>
      <x:c r="AW20" s="63" t="str">
        <x:f>IF($AO20="","",IFERROR(INDEX('Weapons Database'!$C$2:$C$100,MATCH($AO20,'Weapons Database'!$A$2:$A$100,0))&amp;" "&amp;INDEX('Weapons Database'!$D$2:$D$100,MATCH($AO20,'Weapons Database'!$A$2:$A$100,0)),""))</x:f>
      </x:c>
      <x:c r="AX20" s="63"/>
    </x:row>
    <x:row r="21">
      <x:c r="A21" s="63"/>
      <x:c r="B21" s="63"/>
      <x:c r="C21" s="63"/>
      <x:c r="D21" s="63"/>
      <x:c r="E21" s="63"/>
      <x:c r="F21" s="63"/>
      <x:c r="G21" s="63"/>
      <x:c r="H21" s="63"/>
      <x:c r="I21" s="63"/>
      <x:c r="J21" s="63" t="str">
        <x:f>IF($B21="","",IF($AT21&lt;&gt;"",$AT21,$AU21))</x:f>
      </x:c>
      <x:c r="K21" s="63"/>
      <x:c r="L21" s="63"/>
      <x:c r="M21" s="63"/>
      <x:c r="N21" s="63"/>
      <x:c r="O21" s="63"/>
      <x:c r="P21" s="63"/>
      <x:c r="Q21" s="63"/>
      <x:c r="R21" s="63"/>
      <x:c r="S21" s="63"/>
      <x:c r="T21" s="63"/>
      <x:c r="U21" s="63"/>
      <x:c r="V21" s="63"/>
      <x:c r="W21" s="63"/>
      <x:c r="X21" s="63"/>
      <x:c r="Y21" s="63"/>
      <x:c r="Z21" s="63"/>
      <x:c r="AA21" s="63"/>
      <x:c r="AB21" s="63"/>
      <x:c r="AC21" s="63"/>
      <x:c r="AD21" s="63"/>
      <x:c r="AE21" s="63"/>
      <x:c r="AF21" s="63"/>
      <x:c r="AG21" s="63"/>
      <x:c r="AH21" s="63"/>
      <x:c r="AI21" s="63"/>
      <x:c r="AJ21" s="63"/>
      <x:c r="AK21" s="63"/>
      <x:c r="AL21" s="63"/>
      <x:c r="AM21" s="63"/>
      <x:c r="AN21" s="63"/>
      <x:c r="AO21" s="63"/>
      <x:c r="AP21" s="63"/>
      <x:c r="AQ21" s="63"/>
      <x:c r="AR21" s="63"/>
      <x:c r="AS21" s="137"/>
      <x:c r="AT21" s="137"/>
      <x:c r="AU21" s="63" t="str">
        <x:f>IF($B21="","",IF($AK21="",10+$W21,IFERROR(INDEX('Armor Database'!$D$2:$D$100,MATCH($AK21,'Armor Database'!$A$2:$A$100,0))+IF(INDEX('Armor Database'!$E$2:$E$100,MATCH($AK21,'Armor Database'!$A$2:$A$100,0))="Full",$W21,IF(INDEX('Armor Database'!$E$2:$E$100,MATCH($AK21,'Armor Database'!$A$2:$A$100,0))="Max 2",MIN($W21,2),0))+IF($AL21="Shield",2,0)+N($AS21),10+$W21+IF($AL21="Shield",2,0)+N($AS21))))</x:f>
      </x:c>
      <x:c r="AV21" s="63" t="str">
        <x:f>IF($AM21="","",IFERROR(INDEX('Weapons Database'!$C$2:$C$100,MATCH($AM21,'Weapons Database'!$A$2:$A$100,0))&amp;" "&amp;INDEX('Weapons Database'!$D$2:$D$100,MATCH($AM21,'Weapons Database'!$A$2:$A$100,0)),""))</x:f>
      </x:c>
      <x:c r="AW21" s="63" t="str">
        <x:f>IF($AO21="","",IFERROR(INDEX('Weapons Database'!$C$2:$C$100,MATCH($AO21,'Weapons Database'!$A$2:$A$100,0))&amp;" "&amp;INDEX('Weapons Database'!$D$2:$D$100,MATCH($AO21,'Weapons Database'!$A$2:$A$100,0)),""))</x:f>
      </x:c>
      <x:c r="AX21" s="63"/>
    </x:row>
    <x:row r="22">
      <x:c r="A22" s="63"/>
      <x:c r="B22" s="63"/>
      <x:c r="C22" s="63"/>
      <x:c r="D22" s="63"/>
      <x:c r="E22" s="63"/>
      <x:c r="F22" s="63"/>
      <x:c r="G22" s="63"/>
      <x:c r="H22" s="63"/>
      <x:c r="I22" s="63"/>
      <x:c r="J22" s="63" t="str">
        <x:f>IF($B22="","",IF($AT22&lt;&gt;"",$AT22,$AU22))</x:f>
      </x:c>
      <x:c r="K22" s="63"/>
      <x:c r="L22" s="63"/>
      <x:c r="M22" s="63"/>
      <x:c r="N22" s="63"/>
      <x:c r="O22" s="63"/>
      <x:c r="P22" s="63"/>
      <x:c r="Q22" s="63"/>
      <x:c r="R22" s="63"/>
      <x:c r="S22" s="63"/>
      <x:c r="T22" s="63"/>
      <x:c r="U22" s="63"/>
      <x:c r="V22" s="63"/>
      <x:c r="W22" s="63"/>
      <x:c r="X22" s="63"/>
      <x:c r="Y22" s="63"/>
      <x:c r="Z22" s="63"/>
      <x:c r="AA22" s="63"/>
      <x:c r="AB22" s="63"/>
      <x:c r="AC22" s="63"/>
      <x:c r="AD22" s="63"/>
      <x:c r="AE22" s="63"/>
      <x:c r="AF22" s="63"/>
      <x:c r="AG22" s="63"/>
      <x:c r="AH22" s="63"/>
      <x:c r="AI22" s="63"/>
      <x:c r="AJ22" s="63"/>
      <x:c r="AK22" s="63"/>
      <x:c r="AL22" s="63"/>
      <x:c r="AM22" s="63"/>
      <x:c r="AN22" s="63"/>
      <x:c r="AO22" s="63"/>
      <x:c r="AP22" s="63"/>
      <x:c r="AQ22" s="63"/>
      <x:c r="AR22" s="63"/>
      <x:c r="AS22" s="137"/>
      <x:c r="AT22" s="137"/>
      <x:c r="AU22" s="63" t="str">
        <x:f>IF($B22="","",IF($AK22="",10+$W22,IFERROR(INDEX('Armor Database'!$D$2:$D$100,MATCH($AK22,'Armor Database'!$A$2:$A$100,0))+IF(INDEX('Armor Database'!$E$2:$E$100,MATCH($AK22,'Armor Database'!$A$2:$A$100,0))="Full",$W22,IF(INDEX('Armor Database'!$E$2:$E$100,MATCH($AK22,'Armor Database'!$A$2:$A$100,0))="Max 2",MIN($W22,2),0))+IF($AL22="Shield",2,0)+N($AS22),10+$W22+IF($AL22="Shield",2,0)+N($AS22))))</x:f>
      </x:c>
      <x:c r="AV22" s="63" t="str">
        <x:f>IF($AM22="","",IFERROR(INDEX('Weapons Database'!$C$2:$C$100,MATCH($AM22,'Weapons Database'!$A$2:$A$100,0))&amp;" "&amp;INDEX('Weapons Database'!$D$2:$D$100,MATCH($AM22,'Weapons Database'!$A$2:$A$100,0)),""))</x:f>
      </x:c>
      <x:c r="AW22" s="63" t="str">
        <x:f>IF($AO22="","",IFERROR(INDEX('Weapons Database'!$C$2:$C$100,MATCH($AO22,'Weapons Database'!$A$2:$A$100,0))&amp;" "&amp;INDEX('Weapons Database'!$D$2:$D$100,MATCH($AO22,'Weapons Database'!$A$2:$A$100,0)),""))</x:f>
      </x:c>
      <x:c r="AX22" s="63"/>
    </x:row>
    <x:row r="23">
      <x:c r="A23" s="63"/>
      <x:c r="B23" s="63"/>
      <x:c r="C23" s="63"/>
      <x:c r="D23" s="63"/>
      <x:c r="E23" s="63"/>
      <x:c r="F23" s="63"/>
      <x:c r="G23" s="63"/>
      <x:c r="H23" s="63"/>
      <x:c r="I23" s="63"/>
      <x:c r="J23" s="63" t="str">
        <x:f>IF($B23="","",IF($AT23&lt;&gt;"",$AT23,$AU23))</x:f>
      </x:c>
      <x:c r="K23" s="63"/>
      <x:c r="L23" s="63"/>
      <x:c r="M23" s="63"/>
      <x:c r="N23" s="63"/>
      <x:c r="O23" s="63"/>
      <x:c r="P23" s="63"/>
      <x:c r="Q23" s="63"/>
      <x:c r="R23" s="63"/>
      <x:c r="S23" s="63"/>
      <x:c r="T23" s="63"/>
      <x:c r="U23" s="63"/>
      <x:c r="V23" s="63"/>
      <x:c r="W23" s="63"/>
      <x:c r="X23" s="63"/>
      <x:c r="Y23" s="63"/>
      <x:c r="Z23" s="63"/>
      <x:c r="AA23" s="63"/>
      <x:c r="AB23" s="63"/>
      <x:c r="AC23" s="63"/>
      <x:c r="AD23" s="63"/>
      <x:c r="AE23" s="63"/>
      <x:c r="AF23" s="63"/>
      <x:c r="AG23" s="63"/>
      <x:c r="AH23" s="63"/>
      <x:c r="AI23" s="63"/>
      <x:c r="AJ23" s="63"/>
      <x:c r="AK23" s="63"/>
      <x:c r="AL23" s="63"/>
      <x:c r="AM23" s="63"/>
      <x:c r="AN23" s="63"/>
      <x:c r="AO23" s="63"/>
      <x:c r="AP23" s="63"/>
      <x:c r="AQ23" s="63"/>
      <x:c r="AR23" s="63"/>
      <x:c r="AS23" s="137"/>
      <x:c r="AT23" s="137"/>
      <x:c r="AU23" s="63" t="str">
        <x:f>IF($B23="","",IF($AK23="",10+$W23,IFERROR(INDEX('Armor Database'!$D$2:$D$100,MATCH($AK23,'Armor Database'!$A$2:$A$100,0))+IF(INDEX('Armor Database'!$E$2:$E$100,MATCH($AK23,'Armor Database'!$A$2:$A$100,0))="Full",$W23,IF(INDEX('Armor Database'!$E$2:$E$100,MATCH($AK23,'Armor Database'!$A$2:$A$100,0))="Max 2",MIN($W23,2),0))+IF($AL23="Shield",2,0)+N($AS23),10+$W23+IF($AL23="Shield",2,0)+N($AS23))))</x:f>
      </x:c>
      <x:c r="AV23" s="63" t="str">
        <x:f>IF($AM23="","",IFERROR(INDEX('Weapons Database'!$C$2:$C$100,MATCH($AM23,'Weapons Database'!$A$2:$A$100,0))&amp;" "&amp;INDEX('Weapons Database'!$D$2:$D$100,MATCH($AM23,'Weapons Database'!$A$2:$A$100,0)),""))</x:f>
      </x:c>
      <x:c r="AW23" s="63" t="str">
        <x:f>IF($AO23="","",IFERROR(INDEX('Weapons Database'!$C$2:$C$100,MATCH($AO23,'Weapons Database'!$A$2:$A$100,0))&amp;" "&amp;INDEX('Weapons Database'!$D$2:$D$100,MATCH($AO23,'Weapons Database'!$A$2:$A$100,0)),""))</x:f>
      </x:c>
      <x:c r="AX23" s="63"/>
    </x:row>
    <x:row r="24">
      <x:c r="A24" s="63"/>
      <x:c r="B24" s="63"/>
      <x:c r="C24" s="63"/>
      <x:c r="D24" s="63"/>
      <x:c r="E24" s="63"/>
      <x:c r="F24" s="63"/>
      <x:c r="G24" s="63"/>
      <x:c r="H24" s="63"/>
      <x:c r="I24" s="63"/>
      <x:c r="J24" s="63" t="str">
        <x:f>IF($B24="","",IF($AT24&lt;&gt;"",$AT24,$AU24))</x:f>
      </x:c>
      <x:c r="K24" s="63"/>
      <x:c r="L24" s="63"/>
      <x:c r="M24" s="63"/>
      <x:c r="N24" s="63"/>
      <x:c r="O24" s="63"/>
      <x:c r="P24" s="63"/>
      <x:c r="Q24" s="63"/>
      <x:c r="R24" s="63"/>
      <x:c r="S24" s="63"/>
      <x:c r="T24" s="63"/>
      <x:c r="U24" s="63"/>
      <x:c r="V24" s="63"/>
      <x:c r="W24" s="63"/>
      <x:c r="X24" s="63"/>
      <x:c r="Y24" s="63"/>
      <x:c r="Z24" s="63"/>
      <x:c r="AA24" s="63"/>
      <x:c r="AB24" s="63"/>
      <x:c r="AC24" s="63"/>
      <x:c r="AD24" s="63"/>
      <x:c r="AE24" s="63"/>
      <x:c r="AF24" s="63"/>
      <x:c r="AG24" s="63"/>
      <x:c r="AH24" s="63"/>
      <x:c r="AI24" s="63"/>
      <x:c r="AJ24" s="63"/>
      <x:c r="AK24" s="63"/>
      <x:c r="AL24" s="63"/>
      <x:c r="AM24" s="63"/>
      <x:c r="AN24" s="63"/>
      <x:c r="AO24" s="63"/>
      <x:c r="AP24" s="63"/>
      <x:c r="AQ24" s="63"/>
      <x:c r="AR24" s="63"/>
      <x:c r="AS24" s="137"/>
      <x:c r="AT24" s="137"/>
      <x:c r="AU24" s="63" t="str">
        <x:f>IF($B24="","",IF($AK24="",10+$W24,IFERROR(INDEX('Armor Database'!$D$2:$D$100,MATCH($AK24,'Armor Database'!$A$2:$A$100,0))+IF(INDEX('Armor Database'!$E$2:$E$100,MATCH($AK24,'Armor Database'!$A$2:$A$100,0))="Full",$W24,IF(INDEX('Armor Database'!$E$2:$E$100,MATCH($AK24,'Armor Database'!$A$2:$A$100,0))="Max 2",MIN($W24,2),0))+IF($AL24="Shield",2,0)+N($AS24),10+$W24+IF($AL24="Shield",2,0)+N($AS24))))</x:f>
      </x:c>
      <x:c r="AV24" s="63" t="str">
        <x:f>IF($AM24="","",IFERROR(INDEX('Weapons Database'!$C$2:$C$100,MATCH($AM24,'Weapons Database'!$A$2:$A$100,0))&amp;" "&amp;INDEX('Weapons Database'!$D$2:$D$100,MATCH($AM24,'Weapons Database'!$A$2:$A$100,0)),""))</x:f>
      </x:c>
      <x:c r="AW24" s="63" t="str">
        <x:f>IF($AO24="","",IFERROR(INDEX('Weapons Database'!$C$2:$C$100,MATCH($AO24,'Weapons Database'!$A$2:$A$100,0))&amp;" "&amp;INDEX('Weapons Database'!$D$2:$D$100,MATCH($AO24,'Weapons Database'!$A$2:$A$100,0)),""))</x:f>
      </x:c>
      <x:c r="AX24" s="63"/>
    </x:row>
    <x:row r="25">
      <x:c r="A25" s="63"/>
      <x:c r="B25" s="63"/>
      <x:c r="C25" s="63"/>
      <x:c r="D25" s="63"/>
      <x:c r="E25" s="63"/>
      <x:c r="F25" s="63"/>
      <x:c r="G25" s="63"/>
      <x:c r="H25" s="63"/>
      <x:c r="I25" s="63"/>
      <x:c r="J25" s="63" t="str">
        <x:f>IF($B25="","",IF($AT25&lt;&gt;"",$AT25,$AU25))</x:f>
      </x:c>
      <x:c r="K25" s="63"/>
      <x:c r="L25" s="63"/>
      <x:c r="M25" s="63"/>
      <x:c r="N25" s="63"/>
      <x:c r="O25" s="63"/>
      <x:c r="P25" s="63"/>
      <x:c r="Q25" s="63"/>
      <x:c r="R25" s="63"/>
      <x:c r="S25" s="63"/>
      <x:c r="T25" s="63"/>
      <x:c r="U25" s="63"/>
      <x:c r="V25" s="63"/>
      <x:c r="W25" s="63"/>
      <x:c r="X25" s="63"/>
      <x:c r="Y25" s="63"/>
      <x:c r="Z25" s="63"/>
      <x:c r="AA25" s="63"/>
      <x:c r="AB25" s="63"/>
      <x:c r="AC25" s="63"/>
      <x:c r="AD25" s="63"/>
      <x:c r="AE25" s="63"/>
      <x:c r="AF25" s="63"/>
      <x:c r="AG25" s="63"/>
      <x:c r="AH25" s="63"/>
      <x:c r="AI25" s="63"/>
      <x:c r="AJ25" s="63"/>
      <x:c r="AK25" s="63"/>
      <x:c r="AL25" s="63"/>
      <x:c r="AM25" s="63"/>
      <x:c r="AN25" s="63"/>
      <x:c r="AO25" s="63"/>
      <x:c r="AP25" s="63"/>
      <x:c r="AQ25" s="63"/>
      <x:c r="AR25" s="63"/>
      <x:c r="AS25" s="137"/>
      <x:c r="AT25" s="137"/>
      <x:c r="AU25" s="63" t="str">
        <x:f>IF($B25="","",IF($AK25="",10+$W25,IFERROR(INDEX('Armor Database'!$D$2:$D$100,MATCH($AK25,'Armor Database'!$A$2:$A$100,0))+IF(INDEX('Armor Database'!$E$2:$E$100,MATCH($AK25,'Armor Database'!$A$2:$A$100,0))="Full",$W25,IF(INDEX('Armor Database'!$E$2:$E$100,MATCH($AK25,'Armor Database'!$A$2:$A$100,0))="Max 2",MIN($W25,2),0))+IF($AL25="Shield",2,0)+N($AS25),10+$W25+IF($AL25="Shield",2,0)+N($AS25))))</x:f>
      </x:c>
      <x:c r="AV25" s="63" t="str">
        <x:f>IF($AM25="","",IFERROR(INDEX('Weapons Database'!$C$2:$C$100,MATCH($AM25,'Weapons Database'!$A$2:$A$100,0))&amp;" "&amp;INDEX('Weapons Database'!$D$2:$D$100,MATCH($AM25,'Weapons Database'!$A$2:$A$100,0)),""))</x:f>
      </x:c>
      <x:c r="AW25" s="63" t="str">
        <x:f>IF($AO25="","",IFERROR(INDEX('Weapons Database'!$C$2:$C$100,MATCH($AO25,'Weapons Database'!$A$2:$A$100,0))&amp;" "&amp;INDEX('Weapons Database'!$D$2:$D$100,MATCH($AO25,'Weapons Database'!$A$2:$A$100,0)),""))</x:f>
      </x:c>
      <x:c r="AX25" s="63"/>
    </x:row>
    <x:row r="26">
      <x:c r="A26" s="63"/>
      <x:c r="B26" s="63"/>
      <x:c r="C26" s="63"/>
      <x:c r="D26" s="63"/>
      <x:c r="E26" s="63"/>
      <x:c r="F26" s="63"/>
      <x:c r="G26" s="63"/>
      <x:c r="H26" s="63"/>
      <x:c r="I26" s="63"/>
      <x:c r="J26" s="63" t="str">
        <x:f>IF($B26="","",IF($AT26&lt;&gt;"",$AT26,$AU26))</x:f>
      </x:c>
      <x:c r="K26" s="63"/>
      <x:c r="L26" s="63"/>
      <x:c r="M26" s="63"/>
      <x:c r="N26" s="63"/>
      <x:c r="O26" s="63"/>
      <x:c r="P26" s="63"/>
      <x:c r="Q26" s="63"/>
      <x:c r="R26" s="63"/>
      <x:c r="S26" s="63"/>
      <x:c r="T26" s="63"/>
      <x:c r="U26" s="63"/>
      <x:c r="V26" s="63"/>
      <x:c r="W26" s="63"/>
      <x:c r="X26" s="63"/>
      <x:c r="Y26" s="63"/>
      <x:c r="Z26" s="63"/>
      <x:c r="AA26" s="63"/>
      <x:c r="AB26" s="63"/>
      <x:c r="AC26" s="63"/>
      <x:c r="AD26" s="63"/>
      <x:c r="AE26" s="63"/>
      <x:c r="AF26" s="63"/>
      <x:c r="AG26" s="63"/>
      <x:c r="AH26" s="63"/>
      <x:c r="AI26" s="63"/>
      <x:c r="AJ26" s="63"/>
      <x:c r="AK26" s="63"/>
      <x:c r="AL26" s="63"/>
      <x:c r="AM26" s="63"/>
      <x:c r="AN26" s="63"/>
      <x:c r="AO26" s="63"/>
      <x:c r="AP26" s="63"/>
      <x:c r="AQ26" s="63"/>
      <x:c r="AR26" s="63"/>
      <x:c r="AS26" s="137"/>
      <x:c r="AT26" s="137"/>
      <x:c r="AU26" s="63" t="str">
        <x:f>IF($B26="","",IF($AK26="",10+$W26,IFERROR(INDEX('Armor Database'!$D$2:$D$100,MATCH($AK26,'Armor Database'!$A$2:$A$100,0))+IF(INDEX('Armor Database'!$E$2:$E$100,MATCH($AK26,'Armor Database'!$A$2:$A$100,0))="Full",$W26,IF(INDEX('Armor Database'!$E$2:$E$100,MATCH($AK26,'Armor Database'!$A$2:$A$100,0))="Max 2",MIN($W26,2),0))+IF($AL26="Shield",2,0)+N($AS26),10+$W26+IF($AL26="Shield",2,0)+N($AS26))))</x:f>
      </x:c>
      <x:c r="AV26" s="63" t="str">
        <x:f>IF($AM26="","",IFERROR(INDEX('Weapons Database'!$C$2:$C$100,MATCH($AM26,'Weapons Database'!$A$2:$A$100,0))&amp;" "&amp;INDEX('Weapons Database'!$D$2:$D$100,MATCH($AM26,'Weapons Database'!$A$2:$A$100,0)),""))</x:f>
      </x:c>
      <x:c r="AW26" s="63" t="str">
        <x:f>IF($AO26="","",IFERROR(INDEX('Weapons Database'!$C$2:$C$100,MATCH($AO26,'Weapons Database'!$A$2:$A$100,0))&amp;" "&amp;INDEX('Weapons Database'!$D$2:$D$100,MATCH($AO26,'Weapons Database'!$A$2:$A$100,0)),""))</x:f>
      </x:c>
      <x:c r="AX26" s="63"/>
    </x:row>
    <x:row r="27">
      <x:c r="A27" s="63"/>
      <x:c r="B27" s="63"/>
      <x:c r="C27" s="63"/>
      <x:c r="D27" s="63"/>
      <x:c r="E27" s="63"/>
      <x:c r="F27" s="63"/>
      <x:c r="G27" s="63"/>
      <x:c r="H27" s="63"/>
      <x:c r="I27" s="63"/>
      <x:c r="J27" s="63" t="str">
        <x:f>IF($B27="","",IF($AT27&lt;&gt;"",$AT27,$AU27))</x:f>
      </x:c>
      <x:c r="K27" s="63"/>
      <x:c r="L27" s="63"/>
      <x:c r="M27" s="63"/>
      <x:c r="N27" s="63"/>
      <x:c r="O27" s="63"/>
      <x:c r="P27" s="63"/>
      <x:c r="Q27" s="63"/>
      <x:c r="R27" s="63"/>
      <x:c r="S27" s="63"/>
      <x:c r="T27" s="63"/>
      <x:c r="U27" s="63"/>
      <x:c r="V27" s="63"/>
      <x:c r="W27" s="63"/>
      <x:c r="X27" s="63"/>
      <x:c r="Y27" s="63"/>
      <x:c r="Z27" s="63"/>
      <x:c r="AA27" s="63"/>
      <x:c r="AB27" s="63"/>
      <x:c r="AC27" s="63"/>
      <x:c r="AD27" s="63"/>
      <x:c r="AE27" s="63"/>
      <x:c r="AF27" s="63"/>
      <x:c r="AG27" s="63"/>
      <x:c r="AH27" s="63"/>
      <x:c r="AI27" s="63"/>
      <x:c r="AJ27" s="63"/>
      <x:c r="AK27" s="63"/>
      <x:c r="AL27" s="63"/>
      <x:c r="AM27" s="63"/>
      <x:c r="AN27" s="63"/>
      <x:c r="AO27" s="63"/>
      <x:c r="AP27" s="63"/>
      <x:c r="AQ27" s="63"/>
      <x:c r="AR27" s="63"/>
      <x:c r="AS27" s="137"/>
      <x:c r="AT27" s="137"/>
      <x:c r="AU27" s="63" t="str">
        <x:f>IF($B27="","",IF($AK27="",10+$W27,IFERROR(INDEX('Armor Database'!$D$2:$D$100,MATCH($AK27,'Armor Database'!$A$2:$A$100,0))+IF(INDEX('Armor Database'!$E$2:$E$100,MATCH($AK27,'Armor Database'!$A$2:$A$100,0))="Full",$W27,IF(INDEX('Armor Database'!$E$2:$E$100,MATCH($AK27,'Armor Database'!$A$2:$A$100,0))="Max 2",MIN($W27,2),0))+IF($AL27="Shield",2,0)+N($AS27),10+$W27+IF($AL27="Shield",2,0)+N($AS27))))</x:f>
      </x:c>
      <x:c r="AV27" s="63" t="str">
        <x:f>IF($AM27="","",IFERROR(INDEX('Weapons Database'!$C$2:$C$100,MATCH($AM27,'Weapons Database'!$A$2:$A$100,0))&amp;" "&amp;INDEX('Weapons Database'!$D$2:$D$100,MATCH($AM27,'Weapons Database'!$A$2:$A$100,0)),""))</x:f>
      </x:c>
      <x:c r="AW27" s="63" t="str">
        <x:f>IF($AO27="","",IFERROR(INDEX('Weapons Database'!$C$2:$C$100,MATCH($AO27,'Weapons Database'!$A$2:$A$100,0))&amp;" "&amp;INDEX('Weapons Database'!$D$2:$D$100,MATCH($AO27,'Weapons Database'!$A$2:$A$100,0)),""))</x:f>
      </x:c>
      <x:c r="AX27" s="63"/>
    </x:row>
    <x:row r="28">
      <x:c r="A28" s="63"/>
      <x:c r="B28" s="63"/>
      <x:c r="C28" s="63"/>
      <x:c r="D28" s="63"/>
      <x:c r="E28" s="63"/>
      <x:c r="F28" s="63"/>
      <x:c r="G28" s="63"/>
      <x:c r="H28" s="63"/>
      <x:c r="I28" s="63"/>
      <x:c r="J28" s="63" t="str">
        <x:f>IF($B28="","",IF($AT28&lt;&gt;"",$AT28,$AU28))</x:f>
      </x:c>
      <x:c r="K28" s="63"/>
      <x:c r="L28" s="63"/>
      <x:c r="M28" s="63"/>
      <x:c r="N28" s="63"/>
      <x:c r="O28" s="63"/>
      <x:c r="P28" s="63"/>
      <x:c r="Q28" s="63"/>
      <x:c r="R28" s="63"/>
      <x:c r="S28" s="63"/>
      <x:c r="T28" s="63"/>
      <x:c r="U28" s="63"/>
      <x:c r="V28" s="63"/>
      <x:c r="W28" s="63"/>
      <x:c r="X28" s="63"/>
      <x:c r="Y28" s="63"/>
      <x:c r="Z28" s="63"/>
      <x:c r="AA28" s="63"/>
      <x:c r="AB28" s="63"/>
      <x:c r="AC28" s="63"/>
      <x:c r="AD28" s="63"/>
      <x:c r="AE28" s="63"/>
      <x:c r="AF28" s="63"/>
      <x:c r="AG28" s="63"/>
      <x:c r="AH28" s="63"/>
      <x:c r="AI28" s="63"/>
      <x:c r="AJ28" s="63"/>
      <x:c r="AK28" s="63"/>
      <x:c r="AL28" s="63"/>
      <x:c r="AM28" s="63"/>
      <x:c r="AN28" s="63"/>
      <x:c r="AO28" s="63"/>
      <x:c r="AP28" s="63"/>
      <x:c r="AQ28" s="63"/>
      <x:c r="AR28" s="63"/>
      <x:c r="AS28" s="137"/>
      <x:c r="AT28" s="137"/>
      <x:c r="AU28" s="63" t="str">
        <x:f>IF($B28="","",IF($AK28="",10+$W28,IFERROR(INDEX('Armor Database'!$D$2:$D$100,MATCH($AK28,'Armor Database'!$A$2:$A$100,0))+IF(INDEX('Armor Database'!$E$2:$E$100,MATCH($AK28,'Armor Database'!$A$2:$A$100,0))="Full",$W28,IF(INDEX('Armor Database'!$E$2:$E$100,MATCH($AK28,'Armor Database'!$A$2:$A$100,0))="Max 2",MIN($W28,2),0))+IF($AL28="Shield",2,0)+N($AS28),10+$W28+IF($AL28="Shield",2,0)+N($AS28))))</x:f>
      </x:c>
      <x:c r="AV28" s="63" t="str">
        <x:f>IF($AM28="","",IFERROR(INDEX('Weapons Database'!$C$2:$C$100,MATCH($AM28,'Weapons Database'!$A$2:$A$100,0))&amp;" "&amp;INDEX('Weapons Database'!$D$2:$D$100,MATCH($AM28,'Weapons Database'!$A$2:$A$100,0)),""))</x:f>
      </x:c>
      <x:c r="AW28" s="63" t="str">
        <x:f>IF($AO28="","",IFERROR(INDEX('Weapons Database'!$C$2:$C$100,MATCH($AO28,'Weapons Database'!$A$2:$A$100,0))&amp;" "&amp;INDEX('Weapons Database'!$D$2:$D$100,MATCH($AO28,'Weapons Database'!$A$2:$A$100,0)),""))</x:f>
      </x:c>
      <x:c r="AX28" s="63"/>
    </x:row>
    <x:row r="29">
      <x:c r="A29" s="63"/>
      <x:c r="B29" s="63"/>
      <x:c r="C29" s="63"/>
      <x:c r="D29" s="63"/>
      <x:c r="E29" s="63"/>
      <x:c r="F29" s="63"/>
      <x:c r="G29" s="63"/>
      <x:c r="H29" s="63"/>
      <x:c r="I29" s="63"/>
      <x:c r="J29" s="63" t="str">
        <x:f>IF($B29="","",IF($AT29&lt;&gt;"",$AT29,$AU29))</x:f>
      </x:c>
      <x:c r="K29" s="63"/>
      <x:c r="L29" s="63"/>
      <x:c r="M29" s="63"/>
      <x:c r="N29" s="63"/>
      <x:c r="O29" s="63"/>
      <x:c r="P29" s="63"/>
      <x:c r="Q29" s="63"/>
      <x:c r="R29" s="63"/>
      <x:c r="S29" s="63"/>
      <x:c r="T29" s="63"/>
      <x:c r="U29" s="63"/>
      <x:c r="V29" s="63"/>
      <x:c r="W29" s="63"/>
      <x:c r="X29" s="63"/>
      <x:c r="Y29" s="63"/>
      <x:c r="Z29" s="63"/>
      <x:c r="AA29" s="63"/>
      <x:c r="AB29" s="63"/>
      <x:c r="AC29" s="63"/>
      <x:c r="AD29" s="63"/>
      <x:c r="AE29" s="63"/>
      <x:c r="AF29" s="63"/>
      <x:c r="AG29" s="63"/>
      <x:c r="AH29" s="63"/>
      <x:c r="AI29" s="63"/>
      <x:c r="AJ29" s="63"/>
      <x:c r="AK29" s="63"/>
      <x:c r="AL29" s="63"/>
      <x:c r="AM29" s="63"/>
      <x:c r="AN29" s="63"/>
      <x:c r="AO29" s="63"/>
      <x:c r="AP29" s="63"/>
      <x:c r="AQ29" s="63"/>
      <x:c r="AR29" s="63"/>
      <x:c r="AS29" s="137"/>
      <x:c r="AT29" s="137"/>
      <x:c r="AU29" s="63" t="str">
        <x:f>IF($B29="","",IF($AK29="",10+$W29,IFERROR(INDEX('Armor Database'!$D$2:$D$100,MATCH($AK29,'Armor Database'!$A$2:$A$100,0))+IF(INDEX('Armor Database'!$E$2:$E$100,MATCH($AK29,'Armor Database'!$A$2:$A$100,0))="Full",$W29,IF(INDEX('Armor Database'!$E$2:$E$100,MATCH($AK29,'Armor Database'!$A$2:$A$100,0))="Max 2",MIN($W29,2),0))+IF($AL29="Shield",2,0)+N($AS29),10+$W29+IF($AL29="Shield",2,0)+N($AS29))))</x:f>
      </x:c>
      <x:c r="AV29" s="63" t="str">
        <x:f>IF($AM29="","",IFERROR(INDEX('Weapons Database'!$C$2:$C$100,MATCH($AM29,'Weapons Database'!$A$2:$A$100,0))&amp;" "&amp;INDEX('Weapons Database'!$D$2:$D$100,MATCH($AM29,'Weapons Database'!$A$2:$A$100,0)),""))</x:f>
      </x:c>
      <x:c r="AW29" s="63" t="str">
        <x:f>IF($AO29="","",IFERROR(INDEX('Weapons Database'!$C$2:$C$100,MATCH($AO29,'Weapons Database'!$A$2:$A$100,0))&amp;" "&amp;INDEX('Weapons Database'!$D$2:$D$100,MATCH($AO29,'Weapons Database'!$A$2:$A$100,0)),""))</x:f>
      </x:c>
      <x:c r="AX29" s="63"/>
    </x:row>
    <x:row r="30">
      <x:c r="A30" s="63"/>
      <x:c r="B30" s="63"/>
      <x:c r="C30" s="63"/>
      <x:c r="D30" s="63"/>
      <x:c r="E30" s="63"/>
      <x:c r="F30" s="63"/>
      <x:c r="G30" s="63"/>
      <x:c r="H30" s="63"/>
      <x:c r="I30" s="63"/>
      <x:c r="J30" s="63" t="str">
        <x:f>IF($B30="","",IF($AT30&lt;&gt;"",$AT30,$AU30))</x:f>
      </x:c>
      <x:c r="K30" s="63"/>
      <x:c r="L30" s="63"/>
      <x:c r="M30" s="63"/>
      <x:c r="N30" s="63"/>
      <x:c r="O30" s="63"/>
      <x:c r="P30" s="63"/>
      <x:c r="Q30" s="63"/>
      <x:c r="R30" s="63"/>
      <x:c r="S30" s="63"/>
      <x:c r="T30" s="63"/>
      <x:c r="U30" s="63"/>
      <x:c r="V30" s="63"/>
      <x:c r="W30" s="63"/>
      <x:c r="X30" s="63"/>
      <x:c r="Y30" s="63"/>
      <x:c r="Z30" s="63"/>
      <x:c r="AA30" s="63"/>
      <x:c r="AB30" s="63"/>
      <x:c r="AC30" s="63"/>
      <x:c r="AD30" s="63"/>
      <x:c r="AE30" s="63"/>
      <x:c r="AF30" s="63"/>
      <x:c r="AG30" s="63"/>
      <x:c r="AH30" s="63"/>
      <x:c r="AI30" s="63"/>
      <x:c r="AJ30" s="63"/>
      <x:c r="AK30" s="63"/>
      <x:c r="AL30" s="63"/>
      <x:c r="AM30" s="63"/>
      <x:c r="AN30" s="63"/>
      <x:c r="AO30" s="63"/>
      <x:c r="AP30" s="63"/>
      <x:c r="AQ30" s="63"/>
      <x:c r="AR30" s="63"/>
      <x:c r="AS30" s="137"/>
      <x:c r="AT30" s="137"/>
      <x:c r="AU30" s="63" t="str">
        <x:f>IF($B30="","",IF($AK30="",10+$W30,IFERROR(INDEX('Armor Database'!$D$2:$D$100,MATCH($AK30,'Armor Database'!$A$2:$A$100,0))+IF(INDEX('Armor Database'!$E$2:$E$100,MATCH($AK30,'Armor Database'!$A$2:$A$100,0))="Full",$W30,IF(INDEX('Armor Database'!$E$2:$E$100,MATCH($AK30,'Armor Database'!$A$2:$A$100,0))="Max 2",MIN($W30,2),0))+IF($AL30="Shield",2,0)+N($AS30),10+$W30+IF($AL30="Shield",2,0)+N($AS30))))</x:f>
      </x:c>
      <x:c r="AV30" s="63" t="str">
        <x:f>IF($AM30="","",IFERROR(INDEX('Weapons Database'!$C$2:$C$100,MATCH($AM30,'Weapons Database'!$A$2:$A$100,0))&amp;" "&amp;INDEX('Weapons Database'!$D$2:$D$100,MATCH($AM30,'Weapons Database'!$A$2:$A$100,0)),""))</x:f>
      </x:c>
      <x:c r="AW30" s="63" t="str">
        <x:f>IF($AO30="","",IFERROR(INDEX('Weapons Database'!$C$2:$C$100,MATCH($AO30,'Weapons Database'!$A$2:$A$100,0))&amp;" "&amp;INDEX('Weapons Database'!$D$2:$D$100,MATCH($AO30,'Weapons Database'!$A$2:$A$100,0)),""))</x:f>
      </x:c>
      <x:c r="AX30" s="63"/>
    </x:row>
    <x:row r="31">
      <x:c r="A31" s="63"/>
      <x:c r="B31" s="63"/>
      <x:c r="C31" s="63"/>
      <x:c r="D31" s="63"/>
      <x:c r="E31" s="63"/>
      <x:c r="F31" s="63"/>
      <x:c r="G31" s="63"/>
      <x:c r="H31" s="63"/>
      <x:c r="I31" s="63"/>
      <x:c r="J31" s="63" t="str">
        <x:f>IF($B31="","",IF($AT31&lt;&gt;"",$AT31,$AU31))</x:f>
      </x:c>
      <x:c r="K31" s="63"/>
      <x:c r="L31" s="63"/>
      <x:c r="M31" s="63"/>
      <x:c r="N31" s="63"/>
      <x:c r="O31" s="63"/>
      <x:c r="P31" s="63"/>
      <x:c r="Q31" s="63"/>
      <x:c r="R31" s="63"/>
      <x:c r="S31" s="63"/>
      <x:c r="T31" s="63"/>
      <x:c r="U31" s="63"/>
      <x:c r="V31" s="63"/>
      <x:c r="W31" s="63"/>
      <x:c r="X31" s="63"/>
      <x:c r="Y31" s="63"/>
      <x:c r="Z31" s="63"/>
      <x:c r="AA31" s="63"/>
      <x:c r="AB31" s="63"/>
      <x:c r="AC31" s="63"/>
      <x:c r="AD31" s="63"/>
      <x:c r="AE31" s="63"/>
      <x:c r="AF31" s="63"/>
      <x:c r="AG31" s="63"/>
      <x:c r="AH31" s="63"/>
      <x:c r="AI31" s="63"/>
      <x:c r="AJ31" s="63"/>
      <x:c r="AK31" s="63"/>
      <x:c r="AL31" s="63"/>
      <x:c r="AM31" s="63"/>
      <x:c r="AN31" s="63"/>
      <x:c r="AO31" s="63"/>
      <x:c r="AP31" s="63"/>
      <x:c r="AQ31" s="63"/>
      <x:c r="AR31" s="63"/>
      <x:c r="AS31" s="137"/>
      <x:c r="AT31" s="137"/>
      <x:c r="AU31" s="63" t="str">
        <x:f>IF($B31="","",IF($AK31="",10+$W31,IFERROR(INDEX('Armor Database'!$D$2:$D$100,MATCH($AK31,'Armor Database'!$A$2:$A$100,0))+IF(INDEX('Armor Database'!$E$2:$E$100,MATCH($AK31,'Armor Database'!$A$2:$A$100,0))="Full",$W31,IF(INDEX('Armor Database'!$E$2:$E$100,MATCH($AK31,'Armor Database'!$A$2:$A$100,0))="Max 2",MIN($W31,2),0))+IF($AL31="Shield",2,0)+N($AS31),10+$W31+IF($AL31="Shield",2,0)+N($AS31))))</x:f>
      </x:c>
      <x:c r="AV31" s="63" t="str">
        <x:f>IF($AM31="","",IFERROR(INDEX('Weapons Database'!$C$2:$C$100,MATCH($AM31,'Weapons Database'!$A$2:$A$100,0))&amp;" "&amp;INDEX('Weapons Database'!$D$2:$D$100,MATCH($AM31,'Weapons Database'!$A$2:$A$100,0)),""))</x:f>
      </x:c>
      <x:c r="AW31" s="63" t="str">
        <x:f>IF($AO31="","",IFERROR(INDEX('Weapons Database'!$C$2:$C$100,MATCH($AO31,'Weapons Database'!$A$2:$A$100,0))&amp;" "&amp;INDEX('Weapons Database'!$D$2:$D$100,MATCH($AO31,'Weapons Database'!$A$2:$A$100,0)),""))</x:f>
      </x:c>
      <x:c r="AX31" s="63"/>
    </x:row>
    <x:row r="32">
      <x:c r="A32" s="63"/>
      <x:c r="B32" s="63"/>
      <x:c r="C32" s="63"/>
      <x:c r="D32" s="63"/>
      <x:c r="E32" s="63"/>
      <x:c r="F32" s="63"/>
      <x:c r="G32" s="63"/>
      <x:c r="H32" s="63"/>
      <x:c r="I32" s="63"/>
      <x:c r="J32" s="63" t="str">
        <x:f>IF($B32="","",IF($AT32&lt;&gt;"",$AT32,$AU32))</x:f>
      </x:c>
      <x:c r="K32" s="63"/>
      <x:c r="L32" s="63"/>
      <x:c r="M32" s="63"/>
      <x:c r="N32" s="63"/>
      <x:c r="O32" s="63"/>
      <x:c r="P32" s="63"/>
      <x:c r="Q32" s="63"/>
      <x:c r="R32" s="63"/>
      <x:c r="S32" s="63"/>
      <x:c r="T32" s="63"/>
      <x:c r="U32" s="63"/>
      <x:c r="V32" s="63"/>
      <x:c r="W32" s="63"/>
      <x:c r="X32" s="63"/>
      <x:c r="Y32" s="63"/>
      <x:c r="Z32" s="63"/>
      <x:c r="AA32" s="63"/>
      <x:c r="AB32" s="63"/>
      <x:c r="AC32" s="63"/>
      <x:c r="AD32" s="63"/>
      <x:c r="AE32" s="63"/>
      <x:c r="AF32" s="63"/>
      <x:c r="AG32" s="63"/>
      <x:c r="AH32" s="63"/>
      <x:c r="AI32" s="63"/>
      <x:c r="AJ32" s="63"/>
      <x:c r="AK32" s="63"/>
      <x:c r="AL32" s="63"/>
      <x:c r="AM32" s="63"/>
      <x:c r="AN32" s="63"/>
      <x:c r="AO32" s="63"/>
      <x:c r="AP32" s="63"/>
      <x:c r="AQ32" s="63"/>
      <x:c r="AR32" s="63"/>
      <x:c r="AS32" s="137"/>
      <x:c r="AT32" s="137"/>
      <x:c r="AU32" s="63" t="str">
        <x:f>IF($B32="","",IF($AK32="",10+$W32,IFERROR(INDEX('Armor Database'!$D$2:$D$100,MATCH($AK32,'Armor Database'!$A$2:$A$100,0))+IF(INDEX('Armor Database'!$E$2:$E$100,MATCH($AK32,'Armor Database'!$A$2:$A$100,0))="Full",$W32,IF(INDEX('Armor Database'!$E$2:$E$100,MATCH($AK32,'Armor Database'!$A$2:$A$100,0))="Max 2",MIN($W32,2),0))+IF($AL32="Shield",2,0)+N($AS32),10+$W32+IF($AL32="Shield",2,0)+N($AS32))))</x:f>
      </x:c>
      <x:c r="AV32" s="63" t="str">
        <x:f>IF($AM32="","",IFERROR(INDEX('Weapons Database'!$C$2:$C$100,MATCH($AM32,'Weapons Database'!$A$2:$A$100,0))&amp;" "&amp;INDEX('Weapons Database'!$D$2:$D$100,MATCH($AM32,'Weapons Database'!$A$2:$A$100,0)),""))</x:f>
      </x:c>
      <x:c r="AW32" s="63" t="str">
        <x:f>IF($AO32="","",IFERROR(INDEX('Weapons Database'!$C$2:$C$100,MATCH($AO32,'Weapons Database'!$A$2:$A$100,0))&amp;" "&amp;INDEX('Weapons Database'!$D$2:$D$100,MATCH($AO32,'Weapons Database'!$A$2:$A$100,0)),""))</x:f>
      </x:c>
      <x:c r="AX32" s="63"/>
    </x:row>
    <x:row r="33">
      <x:c r="A33" s="63"/>
      <x:c r="B33" s="63"/>
      <x:c r="C33" s="63"/>
      <x:c r="D33" s="63"/>
      <x:c r="E33" s="63"/>
      <x:c r="F33" s="63"/>
      <x:c r="G33" s="63"/>
      <x:c r="H33" s="63"/>
      <x:c r="I33" s="63"/>
      <x:c r="J33" s="63" t="str">
        <x:f>IF($B33="","",IF($AT33&lt;&gt;"",$AT33,$AU33))</x:f>
      </x:c>
      <x:c r="K33" s="63"/>
      <x:c r="L33" s="63"/>
      <x:c r="M33" s="63"/>
      <x:c r="N33" s="63"/>
      <x:c r="O33" s="63"/>
      <x:c r="P33" s="63"/>
      <x:c r="Q33" s="63"/>
      <x:c r="R33" s="63"/>
      <x:c r="S33" s="63"/>
      <x:c r="T33" s="63"/>
      <x:c r="U33" s="63"/>
      <x:c r="V33" s="63"/>
      <x:c r="W33" s="63"/>
      <x:c r="X33" s="63"/>
      <x:c r="Y33" s="63"/>
      <x:c r="Z33" s="63"/>
      <x:c r="AA33" s="63"/>
      <x:c r="AB33" s="63"/>
      <x:c r="AC33" s="63"/>
      <x:c r="AD33" s="63"/>
      <x:c r="AE33" s="63"/>
      <x:c r="AF33" s="63"/>
      <x:c r="AG33" s="63"/>
      <x:c r="AH33" s="63"/>
      <x:c r="AI33" s="63"/>
      <x:c r="AJ33" s="63"/>
      <x:c r="AK33" s="63"/>
      <x:c r="AL33" s="63"/>
      <x:c r="AM33" s="63"/>
      <x:c r="AN33" s="63"/>
      <x:c r="AO33" s="63"/>
      <x:c r="AP33" s="63"/>
      <x:c r="AQ33" s="63"/>
      <x:c r="AR33" s="63"/>
      <x:c r="AS33" s="137"/>
      <x:c r="AT33" s="137"/>
      <x:c r="AU33" s="63" t="str">
        <x:f>IF($B33="","",IF($AK33="",10+$W33,IFERROR(INDEX('Armor Database'!$D$2:$D$100,MATCH($AK33,'Armor Database'!$A$2:$A$100,0))+IF(INDEX('Armor Database'!$E$2:$E$100,MATCH($AK33,'Armor Database'!$A$2:$A$100,0))="Full",$W33,IF(INDEX('Armor Database'!$E$2:$E$100,MATCH($AK33,'Armor Database'!$A$2:$A$100,0))="Max 2",MIN($W33,2),0))+IF($AL33="Shield",2,0)+N($AS33),10+$W33+IF($AL33="Shield",2,0)+N($AS33))))</x:f>
      </x:c>
      <x:c r="AV33" s="63" t="str">
        <x:f>IF($AM33="","",IFERROR(INDEX('Weapons Database'!$C$2:$C$100,MATCH($AM33,'Weapons Database'!$A$2:$A$100,0))&amp;" "&amp;INDEX('Weapons Database'!$D$2:$D$100,MATCH($AM33,'Weapons Database'!$A$2:$A$100,0)),""))</x:f>
      </x:c>
      <x:c r="AW33" s="63" t="str">
        <x:f>IF($AO33="","",IFERROR(INDEX('Weapons Database'!$C$2:$C$100,MATCH($AO33,'Weapons Database'!$A$2:$A$100,0))&amp;" "&amp;INDEX('Weapons Database'!$D$2:$D$100,MATCH($AO33,'Weapons Database'!$A$2:$A$100,0)),""))</x:f>
      </x:c>
      <x:c r="AX33" s="63"/>
    </x:row>
    <x:row r="34">
      <x:c r="A34" s="63"/>
      <x:c r="B34" s="63"/>
      <x:c r="C34" s="63"/>
      <x:c r="D34" s="63"/>
      <x:c r="E34" s="63"/>
      <x:c r="F34" s="63"/>
      <x:c r="G34" s="63"/>
      <x:c r="H34" s="63"/>
      <x:c r="I34" s="63"/>
      <x:c r="J34" s="63" t="str">
        <x:f>IF($B34="","",IF($AT34&lt;&gt;"",$AT34,$AU34))</x:f>
      </x:c>
      <x:c r="K34" s="63"/>
      <x:c r="L34" s="63"/>
      <x:c r="M34" s="63"/>
      <x:c r="N34" s="63"/>
      <x:c r="O34" s="63"/>
      <x:c r="P34" s="63"/>
      <x:c r="Q34" s="63"/>
      <x:c r="R34" s="63"/>
      <x:c r="S34" s="63"/>
      <x:c r="T34" s="63"/>
      <x:c r="U34" s="63"/>
      <x:c r="V34" s="63"/>
      <x:c r="W34" s="63"/>
      <x:c r="X34" s="63"/>
      <x:c r="Y34" s="63"/>
      <x:c r="Z34" s="63"/>
      <x:c r="AA34" s="63"/>
      <x:c r="AB34" s="63"/>
      <x:c r="AC34" s="63"/>
      <x:c r="AD34" s="63"/>
      <x:c r="AE34" s="63"/>
      <x:c r="AF34" s="63"/>
      <x:c r="AG34" s="63"/>
      <x:c r="AH34" s="63"/>
      <x:c r="AI34" s="63"/>
      <x:c r="AJ34" s="63"/>
      <x:c r="AK34" s="63"/>
      <x:c r="AL34" s="63"/>
      <x:c r="AM34" s="63"/>
      <x:c r="AN34" s="63"/>
      <x:c r="AO34" s="63"/>
      <x:c r="AP34" s="63"/>
      <x:c r="AQ34" s="63"/>
      <x:c r="AR34" s="63"/>
      <x:c r="AS34" s="137"/>
      <x:c r="AT34" s="137"/>
      <x:c r="AU34" s="63" t="str">
        <x:f>IF($B34="","",IF($AK34="",10+$W34,IFERROR(INDEX('Armor Database'!$D$2:$D$100,MATCH($AK34,'Armor Database'!$A$2:$A$100,0))+IF(INDEX('Armor Database'!$E$2:$E$100,MATCH($AK34,'Armor Database'!$A$2:$A$100,0))="Full",$W34,IF(INDEX('Armor Database'!$E$2:$E$100,MATCH($AK34,'Armor Database'!$A$2:$A$100,0))="Max 2",MIN($W34,2),0))+IF($AL34="Shield",2,0)+N($AS34),10+$W34+IF($AL34="Shield",2,0)+N($AS34))))</x:f>
      </x:c>
      <x:c r="AV34" s="63" t="str">
        <x:f>IF($AM34="","",IFERROR(INDEX('Weapons Database'!$C$2:$C$100,MATCH($AM34,'Weapons Database'!$A$2:$A$100,0))&amp;" "&amp;INDEX('Weapons Database'!$D$2:$D$100,MATCH($AM34,'Weapons Database'!$A$2:$A$100,0)),""))</x:f>
      </x:c>
      <x:c r="AW34" s="63" t="str">
        <x:f>IF($AO34="","",IFERROR(INDEX('Weapons Database'!$C$2:$C$100,MATCH($AO34,'Weapons Database'!$A$2:$A$100,0))&amp;" "&amp;INDEX('Weapons Database'!$D$2:$D$100,MATCH($AO34,'Weapons Database'!$A$2:$A$100,0)),""))</x:f>
      </x:c>
      <x:c r="AX34" s="63"/>
    </x:row>
    <x:row r="35">
      <x:c r="A35" s="63"/>
      <x:c r="B35" s="63"/>
      <x:c r="C35" s="63"/>
      <x:c r="D35" s="63"/>
      <x:c r="E35" s="63"/>
      <x:c r="F35" s="63"/>
      <x:c r="G35" s="63"/>
      <x:c r="H35" s="63"/>
      <x:c r="I35" s="63"/>
      <x:c r="J35" s="63" t="str">
        <x:f>IF($B35="","",IF($AT35&lt;&gt;"",$AT35,$AU35))</x:f>
      </x:c>
      <x:c r="K35" s="63"/>
      <x:c r="L35" s="63"/>
      <x:c r="M35" s="63"/>
      <x:c r="N35" s="63"/>
      <x:c r="O35" s="63"/>
      <x:c r="P35" s="63"/>
      <x:c r="Q35" s="63"/>
      <x:c r="R35" s="63"/>
      <x:c r="S35" s="63"/>
      <x:c r="T35" s="63"/>
      <x:c r="U35" s="63"/>
      <x:c r="V35" s="63"/>
      <x:c r="W35" s="63"/>
      <x:c r="X35" s="63"/>
      <x:c r="Y35" s="63"/>
      <x:c r="Z35" s="63"/>
      <x:c r="AA35" s="63"/>
      <x:c r="AB35" s="63"/>
      <x:c r="AC35" s="63"/>
      <x:c r="AD35" s="63"/>
      <x:c r="AE35" s="63"/>
      <x:c r="AF35" s="63"/>
      <x:c r="AG35" s="63"/>
      <x:c r="AH35" s="63"/>
      <x:c r="AI35" s="63"/>
      <x:c r="AJ35" s="63"/>
      <x:c r="AK35" s="63"/>
      <x:c r="AL35" s="63"/>
      <x:c r="AM35" s="63"/>
      <x:c r="AN35" s="63"/>
      <x:c r="AO35" s="63"/>
      <x:c r="AP35" s="63"/>
      <x:c r="AQ35" s="63"/>
      <x:c r="AR35" s="63"/>
      <x:c r="AS35" s="137"/>
      <x:c r="AT35" s="137"/>
      <x:c r="AU35" s="63" t="str">
        <x:f>IF($B35="","",IF($AK35="",10+$W35,IFERROR(INDEX('Armor Database'!$D$2:$D$100,MATCH($AK35,'Armor Database'!$A$2:$A$100,0))+IF(INDEX('Armor Database'!$E$2:$E$100,MATCH($AK35,'Armor Database'!$A$2:$A$100,0))="Full",$W35,IF(INDEX('Armor Database'!$E$2:$E$100,MATCH($AK35,'Armor Database'!$A$2:$A$100,0))="Max 2",MIN($W35,2),0))+IF($AL35="Shield",2,0)+N($AS35),10+$W35+IF($AL35="Shield",2,0)+N($AS35))))</x:f>
      </x:c>
      <x:c r="AV35" s="63" t="str">
        <x:f>IF($AM35="","",IFERROR(INDEX('Weapons Database'!$C$2:$C$100,MATCH($AM35,'Weapons Database'!$A$2:$A$100,0))&amp;" "&amp;INDEX('Weapons Database'!$D$2:$D$100,MATCH($AM35,'Weapons Database'!$A$2:$A$100,0)),""))</x:f>
      </x:c>
      <x:c r="AW35" s="63" t="str">
        <x:f>IF($AO35="","",IFERROR(INDEX('Weapons Database'!$C$2:$C$100,MATCH($AO35,'Weapons Database'!$A$2:$A$100,0))&amp;" "&amp;INDEX('Weapons Database'!$D$2:$D$100,MATCH($AO35,'Weapons Database'!$A$2:$A$100,0)),""))</x:f>
      </x:c>
      <x:c r="AX35" s="63"/>
    </x:row>
    <x:row r="36">
      <x:c r="A36" s="63"/>
      <x:c r="B36" s="63"/>
      <x:c r="C36" s="63"/>
      <x:c r="D36" s="63"/>
      <x:c r="E36" s="63"/>
      <x:c r="F36" s="63"/>
      <x:c r="G36" s="63"/>
      <x:c r="H36" s="63"/>
      <x:c r="I36" s="63"/>
      <x:c r="J36" s="63" t="str">
        <x:f>IF($B36="","",IF($AT36&lt;&gt;"",$AT36,$AU36))</x:f>
      </x:c>
      <x:c r="K36" s="63"/>
      <x:c r="L36" s="63"/>
      <x:c r="M36" s="63"/>
      <x:c r="N36" s="63"/>
      <x:c r="O36" s="63"/>
      <x:c r="P36" s="63"/>
      <x:c r="Q36" s="63"/>
      <x:c r="R36" s="63"/>
      <x:c r="S36" s="63"/>
      <x:c r="T36" s="63"/>
      <x:c r="U36" s="63"/>
      <x:c r="V36" s="63"/>
      <x:c r="W36" s="63"/>
      <x:c r="X36" s="63"/>
      <x:c r="Y36" s="63"/>
      <x:c r="Z36" s="63"/>
      <x:c r="AA36" s="63"/>
      <x:c r="AB36" s="63"/>
      <x:c r="AC36" s="63"/>
      <x:c r="AD36" s="63"/>
      <x:c r="AE36" s="63"/>
      <x:c r="AF36" s="63"/>
      <x:c r="AG36" s="63"/>
      <x:c r="AH36" s="63"/>
      <x:c r="AI36" s="63"/>
      <x:c r="AJ36" s="63"/>
      <x:c r="AK36" s="63"/>
      <x:c r="AL36" s="63"/>
      <x:c r="AM36" s="63"/>
      <x:c r="AN36" s="63"/>
      <x:c r="AO36" s="63"/>
      <x:c r="AP36" s="63"/>
      <x:c r="AQ36" s="63"/>
      <x:c r="AR36" s="63"/>
      <x:c r="AS36" s="137"/>
      <x:c r="AT36" s="137"/>
      <x:c r="AU36" s="63" t="str">
        <x:f>IF($B36="","",IF($AK36="",10+$W36,IFERROR(INDEX('Armor Database'!$D$2:$D$100,MATCH($AK36,'Armor Database'!$A$2:$A$100,0))+IF(INDEX('Armor Database'!$E$2:$E$100,MATCH($AK36,'Armor Database'!$A$2:$A$100,0))="Full",$W36,IF(INDEX('Armor Database'!$E$2:$E$100,MATCH($AK36,'Armor Database'!$A$2:$A$100,0))="Max 2",MIN($W36,2),0))+IF($AL36="Shield",2,0)+N($AS36),10+$W36+IF($AL36="Shield",2,0)+N($AS36))))</x:f>
      </x:c>
      <x:c r="AV36" s="63" t="str">
        <x:f>IF($AM36="","",IFERROR(INDEX('Weapons Database'!$C$2:$C$100,MATCH($AM36,'Weapons Database'!$A$2:$A$100,0))&amp;" "&amp;INDEX('Weapons Database'!$D$2:$D$100,MATCH($AM36,'Weapons Database'!$A$2:$A$100,0)),""))</x:f>
      </x:c>
      <x:c r="AW36" s="63" t="str">
        <x:f>IF($AO36="","",IFERROR(INDEX('Weapons Database'!$C$2:$C$100,MATCH($AO36,'Weapons Database'!$A$2:$A$100,0))&amp;" "&amp;INDEX('Weapons Database'!$D$2:$D$100,MATCH($AO36,'Weapons Database'!$A$2:$A$100,0)),""))</x:f>
      </x:c>
      <x:c r="AX36" s="63"/>
    </x:row>
    <x:row r="37">
      <x:c r="A37" s="63"/>
      <x:c r="B37" s="63"/>
      <x:c r="C37" s="63"/>
      <x:c r="D37" s="63"/>
      <x:c r="E37" s="63"/>
      <x:c r="F37" s="63"/>
      <x:c r="G37" s="63"/>
      <x:c r="H37" s="63"/>
      <x:c r="I37" s="63"/>
      <x:c r="J37" s="63" t="str">
        <x:f>IF($B37="","",IF($AT37&lt;&gt;"",$AT37,$AU37))</x:f>
      </x:c>
      <x:c r="K37" s="63"/>
      <x:c r="L37" s="63"/>
      <x:c r="M37" s="63"/>
      <x:c r="N37" s="63"/>
      <x:c r="O37" s="63"/>
      <x:c r="P37" s="63"/>
      <x:c r="Q37" s="63"/>
      <x:c r="R37" s="63"/>
      <x:c r="S37" s="63"/>
      <x:c r="T37" s="63"/>
      <x:c r="U37" s="63"/>
      <x:c r="V37" s="63"/>
      <x:c r="W37" s="63"/>
      <x:c r="X37" s="63"/>
      <x:c r="Y37" s="63"/>
      <x:c r="Z37" s="63"/>
      <x:c r="AA37" s="63"/>
      <x:c r="AB37" s="63"/>
      <x:c r="AC37" s="63"/>
      <x:c r="AD37" s="63"/>
      <x:c r="AE37" s="63"/>
      <x:c r="AF37" s="63"/>
      <x:c r="AG37" s="63"/>
      <x:c r="AH37" s="63"/>
      <x:c r="AI37" s="63"/>
      <x:c r="AJ37" s="63"/>
      <x:c r="AK37" s="63"/>
      <x:c r="AL37" s="63"/>
      <x:c r="AM37" s="63"/>
      <x:c r="AN37" s="63"/>
      <x:c r="AO37" s="63"/>
      <x:c r="AP37" s="63"/>
      <x:c r="AQ37" s="63"/>
      <x:c r="AR37" s="63"/>
      <x:c r="AS37" s="137"/>
      <x:c r="AT37" s="137"/>
      <x:c r="AU37" s="63" t="str">
        <x:f>IF($B37="","",IF($AK37="",10+$W37,IFERROR(INDEX('Armor Database'!$D$2:$D$100,MATCH($AK37,'Armor Database'!$A$2:$A$100,0))+IF(INDEX('Armor Database'!$E$2:$E$100,MATCH($AK37,'Armor Database'!$A$2:$A$100,0))="Full",$W37,IF(INDEX('Armor Database'!$E$2:$E$100,MATCH($AK37,'Armor Database'!$A$2:$A$100,0))="Max 2",MIN($W37,2),0))+IF($AL37="Shield",2,0)+N($AS37),10+$W37+IF($AL37="Shield",2,0)+N($AS37))))</x:f>
      </x:c>
      <x:c r="AV37" s="63" t="str">
        <x:f>IF($AM37="","",IFERROR(INDEX('Weapons Database'!$C$2:$C$100,MATCH($AM37,'Weapons Database'!$A$2:$A$100,0))&amp;" "&amp;INDEX('Weapons Database'!$D$2:$D$100,MATCH($AM37,'Weapons Database'!$A$2:$A$100,0)),""))</x:f>
      </x:c>
      <x:c r="AW37" s="63" t="str">
        <x:f>IF($AO37="","",IFERROR(INDEX('Weapons Database'!$C$2:$C$100,MATCH($AO37,'Weapons Database'!$A$2:$A$100,0))&amp;" "&amp;INDEX('Weapons Database'!$D$2:$D$100,MATCH($AO37,'Weapons Database'!$A$2:$A$100,0)),""))</x:f>
      </x:c>
      <x:c r="AX37" s="63"/>
    </x:row>
    <x:row r="38">
      <x:c r="A38" s="63"/>
      <x:c r="B38" s="63"/>
      <x:c r="C38" s="63"/>
      <x:c r="D38" s="63"/>
      <x:c r="E38" s="63"/>
      <x:c r="F38" s="63"/>
      <x:c r="G38" s="63"/>
      <x:c r="H38" s="63"/>
      <x:c r="I38" s="63"/>
      <x:c r="J38" s="63" t="str">
        <x:f>IF($B38="","",IF($AT38&lt;&gt;"",$AT38,$AU38))</x:f>
      </x:c>
      <x:c r="K38" s="63"/>
      <x:c r="L38" s="63"/>
      <x:c r="M38" s="63"/>
      <x:c r="N38" s="63"/>
      <x:c r="O38" s="63"/>
      <x:c r="P38" s="63"/>
      <x:c r="Q38" s="63"/>
      <x:c r="R38" s="63"/>
      <x:c r="S38" s="63"/>
      <x:c r="T38" s="63"/>
      <x:c r="U38" s="63"/>
      <x:c r="V38" s="63"/>
      <x:c r="W38" s="63"/>
      <x:c r="X38" s="63"/>
      <x:c r="Y38" s="63"/>
      <x:c r="Z38" s="63"/>
      <x:c r="AA38" s="63"/>
      <x:c r="AB38" s="63"/>
      <x:c r="AC38" s="63"/>
      <x:c r="AD38" s="63"/>
      <x:c r="AE38" s="63"/>
      <x:c r="AF38" s="63"/>
      <x:c r="AG38" s="63"/>
      <x:c r="AH38" s="63"/>
      <x:c r="AI38" s="63"/>
      <x:c r="AJ38" s="63"/>
      <x:c r="AK38" s="63"/>
      <x:c r="AL38" s="63"/>
      <x:c r="AM38" s="63"/>
      <x:c r="AN38" s="63"/>
      <x:c r="AO38" s="63"/>
      <x:c r="AP38" s="63"/>
      <x:c r="AQ38" s="63"/>
      <x:c r="AR38" s="63"/>
      <x:c r="AS38" s="137"/>
      <x:c r="AT38" s="137"/>
      <x:c r="AU38" s="63" t="str">
        <x:f>IF($B38="","",IF($AK38="",10+$W38,IFERROR(INDEX('Armor Database'!$D$2:$D$100,MATCH($AK38,'Armor Database'!$A$2:$A$100,0))+IF(INDEX('Armor Database'!$E$2:$E$100,MATCH($AK38,'Armor Database'!$A$2:$A$100,0))="Full",$W38,IF(INDEX('Armor Database'!$E$2:$E$100,MATCH($AK38,'Armor Database'!$A$2:$A$100,0))="Max 2",MIN($W38,2),0))+IF($AL38="Shield",2,0)+N($AS38),10+$W38+IF($AL38="Shield",2,0)+N($AS38))))</x:f>
      </x:c>
      <x:c r="AV38" s="63" t="str">
        <x:f>IF($AM38="","",IFERROR(INDEX('Weapons Database'!$C$2:$C$100,MATCH($AM38,'Weapons Database'!$A$2:$A$100,0))&amp;" "&amp;INDEX('Weapons Database'!$D$2:$D$100,MATCH($AM38,'Weapons Database'!$A$2:$A$100,0)),""))</x:f>
      </x:c>
      <x:c r="AW38" s="63" t="str">
        <x:f>IF($AO38="","",IFERROR(INDEX('Weapons Database'!$C$2:$C$100,MATCH($AO38,'Weapons Database'!$A$2:$A$100,0))&amp;" "&amp;INDEX('Weapons Database'!$D$2:$D$100,MATCH($AO38,'Weapons Database'!$A$2:$A$100,0)),""))</x:f>
      </x:c>
      <x:c r="AX38" s="63"/>
    </x:row>
    <x:row r="39">
      <x:c r="A39" s="63"/>
      <x:c r="B39" s="63"/>
      <x:c r="C39" s="63"/>
      <x:c r="D39" s="63"/>
      <x:c r="E39" s="63"/>
      <x:c r="F39" s="63"/>
      <x:c r="G39" s="63"/>
      <x:c r="H39" s="63"/>
      <x:c r="I39" s="63"/>
      <x:c r="J39" s="63" t="str">
        <x:f>IF($B39="","",IF($AT39&lt;&gt;"",$AT39,$AU39))</x:f>
      </x:c>
      <x:c r="K39" s="63"/>
      <x:c r="L39" s="63"/>
      <x:c r="M39" s="63"/>
      <x:c r="N39" s="63"/>
      <x:c r="O39" s="63"/>
      <x:c r="P39" s="63"/>
      <x:c r="Q39" s="63"/>
      <x:c r="R39" s="63"/>
      <x:c r="S39" s="63"/>
      <x:c r="T39" s="63"/>
      <x:c r="U39" s="63"/>
      <x:c r="V39" s="63"/>
      <x:c r="W39" s="63"/>
      <x:c r="X39" s="63"/>
      <x:c r="Y39" s="63"/>
      <x:c r="Z39" s="63"/>
      <x:c r="AA39" s="63"/>
      <x:c r="AB39" s="63"/>
      <x:c r="AC39" s="63"/>
      <x:c r="AD39" s="63"/>
      <x:c r="AE39" s="63"/>
      <x:c r="AF39" s="63"/>
      <x:c r="AG39" s="63"/>
      <x:c r="AH39" s="63"/>
      <x:c r="AI39" s="63"/>
      <x:c r="AJ39" s="63"/>
      <x:c r="AK39" s="63"/>
      <x:c r="AL39" s="63"/>
      <x:c r="AM39" s="63"/>
      <x:c r="AN39" s="63"/>
      <x:c r="AO39" s="63"/>
      <x:c r="AP39" s="63"/>
      <x:c r="AQ39" s="63"/>
      <x:c r="AR39" s="63"/>
      <x:c r="AS39" s="137"/>
      <x:c r="AT39" s="137"/>
      <x:c r="AU39" s="63" t="str">
        <x:f>IF($B39="","",IF($AK39="",10+$W39,IFERROR(INDEX('Armor Database'!$D$2:$D$100,MATCH($AK39,'Armor Database'!$A$2:$A$100,0))+IF(INDEX('Armor Database'!$E$2:$E$100,MATCH($AK39,'Armor Database'!$A$2:$A$100,0))="Full",$W39,IF(INDEX('Armor Database'!$E$2:$E$100,MATCH($AK39,'Armor Database'!$A$2:$A$100,0))="Max 2",MIN($W39,2),0))+IF($AL39="Shield",2,0)+N($AS39),10+$W39+IF($AL39="Shield",2,0)+N($AS39))))</x:f>
      </x:c>
      <x:c r="AV39" s="63" t="str">
        <x:f>IF($AM39="","",IFERROR(INDEX('Weapons Database'!$C$2:$C$100,MATCH($AM39,'Weapons Database'!$A$2:$A$100,0))&amp;" "&amp;INDEX('Weapons Database'!$D$2:$D$100,MATCH($AM39,'Weapons Database'!$A$2:$A$100,0)),""))</x:f>
      </x:c>
      <x:c r="AW39" s="63" t="str">
        <x:f>IF($AO39="","",IFERROR(INDEX('Weapons Database'!$C$2:$C$100,MATCH($AO39,'Weapons Database'!$A$2:$A$100,0))&amp;" "&amp;INDEX('Weapons Database'!$D$2:$D$100,MATCH($AO39,'Weapons Database'!$A$2:$A$100,0)),""))</x:f>
      </x:c>
      <x:c r="AX39" s="63"/>
    </x:row>
    <x:row r="40">
      <x:c r="A40" s="63"/>
      <x:c r="B40" s="63"/>
      <x:c r="C40" s="63"/>
      <x:c r="D40" s="63"/>
      <x:c r="E40" s="63"/>
      <x:c r="F40" s="63"/>
      <x:c r="G40" s="63"/>
      <x:c r="H40" s="63"/>
      <x:c r="I40" s="63"/>
      <x:c r="J40" s="63" t="str">
        <x:f>IF($B40="","",IF($AT40&lt;&gt;"",$AT40,$AU40))</x:f>
      </x:c>
      <x:c r="K40" s="63"/>
      <x:c r="L40" s="63"/>
      <x:c r="M40" s="63"/>
      <x:c r="N40" s="63"/>
      <x:c r="O40" s="63"/>
      <x:c r="P40" s="63"/>
      <x:c r="Q40" s="63"/>
      <x:c r="R40" s="63"/>
      <x:c r="S40" s="63"/>
      <x:c r="T40" s="63"/>
      <x:c r="U40" s="63"/>
      <x:c r="V40" s="63"/>
      <x:c r="W40" s="63"/>
      <x:c r="X40" s="63"/>
      <x:c r="Y40" s="63"/>
      <x:c r="Z40" s="63"/>
      <x:c r="AA40" s="63"/>
      <x:c r="AB40" s="63"/>
      <x:c r="AC40" s="63"/>
      <x:c r="AD40" s="63"/>
      <x:c r="AE40" s="63"/>
      <x:c r="AF40" s="63"/>
      <x:c r="AG40" s="63"/>
      <x:c r="AH40" s="63"/>
      <x:c r="AI40" s="63"/>
      <x:c r="AJ40" s="63"/>
      <x:c r="AK40" s="63"/>
      <x:c r="AL40" s="63"/>
      <x:c r="AM40" s="63"/>
      <x:c r="AN40" s="63"/>
      <x:c r="AO40" s="63"/>
      <x:c r="AP40" s="63"/>
      <x:c r="AQ40" s="63"/>
      <x:c r="AR40" s="63"/>
      <x:c r="AS40" s="137"/>
      <x:c r="AT40" s="137"/>
      <x:c r="AU40" s="63" t="str">
        <x:f>IF($B40="","",IF($AK40="",10+$W40,IFERROR(INDEX('Armor Database'!$D$2:$D$100,MATCH($AK40,'Armor Database'!$A$2:$A$100,0))+IF(INDEX('Armor Database'!$E$2:$E$100,MATCH($AK40,'Armor Database'!$A$2:$A$100,0))="Full",$W40,IF(INDEX('Armor Database'!$E$2:$E$100,MATCH($AK40,'Armor Database'!$A$2:$A$100,0))="Max 2",MIN($W40,2),0))+IF($AL40="Shield",2,0)+N($AS40),10+$W40+IF($AL40="Shield",2,0)+N($AS40))))</x:f>
      </x:c>
      <x:c r="AV40" s="63" t="str">
        <x:f>IF($AM40="","",IFERROR(INDEX('Weapons Database'!$C$2:$C$100,MATCH($AM40,'Weapons Database'!$A$2:$A$100,0))&amp;" "&amp;INDEX('Weapons Database'!$D$2:$D$100,MATCH($AM40,'Weapons Database'!$A$2:$A$100,0)),""))</x:f>
      </x:c>
      <x:c r="AW40" s="63" t="str">
        <x:f>IF($AO40="","",IFERROR(INDEX('Weapons Database'!$C$2:$C$100,MATCH($AO40,'Weapons Database'!$A$2:$A$100,0))&amp;" "&amp;INDEX('Weapons Database'!$D$2:$D$100,MATCH($AO40,'Weapons Database'!$A$2:$A$100,0)),""))</x:f>
      </x:c>
      <x:c r="AX40" s="63"/>
    </x:row>
    <x:row r="41">
      <x:c r="A41" s="63"/>
      <x:c r="B41" s="63"/>
      <x:c r="C41" s="63"/>
      <x:c r="D41" s="63"/>
      <x:c r="E41" s="63"/>
      <x:c r="F41" s="63"/>
      <x:c r="G41" s="63"/>
      <x:c r="H41" s="63"/>
      <x:c r="I41" s="63"/>
      <x:c r="J41" s="63" t="str">
        <x:f>IF($B41="","",IF($AT41&lt;&gt;"",$AT41,$AU41))</x:f>
      </x:c>
      <x:c r="K41" s="63"/>
      <x:c r="L41" s="63"/>
      <x:c r="M41" s="63"/>
      <x:c r="N41" s="63"/>
      <x:c r="O41" s="63"/>
      <x:c r="P41" s="63"/>
      <x:c r="Q41" s="63"/>
      <x:c r="R41" s="63"/>
      <x:c r="S41" s="63"/>
      <x:c r="T41" s="63"/>
      <x:c r="U41" s="63"/>
      <x:c r="V41" s="63"/>
      <x:c r="W41" s="63"/>
      <x:c r="X41" s="63"/>
      <x:c r="Y41" s="63"/>
      <x:c r="Z41" s="63"/>
      <x:c r="AA41" s="63"/>
      <x:c r="AB41" s="63"/>
      <x:c r="AC41" s="63"/>
      <x:c r="AD41" s="63"/>
      <x:c r="AE41" s="63"/>
      <x:c r="AF41" s="63"/>
      <x:c r="AG41" s="63"/>
      <x:c r="AH41" s="63"/>
      <x:c r="AI41" s="63"/>
      <x:c r="AJ41" s="63"/>
      <x:c r="AK41" s="63"/>
      <x:c r="AL41" s="63"/>
      <x:c r="AM41" s="63"/>
      <x:c r="AN41" s="63"/>
      <x:c r="AO41" s="63"/>
      <x:c r="AP41" s="63"/>
      <x:c r="AQ41" s="63"/>
      <x:c r="AR41" s="63"/>
      <x:c r="AS41" s="137"/>
      <x:c r="AT41" s="137"/>
      <x:c r="AU41" s="63" t="str">
        <x:f>IF($B41="","",IF($AK41="",10+$W41,IFERROR(INDEX('Armor Database'!$D$2:$D$100,MATCH($AK41,'Armor Database'!$A$2:$A$100,0))+IF(INDEX('Armor Database'!$E$2:$E$100,MATCH($AK41,'Armor Database'!$A$2:$A$100,0))="Full",$W41,IF(INDEX('Armor Database'!$E$2:$E$100,MATCH($AK41,'Armor Database'!$A$2:$A$100,0))="Max 2",MIN($W41,2),0))+IF($AL41="Shield",2,0)+N($AS41),10+$W41+IF($AL41="Shield",2,0)+N($AS41))))</x:f>
      </x:c>
      <x:c r="AV41" s="63" t="str">
        <x:f>IF($AM41="","",IFERROR(INDEX('Weapons Database'!$C$2:$C$100,MATCH($AM41,'Weapons Database'!$A$2:$A$100,0))&amp;" "&amp;INDEX('Weapons Database'!$D$2:$D$100,MATCH($AM41,'Weapons Database'!$A$2:$A$100,0)),""))</x:f>
      </x:c>
      <x:c r="AW41" s="63" t="str">
        <x:f>IF($AO41="","",IFERROR(INDEX('Weapons Database'!$C$2:$C$100,MATCH($AO41,'Weapons Database'!$A$2:$A$100,0))&amp;" "&amp;INDEX('Weapons Database'!$D$2:$D$100,MATCH($AO41,'Weapons Database'!$A$2:$A$100,0)),""))</x:f>
      </x:c>
      <x:c r="AX41" s="63"/>
    </x:row>
    <x:row r="42">
      <x:c r="A42" s="63"/>
      <x:c r="B42" s="63"/>
      <x:c r="C42" s="63"/>
      <x:c r="D42" s="63"/>
      <x:c r="E42" s="63"/>
      <x:c r="F42" s="63"/>
      <x:c r="G42" s="63"/>
      <x:c r="H42" s="63"/>
      <x:c r="I42" s="63"/>
      <x:c r="J42" s="63" t="str">
        <x:f>IF($B42="","",IF($AT42&lt;&gt;"",$AT42,$AU42))</x:f>
      </x:c>
      <x:c r="K42" s="63"/>
      <x:c r="L42" s="63"/>
      <x:c r="M42" s="63"/>
      <x:c r="N42" s="63"/>
      <x:c r="O42" s="63"/>
      <x:c r="P42" s="63"/>
      <x:c r="Q42" s="63"/>
      <x:c r="R42" s="63"/>
      <x:c r="S42" s="63"/>
      <x:c r="T42" s="63"/>
      <x:c r="U42" s="63"/>
      <x:c r="V42" s="63"/>
      <x:c r="W42" s="63"/>
      <x:c r="X42" s="63"/>
      <x:c r="Y42" s="63"/>
      <x:c r="Z42" s="63"/>
      <x:c r="AA42" s="63"/>
      <x:c r="AB42" s="63"/>
      <x:c r="AC42" s="63"/>
      <x:c r="AD42" s="63"/>
      <x:c r="AE42" s="63"/>
      <x:c r="AF42" s="63"/>
      <x:c r="AG42" s="63"/>
      <x:c r="AH42" s="63"/>
      <x:c r="AI42" s="63"/>
      <x:c r="AJ42" s="63"/>
      <x:c r="AK42" s="63"/>
      <x:c r="AL42" s="63"/>
      <x:c r="AM42" s="63"/>
      <x:c r="AN42" s="63"/>
      <x:c r="AO42" s="63"/>
      <x:c r="AP42" s="63"/>
      <x:c r="AQ42" s="63"/>
      <x:c r="AR42" s="63"/>
      <x:c r="AS42" s="137"/>
      <x:c r="AT42" s="137"/>
      <x:c r="AU42" s="63" t="str">
        <x:f>IF($B42="","",IF($AK42="",10+$W42,IFERROR(INDEX('Armor Database'!$D$2:$D$100,MATCH($AK42,'Armor Database'!$A$2:$A$100,0))+IF(INDEX('Armor Database'!$E$2:$E$100,MATCH($AK42,'Armor Database'!$A$2:$A$100,0))="Full",$W42,IF(INDEX('Armor Database'!$E$2:$E$100,MATCH($AK42,'Armor Database'!$A$2:$A$100,0))="Max 2",MIN($W42,2),0))+IF($AL42="Shield",2,0)+N($AS42),10+$W42+IF($AL42="Shield",2,0)+N($AS42))))</x:f>
      </x:c>
      <x:c r="AV42" s="63" t="str">
        <x:f>IF($AM42="","",IFERROR(INDEX('Weapons Database'!$C$2:$C$100,MATCH($AM42,'Weapons Database'!$A$2:$A$100,0))&amp;" "&amp;INDEX('Weapons Database'!$D$2:$D$100,MATCH($AM42,'Weapons Database'!$A$2:$A$100,0)),""))</x:f>
      </x:c>
      <x:c r="AW42" s="63" t="str">
        <x:f>IF($AO42="","",IFERROR(INDEX('Weapons Database'!$C$2:$C$100,MATCH($AO42,'Weapons Database'!$A$2:$A$100,0))&amp;" "&amp;INDEX('Weapons Database'!$D$2:$D$100,MATCH($AO42,'Weapons Database'!$A$2:$A$100,0)),""))</x:f>
      </x:c>
      <x:c r="AX42" s="63"/>
    </x:row>
    <x:row r="43">
      <x:c r="A43" s="63"/>
      <x:c r="B43" s="63"/>
      <x:c r="C43" s="63"/>
      <x:c r="D43" s="63"/>
      <x:c r="E43" s="63"/>
      <x:c r="F43" s="63"/>
      <x:c r="G43" s="63"/>
      <x:c r="H43" s="63"/>
      <x:c r="I43" s="63"/>
      <x:c r="J43" s="63" t="str">
        <x:f>IF($B43="","",IF($AT43&lt;&gt;"",$AT43,$AU43))</x:f>
      </x:c>
      <x:c r="K43" s="63"/>
      <x:c r="L43" s="63"/>
      <x:c r="M43" s="63"/>
      <x:c r="N43" s="63"/>
      <x:c r="O43" s="63"/>
      <x:c r="P43" s="63"/>
      <x:c r="Q43" s="63"/>
      <x:c r="R43" s="63"/>
      <x:c r="S43" s="63"/>
      <x:c r="T43" s="63"/>
      <x:c r="U43" s="63"/>
      <x:c r="V43" s="63"/>
      <x:c r="W43" s="63"/>
      <x:c r="X43" s="63"/>
      <x:c r="Y43" s="63"/>
      <x:c r="Z43" s="63"/>
      <x:c r="AA43" s="63"/>
      <x:c r="AB43" s="63"/>
      <x:c r="AC43" s="63"/>
      <x:c r="AD43" s="63"/>
      <x:c r="AE43" s="63"/>
      <x:c r="AF43" s="63"/>
      <x:c r="AG43" s="63"/>
      <x:c r="AH43" s="63"/>
      <x:c r="AI43" s="63"/>
      <x:c r="AJ43" s="63"/>
      <x:c r="AK43" s="63"/>
      <x:c r="AL43" s="63"/>
      <x:c r="AM43" s="63"/>
      <x:c r="AN43" s="63"/>
      <x:c r="AO43" s="63"/>
      <x:c r="AP43" s="63"/>
      <x:c r="AQ43" s="63"/>
      <x:c r="AR43" s="63"/>
      <x:c r="AS43" s="137"/>
      <x:c r="AT43" s="137"/>
      <x:c r="AU43" s="63" t="str">
        <x:f>IF($B43="","",IF($AK43="",10+$W43,IFERROR(INDEX('Armor Database'!$D$2:$D$100,MATCH($AK43,'Armor Database'!$A$2:$A$100,0))+IF(INDEX('Armor Database'!$E$2:$E$100,MATCH($AK43,'Armor Database'!$A$2:$A$100,0))="Full",$W43,IF(INDEX('Armor Database'!$E$2:$E$100,MATCH($AK43,'Armor Database'!$A$2:$A$100,0))="Max 2",MIN($W43,2),0))+IF($AL43="Shield",2,0)+N($AS43),10+$W43+IF($AL43="Shield",2,0)+N($AS43))))</x:f>
      </x:c>
      <x:c r="AV43" s="63" t="str">
        <x:f>IF($AM43="","",IFERROR(INDEX('Weapons Database'!$C$2:$C$100,MATCH($AM43,'Weapons Database'!$A$2:$A$100,0))&amp;" "&amp;INDEX('Weapons Database'!$D$2:$D$100,MATCH($AM43,'Weapons Database'!$A$2:$A$100,0)),""))</x:f>
      </x:c>
      <x:c r="AW43" s="63" t="str">
        <x:f>IF($AO43="","",IFERROR(INDEX('Weapons Database'!$C$2:$C$100,MATCH($AO43,'Weapons Database'!$A$2:$A$100,0))&amp;" "&amp;INDEX('Weapons Database'!$D$2:$D$100,MATCH($AO43,'Weapons Database'!$A$2:$A$100,0)),""))</x:f>
      </x:c>
      <x:c r="AX43" s="63"/>
    </x:row>
    <x:row r="44">
      <x:c r="A44" s="63"/>
      <x:c r="B44" s="63"/>
      <x:c r="C44" s="63"/>
      <x:c r="D44" s="63"/>
      <x:c r="E44" s="63"/>
      <x:c r="F44" s="63"/>
      <x:c r="G44" s="63"/>
      <x:c r="H44" s="63"/>
      <x:c r="I44" s="63"/>
      <x:c r="J44" s="63" t="str">
        <x:f>IF($B44="","",IF($AT44&lt;&gt;"",$AT44,$AU44))</x:f>
      </x:c>
      <x:c r="K44" s="63"/>
      <x:c r="L44" s="63"/>
      <x:c r="M44" s="63"/>
      <x:c r="N44" s="63"/>
      <x:c r="O44" s="63"/>
      <x:c r="P44" s="63"/>
      <x:c r="Q44" s="63"/>
      <x:c r="R44" s="63"/>
      <x:c r="S44" s="63"/>
      <x:c r="T44" s="63"/>
      <x:c r="U44" s="63"/>
      <x:c r="V44" s="63"/>
      <x:c r="W44" s="63"/>
      <x:c r="X44" s="63"/>
      <x:c r="Y44" s="63"/>
      <x:c r="Z44" s="63"/>
      <x:c r="AA44" s="63"/>
      <x:c r="AB44" s="63"/>
      <x:c r="AC44" s="63"/>
      <x:c r="AD44" s="63"/>
      <x:c r="AE44" s="63"/>
      <x:c r="AF44" s="63"/>
      <x:c r="AG44" s="63"/>
      <x:c r="AH44" s="63"/>
      <x:c r="AI44" s="63"/>
      <x:c r="AJ44" s="63"/>
      <x:c r="AK44" s="63"/>
      <x:c r="AL44" s="63"/>
      <x:c r="AM44" s="63"/>
      <x:c r="AN44" s="63"/>
      <x:c r="AO44" s="63"/>
      <x:c r="AP44" s="63"/>
      <x:c r="AQ44" s="63"/>
      <x:c r="AR44" s="63"/>
      <x:c r="AS44" s="137"/>
      <x:c r="AT44" s="137"/>
      <x:c r="AU44" s="63" t="str">
        <x:f>IF($B44="","",IF($AK44="",10+$W44,IFERROR(INDEX('Armor Database'!$D$2:$D$100,MATCH($AK44,'Armor Database'!$A$2:$A$100,0))+IF(INDEX('Armor Database'!$E$2:$E$100,MATCH($AK44,'Armor Database'!$A$2:$A$100,0))="Full",$W44,IF(INDEX('Armor Database'!$E$2:$E$100,MATCH($AK44,'Armor Database'!$A$2:$A$100,0))="Max 2",MIN($W44,2),0))+IF($AL44="Shield",2,0)+N($AS44),10+$W44+IF($AL44="Shield",2,0)+N($AS44))))</x:f>
      </x:c>
      <x:c r="AV44" s="63" t="str">
        <x:f>IF($AM44="","",IFERROR(INDEX('Weapons Database'!$C$2:$C$100,MATCH($AM44,'Weapons Database'!$A$2:$A$100,0))&amp;" "&amp;INDEX('Weapons Database'!$D$2:$D$100,MATCH($AM44,'Weapons Database'!$A$2:$A$100,0)),""))</x:f>
      </x:c>
      <x:c r="AW44" s="63" t="str">
        <x:f>IF($AO44="","",IFERROR(INDEX('Weapons Database'!$C$2:$C$100,MATCH($AO44,'Weapons Database'!$A$2:$A$100,0))&amp;" "&amp;INDEX('Weapons Database'!$D$2:$D$100,MATCH($AO44,'Weapons Database'!$A$2:$A$100,0)),""))</x:f>
      </x:c>
      <x:c r="AX44" s="63"/>
    </x:row>
    <x:row r="45">
      <x:c r="A45" s="63"/>
      <x:c r="B45" s="63"/>
      <x:c r="C45" s="63"/>
      <x:c r="D45" s="63"/>
      <x:c r="E45" s="63"/>
      <x:c r="F45" s="63"/>
      <x:c r="G45" s="63"/>
      <x:c r="H45" s="63"/>
      <x:c r="I45" s="63"/>
      <x:c r="J45" s="63" t="str">
        <x:f>IF($B45="","",IF($AT45&lt;&gt;"",$AT45,$AU45))</x:f>
      </x:c>
      <x:c r="K45" s="63"/>
      <x:c r="L45" s="63"/>
      <x:c r="M45" s="63"/>
      <x:c r="N45" s="63"/>
      <x:c r="O45" s="63"/>
      <x:c r="P45" s="63"/>
      <x:c r="Q45" s="63"/>
      <x:c r="R45" s="63"/>
      <x:c r="S45" s="63"/>
      <x:c r="T45" s="63"/>
      <x:c r="U45" s="63"/>
      <x:c r="V45" s="63"/>
      <x:c r="W45" s="63"/>
      <x:c r="X45" s="63"/>
      <x:c r="Y45" s="63"/>
      <x:c r="Z45" s="63"/>
      <x:c r="AA45" s="63"/>
      <x:c r="AB45" s="63"/>
      <x:c r="AC45" s="63"/>
      <x:c r="AD45" s="63"/>
      <x:c r="AE45" s="63"/>
      <x:c r="AF45" s="63"/>
      <x:c r="AG45" s="63"/>
      <x:c r="AH45" s="63"/>
      <x:c r="AI45" s="63"/>
      <x:c r="AJ45" s="63"/>
      <x:c r="AK45" s="63"/>
      <x:c r="AL45" s="63"/>
      <x:c r="AM45" s="63"/>
      <x:c r="AN45" s="63"/>
      <x:c r="AO45" s="63"/>
      <x:c r="AP45" s="63"/>
      <x:c r="AQ45" s="63"/>
      <x:c r="AR45" s="63"/>
      <x:c r="AS45" s="137"/>
      <x:c r="AT45" s="137"/>
      <x:c r="AU45" s="63" t="str">
        <x:f>IF($B45="","",IF($AK45="",10+$W45,IFERROR(INDEX('Armor Database'!$D$2:$D$100,MATCH($AK45,'Armor Database'!$A$2:$A$100,0))+IF(INDEX('Armor Database'!$E$2:$E$100,MATCH($AK45,'Armor Database'!$A$2:$A$100,0))="Full",$W45,IF(INDEX('Armor Database'!$E$2:$E$100,MATCH($AK45,'Armor Database'!$A$2:$A$100,0))="Max 2",MIN($W45,2),0))+IF($AL45="Shield",2,0)+N($AS45),10+$W45+IF($AL45="Shield",2,0)+N($AS45))))</x:f>
      </x:c>
      <x:c r="AV45" s="63" t="str">
        <x:f>IF($AM45="","",IFERROR(INDEX('Weapons Database'!$C$2:$C$100,MATCH($AM45,'Weapons Database'!$A$2:$A$100,0))&amp;" "&amp;INDEX('Weapons Database'!$D$2:$D$100,MATCH($AM45,'Weapons Database'!$A$2:$A$100,0)),""))</x:f>
      </x:c>
      <x:c r="AW45" s="63" t="str">
        <x:f>IF($AO45="","",IFERROR(INDEX('Weapons Database'!$C$2:$C$100,MATCH($AO45,'Weapons Database'!$A$2:$A$100,0))&amp;" "&amp;INDEX('Weapons Database'!$D$2:$D$100,MATCH($AO45,'Weapons Database'!$A$2:$A$100,0)),""))</x:f>
      </x:c>
      <x:c r="AX45" s="63"/>
    </x:row>
    <x:row r="46">
      <x:c r="A46" s="63"/>
      <x:c r="B46" s="63"/>
      <x:c r="C46" s="63"/>
      <x:c r="D46" s="63"/>
      <x:c r="E46" s="63"/>
      <x:c r="F46" s="63"/>
      <x:c r="G46" s="63"/>
      <x:c r="H46" s="63"/>
      <x:c r="I46" s="63"/>
      <x:c r="J46" s="63" t="str">
        <x:f>IF($B46="","",IF($AT46&lt;&gt;"",$AT46,$AU46))</x:f>
      </x:c>
      <x:c r="K46" s="63"/>
      <x:c r="L46" s="63"/>
      <x:c r="M46" s="63"/>
      <x:c r="N46" s="63"/>
      <x:c r="O46" s="63"/>
      <x:c r="P46" s="63"/>
      <x:c r="Q46" s="63"/>
      <x:c r="R46" s="63"/>
      <x:c r="S46" s="63"/>
      <x:c r="T46" s="63"/>
      <x:c r="U46" s="63"/>
      <x:c r="V46" s="63"/>
      <x:c r="W46" s="63"/>
      <x:c r="X46" s="63"/>
      <x:c r="Y46" s="63"/>
      <x:c r="Z46" s="63"/>
      <x:c r="AA46" s="63"/>
      <x:c r="AB46" s="63"/>
      <x:c r="AC46" s="63"/>
      <x:c r="AD46" s="63"/>
      <x:c r="AE46" s="63"/>
      <x:c r="AF46" s="63"/>
      <x:c r="AG46" s="63"/>
      <x:c r="AH46" s="63"/>
      <x:c r="AI46" s="63"/>
      <x:c r="AJ46" s="63"/>
      <x:c r="AK46" s="63"/>
      <x:c r="AL46" s="63"/>
      <x:c r="AM46" s="63"/>
      <x:c r="AN46" s="63"/>
      <x:c r="AO46" s="63"/>
      <x:c r="AP46" s="63"/>
      <x:c r="AQ46" s="63"/>
      <x:c r="AR46" s="63"/>
      <x:c r="AS46" s="137"/>
      <x:c r="AT46" s="137"/>
      <x:c r="AU46" s="63" t="str">
        <x:f>IF($B46="","",IF($AK46="",10+$W46,IFERROR(INDEX('Armor Database'!$D$2:$D$100,MATCH($AK46,'Armor Database'!$A$2:$A$100,0))+IF(INDEX('Armor Database'!$E$2:$E$100,MATCH($AK46,'Armor Database'!$A$2:$A$100,0))="Full",$W46,IF(INDEX('Armor Database'!$E$2:$E$100,MATCH($AK46,'Armor Database'!$A$2:$A$100,0))="Max 2",MIN($W46,2),0))+IF($AL46="Shield",2,0)+N($AS46),10+$W46+IF($AL46="Shield",2,0)+N($AS46))))</x:f>
      </x:c>
      <x:c r="AV46" s="63" t="str">
        <x:f>IF($AM46="","",IFERROR(INDEX('Weapons Database'!$C$2:$C$100,MATCH($AM46,'Weapons Database'!$A$2:$A$100,0))&amp;" "&amp;INDEX('Weapons Database'!$D$2:$D$100,MATCH($AM46,'Weapons Database'!$A$2:$A$100,0)),""))</x:f>
      </x:c>
      <x:c r="AW46" s="63" t="str">
        <x:f>IF($AO46="","",IFERROR(INDEX('Weapons Database'!$C$2:$C$100,MATCH($AO46,'Weapons Database'!$A$2:$A$100,0))&amp;" "&amp;INDEX('Weapons Database'!$D$2:$D$100,MATCH($AO46,'Weapons Database'!$A$2:$A$100,0)),""))</x:f>
      </x:c>
      <x:c r="AX46" s="63"/>
    </x:row>
    <x:row r="47">
      <x:c r="A47" s="63"/>
      <x:c r="B47" s="63"/>
      <x:c r="C47" s="63"/>
      <x:c r="D47" s="63"/>
      <x:c r="E47" s="63"/>
      <x:c r="F47" s="63"/>
      <x:c r="G47" s="63"/>
      <x:c r="H47" s="63"/>
      <x:c r="I47" s="63"/>
      <x:c r="J47" s="63" t="str">
        <x:f>IF($B47="","",IF($AT47&lt;&gt;"",$AT47,$AU47))</x:f>
      </x:c>
      <x:c r="K47" s="63"/>
      <x:c r="L47" s="63"/>
      <x:c r="M47" s="63"/>
      <x:c r="N47" s="63"/>
      <x:c r="O47" s="63"/>
      <x:c r="P47" s="63"/>
      <x:c r="Q47" s="63"/>
      <x:c r="R47" s="63"/>
      <x:c r="S47" s="63"/>
      <x:c r="T47" s="63"/>
      <x:c r="U47" s="63"/>
      <x:c r="V47" s="63"/>
      <x:c r="W47" s="63"/>
      <x:c r="X47" s="63"/>
      <x:c r="Y47" s="63"/>
      <x:c r="Z47" s="63"/>
      <x:c r="AA47" s="63"/>
      <x:c r="AB47" s="63"/>
      <x:c r="AC47" s="63"/>
      <x:c r="AD47" s="63"/>
      <x:c r="AE47" s="63"/>
      <x:c r="AF47" s="63"/>
      <x:c r="AG47" s="63"/>
      <x:c r="AH47" s="63"/>
      <x:c r="AI47" s="63"/>
      <x:c r="AJ47" s="63"/>
      <x:c r="AK47" s="63"/>
      <x:c r="AL47" s="63"/>
      <x:c r="AM47" s="63"/>
      <x:c r="AN47" s="63"/>
      <x:c r="AO47" s="63"/>
      <x:c r="AP47" s="63"/>
      <x:c r="AQ47" s="63"/>
      <x:c r="AR47" s="63"/>
      <x:c r="AS47" s="137"/>
      <x:c r="AT47" s="137"/>
      <x:c r="AU47" s="63" t="str">
        <x:f>IF($B47="","",IF($AK47="",10+$W47,IFERROR(INDEX('Armor Database'!$D$2:$D$100,MATCH($AK47,'Armor Database'!$A$2:$A$100,0))+IF(INDEX('Armor Database'!$E$2:$E$100,MATCH($AK47,'Armor Database'!$A$2:$A$100,0))="Full",$W47,IF(INDEX('Armor Database'!$E$2:$E$100,MATCH($AK47,'Armor Database'!$A$2:$A$100,0))="Max 2",MIN($W47,2),0))+IF($AL47="Shield",2,0)+N($AS47),10+$W47+IF($AL47="Shield",2,0)+N($AS47))))</x:f>
      </x:c>
      <x:c r="AV47" s="63" t="str">
        <x:f>IF($AM47="","",IFERROR(INDEX('Weapons Database'!$C$2:$C$100,MATCH($AM47,'Weapons Database'!$A$2:$A$100,0))&amp;" "&amp;INDEX('Weapons Database'!$D$2:$D$100,MATCH($AM47,'Weapons Database'!$A$2:$A$100,0)),""))</x:f>
      </x:c>
      <x:c r="AW47" s="63" t="str">
        <x:f>IF($AO47="","",IFERROR(INDEX('Weapons Database'!$C$2:$C$100,MATCH($AO47,'Weapons Database'!$A$2:$A$100,0))&amp;" "&amp;INDEX('Weapons Database'!$D$2:$D$100,MATCH($AO47,'Weapons Database'!$A$2:$A$100,0)),""))</x:f>
      </x:c>
      <x:c r="AX47" s="63"/>
    </x:row>
    <x:row r="48">
      <x:c r="A48" s="63"/>
      <x:c r="B48" s="63"/>
      <x:c r="C48" s="63"/>
      <x:c r="D48" s="63"/>
      <x:c r="E48" s="63"/>
      <x:c r="F48" s="63"/>
      <x:c r="G48" s="63"/>
      <x:c r="H48" s="63"/>
      <x:c r="I48" s="63"/>
      <x:c r="J48" s="63" t="str">
        <x:f>IF($B48="","",IF($AT48&lt;&gt;"",$AT48,$AU48))</x:f>
      </x:c>
      <x:c r="K48" s="63"/>
      <x:c r="L48" s="63"/>
      <x:c r="M48" s="63"/>
      <x:c r="N48" s="63"/>
      <x:c r="O48" s="63"/>
      <x:c r="P48" s="63"/>
      <x:c r="Q48" s="63"/>
      <x:c r="R48" s="63"/>
      <x:c r="S48" s="63"/>
      <x:c r="T48" s="63"/>
      <x:c r="U48" s="63"/>
      <x:c r="V48" s="63"/>
      <x:c r="W48" s="63"/>
      <x:c r="X48" s="63"/>
      <x:c r="Y48" s="63"/>
      <x:c r="Z48" s="63"/>
      <x:c r="AA48" s="63"/>
      <x:c r="AB48" s="63"/>
      <x:c r="AC48" s="63"/>
      <x:c r="AD48" s="63"/>
      <x:c r="AE48" s="63"/>
      <x:c r="AF48" s="63"/>
      <x:c r="AG48" s="63"/>
      <x:c r="AH48" s="63"/>
      <x:c r="AI48" s="63"/>
      <x:c r="AJ48" s="63"/>
      <x:c r="AK48" s="63"/>
      <x:c r="AL48" s="63"/>
      <x:c r="AM48" s="63"/>
      <x:c r="AN48" s="63"/>
      <x:c r="AO48" s="63"/>
      <x:c r="AP48" s="63"/>
      <x:c r="AQ48" s="63"/>
      <x:c r="AR48" s="63"/>
      <x:c r="AS48" s="137"/>
      <x:c r="AT48" s="137"/>
      <x:c r="AU48" s="63" t="str">
        <x:f>IF($B48="","",IF($AK48="",10+$W48,IFERROR(INDEX('Armor Database'!$D$2:$D$100,MATCH($AK48,'Armor Database'!$A$2:$A$100,0))+IF(INDEX('Armor Database'!$E$2:$E$100,MATCH($AK48,'Armor Database'!$A$2:$A$100,0))="Full",$W48,IF(INDEX('Armor Database'!$E$2:$E$100,MATCH($AK48,'Armor Database'!$A$2:$A$100,0))="Max 2",MIN($W48,2),0))+IF($AL48="Shield",2,0)+N($AS48),10+$W48+IF($AL48="Shield",2,0)+N($AS48))))</x:f>
      </x:c>
      <x:c r="AV48" s="63" t="str">
        <x:f>IF($AM48="","",IFERROR(INDEX('Weapons Database'!$C$2:$C$100,MATCH($AM48,'Weapons Database'!$A$2:$A$100,0))&amp;" "&amp;INDEX('Weapons Database'!$D$2:$D$100,MATCH($AM48,'Weapons Database'!$A$2:$A$100,0)),""))</x:f>
      </x:c>
      <x:c r="AW48" s="63" t="str">
        <x:f>IF($AO48="","",IFERROR(INDEX('Weapons Database'!$C$2:$C$100,MATCH($AO48,'Weapons Database'!$A$2:$A$100,0))&amp;" "&amp;INDEX('Weapons Database'!$D$2:$D$100,MATCH($AO48,'Weapons Database'!$A$2:$A$100,0)),""))</x:f>
      </x:c>
      <x:c r="AX48" s="63"/>
    </x:row>
    <x:row r="49">
      <x:c r="A49" s="63"/>
      <x:c r="B49" s="63"/>
      <x:c r="C49" s="63"/>
      <x:c r="D49" s="63"/>
      <x:c r="E49" s="63"/>
      <x:c r="F49" s="63"/>
      <x:c r="G49" s="63"/>
      <x:c r="H49" s="63"/>
      <x:c r="I49" s="63"/>
      <x:c r="J49" s="63" t="str">
        <x:f>IF($B49="","",IF($AT49&lt;&gt;"",$AT49,$AU49))</x:f>
      </x:c>
      <x:c r="K49" s="63"/>
      <x:c r="L49" s="63"/>
      <x:c r="M49" s="63"/>
      <x:c r="N49" s="63"/>
      <x:c r="O49" s="63"/>
      <x:c r="P49" s="63"/>
      <x:c r="Q49" s="63"/>
      <x:c r="R49" s="63"/>
      <x:c r="S49" s="63"/>
      <x:c r="T49" s="63"/>
      <x:c r="U49" s="63"/>
      <x:c r="V49" s="63"/>
      <x:c r="W49" s="63"/>
      <x:c r="X49" s="63"/>
      <x:c r="Y49" s="63"/>
      <x:c r="Z49" s="63"/>
      <x:c r="AA49" s="63"/>
      <x:c r="AB49" s="63"/>
      <x:c r="AC49" s="63"/>
      <x:c r="AD49" s="63"/>
      <x:c r="AE49" s="63"/>
      <x:c r="AF49" s="63"/>
      <x:c r="AG49" s="63"/>
      <x:c r="AH49" s="63"/>
      <x:c r="AI49" s="63"/>
      <x:c r="AJ49" s="63"/>
      <x:c r="AK49" s="63"/>
      <x:c r="AL49" s="63"/>
      <x:c r="AM49" s="63"/>
      <x:c r="AN49" s="63"/>
      <x:c r="AO49" s="63"/>
      <x:c r="AP49" s="63"/>
      <x:c r="AQ49" s="63"/>
      <x:c r="AR49" s="63"/>
      <x:c r="AS49" s="137"/>
      <x:c r="AT49" s="137"/>
      <x:c r="AU49" s="63" t="str">
        <x:f>IF($B49="","",IF($AK49="",10+$W49,IFERROR(INDEX('Armor Database'!$D$2:$D$100,MATCH($AK49,'Armor Database'!$A$2:$A$100,0))+IF(INDEX('Armor Database'!$E$2:$E$100,MATCH($AK49,'Armor Database'!$A$2:$A$100,0))="Full",$W49,IF(INDEX('Armor Database'!$E$2:$E$100,MATCH($AK49,'Armor Database'!$A$2:$A$100,0))="Max 2",MIN($W49,2),0))+IF($AL49="Shield",2,0)+N($AS49),10+$W49+IF($AL49="Shield",2,0)+N($AS49))))</x:f>
      </x:c>
      <x:c r="AV49" s="63" t="str">
        <x:f>IF($AM49="","",IFERROR(INDEX('Weapons Database'!$C$2:$C$100,MATCH($AM49,'Weapons Database'!$A$2:$A$100,0))&amp;" "&amp;INDEX('Weapons Database'!$D$2:$D$100,MATCH($AM49,'Weapons Database'!$A$2:$A$100,0)),""))</x:f>
      </x:c>
      <x:c r="AW49" s="63" t="str">
        <x:f>IF($AO49="","",IFERROR(INDEX('Weapons Database'!$C$2:$C$100,MATCH($AO49,'Weapons Database'!$A$2:$A$100,0))&amp;" "&amp;INDEX('Weapons Database'!$D$2:$D$100,MATCH($AO49,'Weapons Database'!$A$2:$A$100,0)),""))</x:f>
      </x:c>
      <x:c r="AX49" s="63"/>
    </x:row>
    <x:row r="50">
      <x:c r="A50" s="63"/>
      <x:c r="B50" s="63"/>
      <x:c r="C50" s="63"/>
      <x:c r="D50" s="63"/>
      <x:c r="E50" s="63"/>
      <x:c r="F50" s="63"/>
      <x:c r="G50" s="63"/>
      <x:c r="H50" s="63"/>
      <x:c r="I50" s="63"/>
      <x:c r="J50" s="63" t="str">
        <x:f>IF($B50="","",IF($AT50&lt;&gt;"",$AT50,$AU50))</x:f>
      </x:c>
      <x:c r="K50" s="63"/>
      <x:c r="L50" s="63"/>
      <x:c r="M50" s="63"/>
      <x:c r="N50" s="63"/>
      <x:c r="O50" s="63"/>
      <x:c r="P50" s="63"/>
      <x:c r="Q50" s="63"/>
      <x:c r="R50" s="63"/>
      <x:c r="S50" s="63"/>
      <x:c r="T50" s="63"/>
      <x:c r="U50" s="63"/>
      <x:c r="V50" s="63"/>
      <x:c r="W50" s="63"/>
      <x:c r="X50" s="63"/>
      <x:c r="Y50" s="63"/>
      <x:c r="Z50" s="63"/>
      <x:c r="AA50" s="63"/>
      <x:c r="AB50" s="63"/>
      <x:c r="AC50" s="63"/>
      <x:c r="AD50" s="63"/>
      <x:c r="AE50" s="63"/>
      <x:c r="AF50" s="63"/>
      <x:c r="AG50" s="63"/>
      <x:c r="AH50" s="63"/>
      <x:c r="AI50" s="63"/>
      <x:c r="AJ50" s="63"/>
      <x:c r="AK50" s="63"/>
      <x:c r="AL50" s="63"/>
      <x:c r="AM50" s="63"/>
      <x:c r="AN50" s="63"/>
      <x:c r="AO50" s="63"/>
      <x:c r="AP50" s="63"/>
      <x:c r="AQ50" s="63"/>
      <x:c r="AR50" s="63"/>
      <x:c r="AS50" s="137"/>
      <x:c r="AT50" s="137"/>
      <x:c r="AU50" s="63" t="str">
        <x:f>IF($B50="","",IF($AK50="",10+$W50,IFERROR(INDEX('Armor Database'!$D$2:$D$100,MATCH($AK50,'Armor Database'!$A$2:$A$100,0))+IF(INDEX('Armor Database'!$E$2:$E$100,MATCH($AK50,'Armor Database'!$A$2:$A$100,0))="Full",$W50,IF(INDEX('Armor Database'!$E$2:$E$100,MATCH($AK50,'Armor Database'!$A$2:$A$100,0))="Max 2",MIN($W50,2),0))+IF($AL50="Shield",2,0)+N($AS50),10+$W50+IF($AL50="Shield",2,0)+N($AS50))))</x:f>
      </x:c>
      <x:c r="AV50" s="63" t="str">
        <x:f>IF($AM50="","",IFERROR(INDEX('Weapons Database'!$C$2:$C$100,MATCH($AM50,'Weapons Database'!$A$2:$A$100,0))&amp;" "&amp;INDEX('Weapons Database'!$D$2:$D$100,MATCH($AM50,'Weapons Database'!$A$2:$A$100,0)),""))</x:f>
      </x:c>
      <x:c r="AW50" s="63" t="str">
        <x:f>IF($AO50="","",IFERROR(INDEX('Weapons Database'!$C$2:$C$100,MATCH($AO50,'Weapons Database'!$A$2:$A$100,0))&amp;" "&amp;INDEX('Weapons Database'!$D$2:$D$100,MATCH($AO50,'Weapons Database'!$A$2:$A$100,0)),""))</x:f>
      </x:c>
      <x:c r="AX50" s="63"/>
    </x:row>
    <x:row r="51">
      <x:c r="A51" s="63"/>
      <x:c r="B51" s="63"/>
      <x:c r="C51" s="63"/>
      <x:c r="D51" s="63"/>
      <x:c r="E51" s="63"/>
      <x:c r="F51" s="63"/>
      <x:c r="G51" s="63"/>
      <x:c r="H51" s="63"/>
      <x:c r="I51" s="63"/>
      <x:c r="J51" s="63" t="str">
        <x:f>IF($B51="","",IF($AT51&lt;&gt;"",$AT51,$AU51))</x:f>
      </x:c>
      <x:c r="K51" s="63"/>
      <x:c r="L51" s="63"/>
      <x:c r="M51" s="63"/>
      <x:c r="N51" s="63"/>
      <x:c r="O51" s="63"/>
      <x:c r="P51" s="63"/>
      <x:c r="Q51" s="63"/>
      <x:c r="R51" s="63"/>
      <x:c r="S51" s="63"/>
      <x:c r="T51" s="63"/>
      <x:c r="U51" s="63"/>
      <x:c r="V51" s="63"/>
      <x:c r="W51" s="63"/>
      <x:c r="X51" s="63"/>
      <x:c r="Y51" s="63"/>
      <x:c r="Z51" s="63"/>
      <x:c r="AA51" s="63"/>
      <x:c r="AB51" s="63"/>
      <x:c r="AC51" s="63"/>
      <x:c r="AD51" s="63"/>
      <x:c r="AE51" s="63"/>
      <x:c r="AF51" s="63"/>
      <x:c r="AG51" s="63"/>
      <x:c r="AH51" s="63"/>
      <x:c r="AI51" s="63"/>
      <x:c r="AJ51" s="63"/>
      <x:c r="AK51" s="63"/>
      <x:c r="AL51" s="63"/>
      <x:c r="AM51" s="63"/>
      <x:c r="AN51" s="63"/>
      <x:c r="AO51" s="63"/>
      <x:c r="AP51" s="63"/>
      <x:c r="AQ51" s="63"/>
      <x:c r="AR51" s="63"/>
      <x:c r="AS51" s="137"/>
      <x:c r="AT51" s="137"/>
      <x:c r="AU51" s="63" t="str">
        <x:f>IF($B51="","",IF($AK51="",10+$W51,IFERROR(INDEX('Armor Database'!$D$2:$D$100,MATCH($AK51,'Armor Database'!$A$2:$A$100,0))+IF(INDEX('Armor Database'!$E$2:$E$100,MATCH($AK51,'Armor Database'!$A$2:$A$100,0))="Full",$W51,IF(INDEX('Armor Database'!$E$2:$E$100,MATCH($AK51,'Armor Database'!$A$2:$A$100,0))="Max 2",MIN($W51,2),0))+IF($AL51="Shield",2,0)+N($AS51),10+$W51+IF($AL51="Shield",2,0)+N($AS51))))</x:f>
      </x:c>
      <x:c r="AV51" s="63" t="str">
        <x:f>IF($AM51="","",IFERROR(INDEX('Weapons Database'!$C$2:$C$100,MATCH($AM51,'Weapons Database'!$A$2:$A$100,0))&amp;" "&amp;INDEX('Weapons Database'!$D$2:$D$100,MATCH($AM51,'Weapons Database'!$A$2:$A$100,0)),""))</x:f>
      </x:c>
      <x:c r="AW51" s="63" t="str">
        <x:f>IF($AO51="","",IFERROR(INDEX('Weapons Database'!$C$2:$C$100,MATCH($AO51,'Weapons Database'!$A$2:$A$100,0))&amp;" "&amp;INDEX('Weapons Database'!$D$2:$D$100,MATCH($AO51,'Weapons Database'!$A$2:$A$100,0)),""))</x:f>
      </x:c>
      <x:c r="AX51" s="63"/>
    </x:row>
    <x:row r="52">
      <x:c r="A52" s="63"/>
      <x:c r="B52" s="63"/>
      <x:c r="C52" s="63"/>
      <x:c r="D52" s="63"/>
      <x:c r="E52" s="63"/>
      <x:c r="F52" s="63"/>
      <x:c r="G52" s="63"/>
      <x:c r="H52" s="63"/>
      <x:c r="I52" s="63"/>
      <x:c r="J52" s="63" t="str">
        <x:f>IF($B52="","",IF($AT52&lt;&gt;"",$AT52,$AU52))</x:f>
      </x:c>
      <x:c r="K52" s="63"/>
      <x:c r="L52" s="63"/>
      <x:c r="M52" s="63"/>
      <x:c r="N52" s="63"/>
      <x:c r="O52" s="63"/>
      <x:c r="P52" s="63"/>
      <x:c r="Q52" s="63"/>
      <x:c r="R52" s="63"/>
      <x:c r="S52" s="63"/>
      <x:c r="T52" s="63"/>
      <x:c r="U52" s="63"/>
      <x:c r="V52" s="63"/>
      <x:c r="W52" s="63"/>
      <x:c r="X52" s="63"/>
      <x:c r="Y52" s="63"/>
      <x:c r="Z52" s="63"/>
      <x:c r="AA52" s="63"/>
      <x:c r="AB52" s="63"/>
      <x:c r="AC52" s="63"/>
      <x:c r="AD52" s="63"/>
      <x:c r="AE52" s="63"/>
      <x:c r="AF52" s="63"/>
      <x:c r="AG52" s="63"/>
      <x:c r="AH52" s="63"/>
      <x:c r="AI52" s="63"/>
      <x:c r="AJ52" s="63"/>
      <x:c r="AK52" s="63"/>
      <x:c r="AL52" s="63"/>
      <x:c r="AM52" s="63"/>
      <x:c r="AN52" s="63"/>
      <x:c r="AO52" s="63"/>
      <x:c r="AP52" s="63"/>
      <x:c r="AQ52" s="63"/>
      <x:c r="AR52" s="63"/>
      <x:c r="AS52" s="137"/>
      <x:c r="AT52" s="137"/>
      <x:c r="AU52" s="63" t="str">
        <x:f>IF($B52="","",IF($AK52="",10+$W52,IFERROR(INDEX('Armor Database'!$D$2:$D$100,MATCH($AK52,'Armor Database'!$A$2:$A$100,0))+IF(INDEX('Armor Database'!$E$2:$E$100,MATCH($AK52,'Armor Database'!$A$2:$A$100,0))="Full",$W52,IF(INDEX('Armor Database'!$E$2:$E$100,MATCH($AK52,'Armor Database'!$A$2:$A$100,0))="Max 2",MIN($W52,2),0))+IF($AL52="Shield",2,0)+N($AS52),10+$W52+IF($AL52="Shield",2,0)+N($AS52))))</x:f>
      </x:c>
      <x:c r="AV52" s="63" t="str">
        <x:f>IF($AM52="","",IFERROR(INDEX('Weapons Database'!$C$2:$C$100,MATCH($AM52,'Weapons Database'!$A$2:$A$100,0))&amp;" "&amp;INDEX('Weapons Database'!$D$2:$D$100,MATCH($AM52,'Weapons Database'!$A$2:$A$100,0)),""))</x:f>
      </x:c>
      <x:c r="AW52" s="63" t="str">
        <x:f>IF($AO52="","",IFERROR(INDEX('Weapons Database'!$C$2:$C$100,MATCH($AO52,'Weapons Database'!$A$2:$A$100,0))&amp;" "&amp;INDEX('Weapons Database'!$D$2:$D$100,MATCH($AO52,'Weapons Database'!$A$2:$A$100,0)),""))</x:f>
      </x:c>
      <x:c r="AX52" s="63"/>
    </x:row>
    <x:row r="53">
      <x:c r="A53" s="63"/>
      <x:c r="B53" s="63"/>
      <x:c r="C53" s="63"/>
      <x:c r="D53" s="63"/>
      <x:c r="E53" s="63"/>
      <x:c r="F53" s="63"/>
      <x:c r="G53" s="63"/>
      <x:c r="H53" s="63"/>
      <x:c r="I53" s="63"/>
      <x:c r="J53" s="63" t="str">
        <x:f>IF($B53="","",IF($AT53&lt;&gt;"",$AT53,$AU53))</x:f>
      </x:c>
      <x:c r="K53" s="63"/>
      <x:c r="L53" s="63"/>
      <x:c r="M53" s="63"/>
      <x:c r="N53" s="63"/>
      <x:c r="O53" s="63"/>
      <x:c r="P53" s="63"/>
      <x:c r="Q53" s="63"/>
      <x:c r="R53" s="63"/>
      <x:c r="S53" s="63"/>
      <x:c r="T53" s="63"/>
      <x:c r="U53" s="63"/>
      <x:c r="V53" s="63"/>
      <x:c r="W53" s="63"/>
      <x:c r="X53" s="63"/>
      <x:c r="Y53" s="63"/>
      <x:c r="Z53" s="63"/>
      <x:c r="AA53" s="63"/>
      <x:c r="AB53" s="63"/>
      <x:c r="AC53" s="63"/>
      <x:c r="AD53" s="63"/>
      <x:c r="AE53" s="63"/>
      <x:c r="AF53" s="63"/>
      <x:c r="AG53" s="63"/>
      <x:c r="AH53" s="63"/>
      <x:c r="AI53" s="63"/>
      <x:c r="AJ53" s="63"/>
      <x:c r="AK53" s="63"/>
      <x:c r="AL53" s="63"/>
      <x:c r="AM53" s="63"/>
      <x:c r="AN53" s="63"/>
      <x:c r="AO53" s="63"/>
      <x:c r="AP53" s="63"/>
      <x:c r="AQ53" s="63"/>
      <x:c r="AR53" s="63"/>
      <x:c r="AS53" s="137"/>
      <x:c r="AT53" s="137"/>
      <x:c r="AU53" s="63" t="str">
        <x:f>IF($B53="","",IF($AK53="",10+$W53,IFERROR(INDEX('Armor Database'!$D$2:$D$100,MATCH($AK53,'Armor Database'!$A$2:$A$100,0))+IF(INDEX('Armor Database'!$E$2:$E$100,MATCH($AK53,'Armor Database'!$A$2:$A$100,0))="Full",$W53,IF(INDEX('Armor Database'!$E$2:$E$100,MATCH($AK53,'Armor Database'!$A$2:$A$100,0))="Max 2",MIN($W53,2),0))+IF($AL53="Shield",2,0)+N($AS53),10+$W53+IF($AL53="Shield",2,0)+N($AS53))))</x:f>
      </x:c>
      <x:c r="AV53" s="63" t="str">
        <x:f>IF($AM53="","",IFERROR(INDEX('Weapons Database'!$C$2:$C$100,MATCH($AM53,'Weapons Database'!$A$2:$A$100,0))&amp;" "&amp;INDEX('Weapons Database'!$D$2:$D$100,MATCH($AM53,'Weapons Database'!$A$2:$A$100,0)),""))</x:f>
      </x:c>
      <x:c r="AW53" s="63" t="str">
        <x:f>IF($AO53="","",IFERROR(INDEX('Weapons Database'!$C$2:$C$100,MATCH($AO53,'Weapons Database'!$A$2:$A$100,0))&amp;" "&amp;INDEX('Weapons Database'!$D$2:$D$100,MATCH($AO53,'Weapons Database'!$A$2:$A$100,0)),""))</x:f>
      </x:c>
      <x:c r="AX53" s="63"/>
    </x:row>
    <x:row r="54">
      <x:c r="A54" s="63"/>
      <x:c r="B54" s="63"/>
      <x:c r="C54" s="63"/>
      <x:c r="D54" s="63"/>
      <x:c r="E54" s="63"/>
      <x:c r="F54" s="63"/>
      <x:c r="G54" s="63"/>
      <x:c r="H54" s="63"/>
      <x:c r="I54" s="63"/>
      <x:c r="J54" s="63" t="str">
        <x:f>IF($B54="","",IF($AT54&lt;&gt;"",$AT54,$AU54))</x:f>
      </x:c>
      <x:c r="K54" s="63"/>
      <x:c r="L54" s="63"/>
      <x:c r="M54" s="63"/>
      <x:c r="N54" s="63"/>
      <x:c r="O54" s="63"/>
      <x:c r="P54" s="63"/>
      <x:c r="Q54" s="63"/>
      <x:c r="R54" s="63"/>
      <x:c r="S54" s="63"/>
      <x:c r="T54" s="63"/>
      <x:c r="U54" s="63"/>
      <x:c r="V54" s="63"/>
      <x:c r="W54" s="63"/>
      <x:c r="X54" s="63"/>
      <x:c r="Y54" s="63"/>
      <x:c r="Z54" s="63"/>
      <x:c r="AA54" s="63"/>
      <x:c r="AB54" s="63"/>
      <x:c r="AC54" s="63"/>
      <x:c r="AD54" s="63"/>
      <x:c r="AE54" s="63"/>
      <x:c r="AF54" s="63"/>
      <x:c r="AG54" s="63"/>
      <x:c r="AH54" s="63"/>
      <x:c r="AI54" s="63"/>
      <x:c r="AJ54" s="63"/>
      <x:c r="AK54" s="63"/>
      <x:c r="AL54" s="63"/>
      <x:c r="AM54" s="63"/>
      <x:c r="AN54" s="63"/>
      <x:c r="AO54" s="63"/>
      <x:c r="AP54" s="63"/>
      <x:c r="AQ54" s="63"/>
      <x:c r="AR54" s="63"/>
      <x:c r="AS54" s="137"/>
      <x:c r="AT54" s="137"/>
      <x:c r="AU54" s="63" t="str">
        <x:f>IF($B54="","",IF($AK54="",10+$W54,IFERROR(INDEX('Armor Database'!$D$2:$D$100,MATCH($AK54,'Armor Database'!$A$2:$A$100,0))+IF(INDEX('Armor Database'!$E$2:$E$100,MATCH($AK54,'Armor Database'!$A$2:$A$100,0))="Full",$W54,IF(INDEX('Armor Database'!$E$2:$E$100,MATCH($AK54,'Armor Database'!$A$2:$A$100,0))="Max 2",MIN($W54,2),0))+IF($AL54="Shield",2,0)+N($AS54),10+$W54+IF($AL54="Shield",2,0)+N($AS54))))</x:f>
      </x:c>
      <x:c r="AV54" s="63" t="str">
        <x:f>IF($AM54="","",IFERROR(INDEX('Weapons Database'!$C$2:$C$100,MATCH($AM54,'Weapons Database'!$A$2:$A$100,0))&amp;" "&amp;INDEX('Weapons Database'!$D$2:$D$100,MATCH($AM54,'Weapons Database'!$A$2:$A$100,0)),""))</x:f>
      </x:c>
      <x:c r="AW54" s="63" t="str">
        <x:f>IF($AO54="","",IFERROR(INDEX('Weapons Database'!$C$2:$C$100,MATCH($AO54,'Weapons Database'!$A$2:$A$100,0))&amp;" "&amp;INDEX('Weapons Database'!$D$2:$D$100,MATCH($AO54,'Weapons Database'!$A$2:$A$100,0)),""))</x:f>
      </x:c>
      <x:c r="AX54" s="63"/>
    </x:row>
    <x:row r="55">
      <x:c r="A55" s="63"/>
      <x:c r="B55" s="63"/>
      <x:c r="C55" s="63"/>
      <x:c r="D55" s="63"/>
      <x:c r="E55" s="63"/>
      <x:c r="F55" s="63"/>
      <x:c r="G55" s="63"/>
      <x:c r="H55" s="63"/>
      <x:c r="I55" s="63"/>
      <x:c r="J55" s="63" t="str">
        <x:f>IF($B55="","",IF($AT55&lt;&gt;"",$AT55,$AU55))</x:f>
      </x:c>
      <x:c r="K55" s="63"/>
      <x:c r="L55" s="63"/>
      <x:c r="M55" s="63"/>
      <x:c r="N55" s="63"/>
      <x:c r="O55" s="63"/>
      <x:c r="P55" s="63"/>
      <x:c r="Q55" s="63"/>
      <x:c r="R55" s="63"/>
      <x:c r="S55" s="63"/>
      <x:c r="T55" s="63"/>
      <x:c r="U55" s="63"/>
      <x:c r="V55" s="63"/>
      <x:c r="W55" s="63"/>
      <x:c r="X55" s="63"/>
      <x:c r="Y55" s="63"/>
      <x:c r="Z55" s="63"/>
      <x:c r="AA55" s="63"/>
      <x:c r="AB55" s="63"/>
      <x:c r="AC55" s="63"/>
      <x:c r="AD55" s="63"/>
      <x:c r="AE55" s="63"/>
      <x:c r="AF55" s="63"/>
      <x:c r="AG55" s="63"/>
      <x:c r="AH55" s="63"/>
      <x:c r="AI55" s="63"/>
      <x:c r="AJ55" s="63"/>
      <x:c r="AK55" s="63"/>
      <x:c r="AL55" s="63"/>
      <x:c r="AM55" s="63"/>
      <x:c r="AN55" s="63"/>
      <x:c r="AO55" s="63"/>
      <x:c r="AP55" s="63"/>
      <x:c r="AQ55" s="63"/>
      <x:c r="AR55" s="63"/>
      <x:c r="AS55" s="137"/>
      <x:c r="AT55" s="137"/>
      <x:c r="AU55" s="63" t="str">
        <x:f>IF($B55="","",IF($AK55="",10+$W55,IFERROR(INDEX('Armor Database'!$D$2:$D$100,MATCH($AK55,'Armor Database'!$A$2:$A$100,0))+IF(INDEX('Armor Database'!$E$2:$E$100,MATCH($AK55,'Armor Database'!$A$2:$A$100,0))="Full",$W55,IF(INDEX('Armor Database'!$E$2:$E$100,MATCH($AK55,'Armor Database'!$A$2:$A$100,0))="Max 2",MIN($W55,2),0))+IF($AL55="Shield",2,0)+N($AS55),10+$W55+IF($AL55="Shield",2,0)+N($AS55))))</x:f>
      </x:c>
      <x:c r="AV55" s="63" t="str">
        <x:f>IF($AM55="","",IFERROR(INDEX('Weapons Database'!$C$2:$C$100,MATCH($AM55,'Weapons Database'!$A$2:$A$100,0))&amp;" "&amp;INDEX('Weapons Database'!$D$2:$D$100,MATCH($AM55,'Weapons Database'!$A$2:$A$100,0)),""))</x:f>
      </x:c>
      <x:c r="AW55" s="63" t="str">
        <x:f>IF($AO55="","",IFERROR(INDEX('Weapons Database'!$C$2:$C$100,MATCH($AO55,'Weapons Database'!$A$2:$A$100,0))&amp;" "&amp;INDEX('Weapons Database'!$D$2:$D$100,MATCH($AO55,'Weapons Database'!$A$2:$A$100,0)),""))</x:f>
      </x:c>
      <x:c r="AX55" s="63"/>
    </x:row>
    <x:row r="56">
      <x:c r="A56" s="63"/>
      <x:c r="B56" s="63"/>
      <x:c r="C56" s="63"/>
      <x:c r="D56" s="63"/>
      <x:c r="E56" s="63"/>
      <x:c r="F56" s="63"/>
      <x:c r="G56" s="63"/>
      <x:c r="H56" s="63"/>
      <x:c r="I56" s="63"/>
      <x:c r="J56" s="63" t="str">
        <x:f>IF($B56="","",IF($AT56&lt;&gt;"",$AT56,$AU56))</x:f>
      </x:c>
      <x:c r="K56" s="63"/>
      <x:c r="L56" s="63"/>
      <x:c r="M56" s="63"/>
      <x:c r="N56" s="63"/>
      <x:c r="O56" s="63"/>
      <x:c r="P56" s="63"/>
      <x:c r="Q56" s="63"/>
      <x:c r="R56" s="63"/>
      <x:c r="S56" s="63"/>
      <x:c r="T56" s="63"/>
      <x:c r="U56" s="63"/>
      <x:c r="V56" s="63"/>
      <x:c r="W56" s="63"/>
      <x:c r="X56" s="63"/>
      <x:c r="Y56" s="63"/>
      <x:c r="Z56" s="63"/>
      <x:c r="AA56" s="63"/>
      <x:c r="AB56" s="63"/>
      <x:c r="AC56" s="63"/>
      <x:c r="AD56" s="63"/>
      <x:c r="AE56" s="63"/>
      <x:c r="AF56" s="63"/>
      <x:c r="AG56" s="63"/>
      <x:c r="AH56" s="63"/>
      <x:c r="AI56" s="63"/>
      <x:c r="AJ56" s="63"/>
      <x:c r="AK56" s="63"/>
      <x:c r="AL56" s="63"/>
      <x:c r="AM56" s="63"/>
      <x:c r="AN56" s="63"/>
      <x:c r="AO56" s="63"/>
      <x:c r="AP56" s="63"/>
      <x:c r="AQ56" s="63"/>
      <x:c r="AR56" s="63"/>
      <x:c r="AS56" s="137"/>
      <x:c r="AT56" s="137"/>
      <x:c r="AU56" s="63" t="str">
        <x:f>IF($B56="","",IF($AK56="",10+$W56,IFERROR(INDEX('Armor Database'!$D$2:$D$100,MATCH($AK56,'Armor Database'!$A$2:$A$100,0))+IF(INDEX('Armor Database'!$E$2:$E$100,MATCH($AK56,'Armor Database'!$A$2:$A$100,0))="Full",$W56,IF(INDEX('Armor Database'!$E$2:$E$100,MATCH($AK56,'Armor Database'!$A$2:$A$100,0))="Max 2",MIN($W56,2),0))+IF($AL56="Shield",2,0)+N($AS56),10+$W56+IF($AL56="Shield",2,0)+N($AS56))))</x:f>
      </x:c>
      <x:c r="AV56" s="63" t="str">
        <x:f>IF($AM56="","",IFERROR(INDEX('Weapons Database'!$C$2:$C$100,MATCH($AM56,'Weapons Database'!$A$2:$A$100,0))&amp;" "&amp;INDEX('Weapons Database'!$D$2:$D$100,MATCH($AM56,'Weapons Database'!$A$2:$A$100,0)),""))</x:f>
      </x:c>
      <x:c r="AW56" s="63" t="str">
        <x:f>IF($AO56="","",IFERROR(INDEX('Weapons Database'!$C$2:$C$100,MATCH($AO56,'Weapons Database'!$A$2:$A$100,0))&amp;" "&amp;INDEX('Weapons Database'!$D$2:$D$100,MATCH($AO56,'Weapons Database'!$A$2:$A$100,0)),""))</x:f>
      </x:c>
      <x:c r="AX56" s="63"/>
    </x:row>
    <x:row r="57">
      <x:c r="A57" s="63"/>
      <x:c r="B57" s="63"/>
      <x:c r="C57" s="63"/>
      <x:c r="D57" s="63"/>
      <x:c r="E57" s="63"/>
      <x:c r="F57" s="63"/>
      <x:c r="G57" s="63"/>
      <x:c r="H57" s="63"/>
      <x:c r="I57" s="63"/>
      <x:c r="J57" s="63" t="str">
        <x:f>IF($B57="","",IF($AT57&lt;&gt;"",$AT57,$AU57))</x:f>
      </x:c>
      <x:c r="K57" s="63"/>
      <x:c r="L57" s="63"/>
      <x:c r="M57" s="63"/>
      <x:c r="N57" s="63"/>
      <x:c r="O57" s="63"/>
      <x:c r="P57" s="63"/>
      <x:c r="Q57" s="63"/>
      <x:c r="R57" s="63"/>
      <x:c r="S57" s="63"/>
      <x:c r="T57" s="63"/>
      <x:c r="U57" s="63"/>
      <x:c r="V57" s="63"/>
      <x:c r="W57" s="63"/>
      <x:c r="X57" s="63"/>
      <x:c r="Y57" s="63"/>
      <x:c r="Z57" s="63"/>
      <x:c r="AA57" s="63"/>
      <x:c r="AB57" s="63"/>
      <x:c r="AC57" s="63"/>
      <x:c r="AD57" s="63"/>
      <x:c r="AE57" s="63"/>
      <x:c r="AF57" s="63"/>
      <x:c r="AG57" s="63"/>
      <x:c r="AH57" s="63"/>
      <x:c r="AI57" s="63"/>
      <x:c r="AJ57" s="63"/>
      <x:c r="AK57" s="63"/>
      <x:c r="AL57" s="63"/>
      <x:c r="AM57" s="63"/>
      <x:c r="AN57" s="63"/>
      <x:c r="AO57" s="63"/>
      <x:c r="AP57" s="63"/>
      <x:c r="AQ57" s="63"/>
      <x:c r="AR57" s="63"/>
      <x:c r="AS57" s="137"/>
      <x:c r="AT57" s="137"/>
      <x:c r="AU57" s="63" t="str">
        <x:f>IF($B57="","",IF($AK57="",10+$W57,IFERROR(INDEX('Armor Database'!$D$2:$D$100,MATCH($AK57,'Armor Database'!$A$2:$A$100,0))+IF(INDEX('Armor Database'!$E$2:$E$100,MATCH($AK57,'Armor Database'!$A$2:$A$100,0))="Full",$W57,IF(INDEX('Armor Database'!$E$2:$E$100,MATCH($AK57,'Armor Database'!$A$2:$A$100,0))="Max 2",MIN($W57,2),0))+IF($AL57="Shield",2,0)+N($AS57),10+$W57+IF($AL57="Shield",2,0)+N($AS57))))</x:f>
      </x:c>
      <x:c r="AV57" s="63" t="str">
        <x:f>IF($AM57="","",IFERROR(INDEX('Weapons Database'!$C$2:$C$100,MATCH($AM57,'Weapons Database'!$A$2:$A$100,0))&amp;" "&amp;INDEX('Weapons Database'!$D$2:$D$100,MATCH($AM57,'Weapons Database'!$A$2:$A$100,0)),""))</x:f>
      </x:c>
      <x:c r="AW57" s="63" t="str">
        <x:f>IF($AO57="","",IFERROR(INDEX('Weapons Database'!$C$2:$C$100,MATCH($AO57,'Weapons Database'!$A$2:$A$100,0))&amp;" "&amp;INDEX('Weapons Database'!$D$2:$D$100,MATCH($AO57,'Weapons Database'!$A$2:$A$100,0)),""))</x:f>
      </x:c>
      <x:c r="AX57" s="63"/>
    </x:row>
    <x:row r="58">
      <x:c r="A58" s="63"/>
      <x:c r="B58" s="63"/>
      <x:c r="C58" s="63"/>
      <x:c r="D58" s="63"/>
      <x:c r="E58" s="63"/>
      <x:c r="F58" s="63"/>
      <x:c r="G58" s="63"/>
      <x:c r="H58" s="63"/>
      <x:c r="I58" s="63"/>
      <x:c r="J58" s="63" t="str">
        <x:f>IF($B58="","",IF($AT58&lt;&gt;"",$AT58,$AU58))</x:f>
      </x:c>
      <x:c r="K58" s="63"/>
      <x:c r="L58" s="63"/>
      <x:c r="M58" s="63"/>
      <x:c r="N58" s="63"/>
      <x:c r="O58" s="63"/>
      <x:c r="P58" s="63"/>
      <x:c r="Q58" s="63"/>
      <x:c r="R58" s="63"/>
      <x:c r="S58" s="63"/>
      <x:c r="T58" s="63"/>
      <x:c r="U58" s="63"/>
      <x:c r="V58" s="63"/>
      <x:c r="W58" s="63"/>
      <x:c r="X58" s="63"/>
      <x:c r="Y58" s="63"/>
      <x:c r="Z58" s="63"/>
      <x:c r="AA58" s="63"/>
      <x:c r="AB58" s="63"/>
      <x:c r="AC58" s="63"/>
      <x:c r="AD58" s="63"/>
      <x:c r="AE58" s="63"/>
      <x:c r="AF58" s="63"/>
      <x:c r="AG58" s="63"/>
      <x:c r="AH58" s="63"/>
      <x:c r="AI58" s="63"/>
      <x:c r="AJ58" s="63"/>
      <x:c r="AK58" s="63"/>
      <x:c r="AL58" s="63"/>
      <x:c r="AM58" s="63"/>
      <x:c r="AN58" s="63"/>
      <x:c r="AO58" s="63"/>
      <x:c r="AP58" s="63"/>
      <x:c r="AQ58" s="63"/>
      <x:c r="AR58" s="63"/>
      <x:c r="AS58" s="137"/>
      <x:c r="AT58" s="137"/>
      <x:c r="AU58" s="63" t="str">
        <x:f>IF($B58="","",IF($AK58="",10+$W58,IFERROR(INDEX('Armor Database'!$D$2:$D$100,MATCH($AK58,'Armor Database'!$A$2:$A$100,0))+IF(INDEX('Armor Database'!$E$2:$E$100,MATCH($AK58,'Armor Database'!$A$2:$A$100,0))="Full",$W58,IF(INDEX('Armor Database'!$E$2:$E$100,MATCH($AK58,'Armor Database'!$A$2:$A$100,0))="Max 2",MIN($W58,2),0))+IF($AL58="Shield",2,0)+N($AS58),10+$W58+IF($AL58="Shield",2,0)+N($AS58))))</x:f>
      </x:c>
      <x:c r="AV58" s="63" t="str">
        <x:f>IF($AM58="","",IFERROR(INDEX('Weapons Database'!$C$2:$C$100,MATCH($AM58,'Weapons Database'!$A$2:$A$100,0))&amp;" "&amp;INDEX('Weapons Database'!$D$2:$D$100,MATCH($AM58,'Weapons Database'!$A$2:$A$100,0)),""))</x:f>
      </x:c>
      <x:c r="AW58" s="63" t="str">
        <x:f>IF($AO58="","",IFERROR(INDEX('Weapons Database'!$C$2:$C$100,MATCH($AO58,'Weapons Database'!$A$2:$A$100,0))&amp;" "&amp;INDEX('Weapons Database'!$D$2:$D$100,MATCH($AO58,'Weapons Database'!$A$2:$A$100,0)),""))</x:f>
      </x:c>
      <x:c r="AX58" s="63"/>
    </x:row>
    <x:row r="59">
      <x:c r="A59" s="63"/>
      <x:c r="B59" s="63"/>
      <x:c r="C59" s="63"/>
      <x:c r="D59" s="63"/>
      <x:c r="E59" s="63"/>
      <x:c r="F59" s="63"/>
      <x:c r="G59" s="63"/>
      <x:c r="H59" s="63"/>
      <x:c r="I59" s="63"/>
      <x:c r="J59" s="63" t="str">
        <x:f>IF($B59="","",IF($AT59&lt;&gt;"",$AT59,$AU59))</x:f>
      </x:c>
      <x:c r="K59" s="63"/>
      <x:c r="L59" s="63"/>
      <x:c r="M59" s="63"/>
      <x:c r="N59" s="63"/>
      <x:c r="O59" s="63"/>
      <x:c r="P59" s="63"/>
      <x:c r="Q59" s="63"/>
      <x:c r="R59" s="63"/>
      <x:c r="S59" s="63"/>
      <x:c r="T59" s="63"/>
      <x:c r="U59" s="63"/>
      <x:c r="V59" s="63"/>
      <x:c r="W59" s="63"/>
      <x:c r="X59" s="63"/>
      <x:c r="Y59" s="63"/>
      <x:c r="Z59" s="63"/>
      <x:c r="AA59" s="63"/>
      <x:c r="AB59" s="63"/>
      <x:c r="AC59" s="63"/>
      <x:c r="AD59" s="63"/>
      <x:c r="AE59" s="63"/>
      <x:c r="AF59" s="63"/>
      <x:c r="AG59" s="63"/>
      <x:c r="AH59" s="63"/>
      <x:c r="AI59" s="63"/>
      <x:c r="AJ59" s="63"/>
      <x:c r="AK59" s="63"/>
      <x:c r="AL59" s="63"/>
      <x:c r="AM59" s="63"/>
      <x:c r="AN59" s="63"/>
      <x:c r="AO59" s="63"/>
      <x:c r="AP59" s="63"/>
      <x:c r="AQ59" s="63"/>
      <x:c r="AR59" s="63"/>
      <x:c r="AS59" s="137"/>
      <x:c r="AT59" s="137"/>
      <x:c r="AU59" s="63" t="str">
        <x:f>IF($B59="","",IF($AK59="",10+$W59,IFERROR(INDEX('Armor Database'!$D$2:$D$100,MATCH($AK59,'Armor Database'!$A$2:$A$100,0))+IF(INDEX('Armor Database'!$E$2:$E$100,MATCH($AK59,'Armor Database'!$A$2:$A$100,0))="Full",$W59,IF(INDEX('Armor Database'!$E$2:$E$100,MATCH($AK59,'Armor Database'!$A$2:$A$100,0))="Max 2",MIN($W59,2),0))+IF($AL59="Shield",2,0)+N($AS59),10+$W59+IF($AL59="Shield",2,0)+N($AS59))))</x:f>
      </x:c>
      <x:c r="AV59" s="63" t="str">
        <x:f>IF($AM59="","",IFERROR(INDEX('Weapons Database'!$C$2:$C$100,MATCH($AM59,'Weapons Database'!$A$2:$A$100,0))&amp;" "&amp;INDEX('Weapons Database'!$D$2:$D$100,MATCH($AM59,'Weapons Database'!$A$2:$A$100,0)),""))</x:f>
      </x:c>
      <x:c r="AW59" s="63" t="str">
        <x:f>IF($AO59="","",IFERROR(INDEX('Weapons Database'!$C$2:$C$100,MATCH($AO59,'Weapons Database'!$A$2:$A$100,0))&amp;" "&amp;INDEX('Weapons Database'!$D$2:$D$100,MATCH($AO59,'Weapons Database'!$A$2:$A$100,0)),""))</x:f>
      </x:c>
      <x:c r="AX59" s="63"/>
    </x:row>
    <x:row r="60">
      <x:c r="A60" s="63"/>
      <x:c r="B60" s="63"/>
      <x:c r="C60" s="63"/>
      <x:c r="D60" s="63"/>
      <x:c r="E60" s="63"/>
      <x:c r="F60" s="63"/>
      <x:c r="G60" s="63"/>
      <x:c r="H60" s="63"/>
      <x:c r="I60" s="63"/>
      <x:c r="J60" s="63" t="str">
        <x:f>IF($B60="","",IF($AT60&lt;&gt;"",$AT60,$AU60))</x:f>
      </x:c>
      <x:c r="K60" s="63"/>
      <x:c r="L60" s="63"/>
      <x:c r="M60" s="63"/>
      <x:c r="N60" s="63"/>
      <x:c r="O60" s="63"/>
      <x:c r="P60" s="63"/>
      <x:c r="Q60" s="63"/>
      <x:c r="R60" s="63"/>
      <x:c r="S60" s="63"/>
      <x:c r="T60" s="63"/>
      <x:c r="U60" s="63"/>
      <x:c r="V60" s="63"/>
      <x:c r="W60" s="63"/>
      <x:c r="X60" s="63"/>
      <x:c r="Y60" s="63"/>
      <x:c r="Z60" s="63"/>
      <x:c r="AA60" s="63"/>
      <x:c r="AB60" s="63"/>
      <x:c r="AC60" s="63"/>
      <x:c r="AD60" s="63"/>
      <x:c r="AE60" s="63"/>
      <x:c r="AF60" s="63"/>
      <x:c r="AG60" s="63"/>
      <x:c r="AH60" s="63"/>
      <x:c r="AI60" s="63"/>
      <x:c r="AJ60" s="63"/>
      <x:c r="AK60" s="63"/>
      <x:c r="AL60" s="63"/>
      <x:c r="AM60" s="63"/>
      <x:c r="AN60" s="63"/>
      <x:c r="AO60" s="63"/>
      <x:c r="AP60" s="63"/>
      <x:c r="AQ60" s="63"/>
      <x:c r="AR60" s="63"/>
      <x:c r="AS60" s="137"/>
      <x:c r="AT60" s="137"/>
      <x:c r="AU60" s="63" t="str">
        <x:f>IF($B60="","",IF($AK60="",10+$W60,IFERROR(INDEX('Armor Database'!$D$2:$D$100,MATCH($AK60,'Armor Database'!$A$2:$A$100,0))+IF(INDEX('Armor Database'!$E$2:$E$100,MATCH($AK60,'Armor Database'!$A$2:$A$100,0))="Full",$W60,IF(INDEX('Armor Database'!$E$2:$E$100,MATCH($AK60,'Armor Database'!$A$2:$A$100,0))="Max 2",MIN($W60,2),0))+IF($AL60="Shield",2,0)+N($AS60),10+$W60+IF($AL60="Shield",2,0)+N($AS60))))</x:f>
      </x:c>
      <x:c r="AV60" s="63" t="str">
        <x:f>IF($AM60="","",IFERROR(INDEX('Weapons Database'!$C$2:$C$100,MATCH($AM60,'Weapons Database'!$A$2:$A$100,0))&amp;" "&amp;INDEX('Weapons Database'!$D$2:$D$100,MATCH($AM60,'Weapons Database'!$A$2:$A$100,0)),""))</x:f>
      </x:c>
      <x:c r="AW60" s="63" t="str">
        <x:f>IF($AO60="","",IFERROR(INDEX('Weapons Database'!$C$2:$C$100,MATCH($AO60,'Weapons Database'!$A$2:$A$100,0))&amp;" "&amp;INDEX('Weapons Database'!$D$2:$D$100,MATCH($AO60,'Weapons Database'!$A$2:$A$100,0)),""))</x:f>
      </x:c>
      <x:c r="AX60" s="63"/>
    </x:row>
    <x:row r="61">
      <x:c r="A61" s="63"/>
      <x:c r="B61" s="63"/>
      <x:c r="C61" s="63"/>
      <x:c r="D61" s="63"/>
      <x:c r="E61" s="63"/>
      <x:c r="F61" s="63"/>
      <x:c r="G61" s="63"/>
      <x:c r="H61" s="63"/>
      <x:c r="I61" s="63"/>
      <x:c r="J61" s="63" t="str">
        <x:f>IF($B61="","",IF($AT61&lt;&gt;"",$AT61,$AU61))</x:f>
      </x:c>
      <x:c r="K61" s="63"/>
      <x:c r="L61" s="63"/>
      <x:c r="M61" s="63"/>
      <x:c r="N61" s="63"/>
      <x:c r="O61" s="63"/>
      <x:c r="P61" s="63"/>
      <x:c r="Q61" s="63"/>
      <x:c r="R61" s="63"/>
      <x:c r="S61" s="63"/>
      <x:c r="T61" s="63"/>
      <x:c r="U61" s="63"/>
      <x:c r="V61" s="63"/>
      <x:c r="W61" s="63"/>
      <x:c r="X61" s="63"/>
      <x:c r="Y61" s="63"/>
      <x:c r="Z61" s="63"/>
      <x:c r="AA61" s="63"/>
      <x:c r="AB61" s="63"/>
      <x:c r="AC61" s="63"/>
      <x:c r="AD61" s="63"/>
      <x:c r="AE61" s="63"/>
      <x:c r="AF61" s="63"/>
      <x:c r="AG61" s="63"/>
      <x:c r="AH61" s="63"/>
      <x:c r="AI61" s="63"/>
      <x:c r="AJ61" s="63"/>
      <x:c r="AK61" s="63"/>
      <x:c r="AL61" s="63"/>
      <x:c r="AM61" s="63"/>
      <x:c r="AN61" s="63"/>
      <x:c r="AO61" s="63"/>
      <x:c r="AP61" s="63"/>
      <x:c r="AQ61" s="63"/>
      <x:c r="AR61" s="63"/>
      <x:c r="AS61" s="137"/>
      <x:c r="AT61" s="137"/>
      <x:c r="AU61" s="63" t="str">
        <x:f>IF($B61="","",IF($AK61="",10+$W61,IFERROR(INDEX('Armor Database'!$D$2:$D$100,MATCH($AK61,'Armor Database'!$A$2:$A$100,0))+IF(INDEX('Armor Database'!$E$2:$E$100,MATCH($AK61,'Armor Database'!$A$2:$A$100,0))="Full",$W61,IF(INDEX('Armor Database'!$E$2:$E$100,MATCH($AK61,'Armor Database'!$A$2:$A$100,0))="Max 2",MIN($W61,2),0))+IF($AL61="Shield",2,0)+N($AS61),10+$W61+IF($AL61="Shield",2,0)+N($AS61))))</x:f>
      </x:c>
      <x:c r="AV61" s="63" t="str">
        <x:f>IF($AM61="","",IFERROR(INDEX('Weapons Database'!$C$2:$C$100,MATCH($AM61,'Weapons Database'!$A$2:$A$100,0))&amp;" "&amp;INDEX('Weapons Database'!$D$2:$D$100,MATCH($AM61,'Weapons Database'!$A$2:$A$100,0)),""))</x:f>
      </x:c>
      <x:c r="AW61" s="63" t="str">
        <x:f>IF($AO61="","",IFERROR(INDEX('Weapons Database'!$C$2:$C$100,MATCH($AO61,'Weapons Database'!$A$2:$A$100,0))&amp;" "&amp;INDEX('Weapons Database'!$D$2:$D$100,MATCH($AO61,'Weapons Database'!$A$2:$A$100,0)),""))</x:f>
      </x:c>
      <x:c r="AX61" s="63"/>
    </x:row>
    <x:row r="62">
      <x:c r="A62" s="63"/>
      <x:c r="B62" s="63"/>
      <x:c r="C62" s="63"/>
      <x:c r="D62" s="63"/>
      <x:c r="E62" s="63"/>
      <x:c r="F62" s="63"/>
      <x:c r="G62" s="63"/>
      <x:c r="H62" s="63"/>
      <x:c r="I62" s="63"/>
      <x:c r="J62" s="63" t="str">
        <x:f>IF($B62="","",IF($AT62&lt;&gt;"",$AT62,$AU62))</x:f>
      </x:c>
      <x:c r="K62" s="63"/>
      <x:c r="L62" s="63"/>
      <x:c r="M62" s="63"/>
      <x:c r="N62" s="63"/>
      <x:c r="O62" s="63"/>
      <x:c r="P62" s="63"/>
      <x:c r="Q62" s="63"/>
      <x:c r="R62" s="63"/>
      <x:c r="S62" s="63"/>
      <x:c r="T62" s="63"/>
      <x:c r="U62" s="63"/>
      <x:c r="V62" s="63"/>
      <x:c r="W62" s="63"/>
      <x:c r="X62" s="63"/>
      <x:c r="Y62" s="63"/>
      <x:c r="Z62" s="63"/>
      <x:c r="AA62" s="63"/>
      <x:c r="AB62" s="63"/>
      <x:c r="AC62" s="63"/>
      <x:c r="AD62" s="63"/>
      <x:c r="AE62" s="63"/>
      <x:c r="AF62" s="63"/>
      <x:c r="AG62" s="63"/>
      <x:c r="AH62" s="63"/>
      <x:c r="AI62" s="63"/>
      <x:c r="AJ62" s="63"/>
      <x:c r="AK62" s="63"/>
      <x:c r="AL62" s="63"/>
      <x:c r="AM62" s="63"/>
      <x:c r="AN62" s="63"/>
      <x:c r="AO62" s="63"/>
      <x:c r="AP62" s="63"/>
      <x:c r="AQ62" s="63"/>
      <x:c r="AR62" s="63"/>
      <x:c r="AS62" s="137"/>
      <x:c r="AT62" s="137"/>
      <x:c r="AU62" s="63" t="str">
        <x:f>IF($B62="","",IF($AK62="",10+$W62,IFERROR(INDEX('Armor Database'!$D$2:$D$100,MATCH($AK62,'Armor Database'!$A$2:$A$100,0))+IF(INDEX('Armor Database'!$E$2:$E$100,MATCH($AK62,'Armor Database'!$A$2:$A$100,0))="Full",$W62,IF(INDEX('Armor Database'!$E$2:$E$100,MATCH($AK62,'Armor Database'!$A$2:$A$100,0))="Max 2",MIN($W62,2),0))+IF($AL62="Shield",2,0)+N($AS62),10+$W62+IF($AL62="Shield",2,0)+N($AS62))))</x:f>
      </x:c>
      <x:c r="AV62" s="63" t="str">
        <x:f>IF($AM62="","",IFERROR(INDEX('Weapons Database'!$C$2:$C$100,MATCH($AM62,'Weapons Database'!$A$2:$A$100,0))&amp;" "&amp;INDEX('Weapons Database'!$D$2:$D$100,MATCH($AM62,'Weapons Database'!$A$2:$A$100,0)),""))</x:f>
      </x:c>
      <x:c r="AW62" s="63" t="str">
        <x:f>IF($AO62="","",IFERROR(INDEX('Weapons Database'!$C$2:$C$100,MATCH($AO62,'Weapons Database'!$A$2:$A$100,0))&amp;" "&amp;INDEX('Weapons Database'!$D$2:$D$100,MATCH($AO62,'Weapons Database'!$A$2:$A$100,0)),""))</x:f>
      </x:c>
      <x:c r="AX62" s="63"/>
    </x:row>
    <x:row r="63">
      <x:c r="A63" s="63"/>
      <x:c r="B63" s="63"/>
      <x:c r="C63" s="63"/>
      <x:c r="D63" s="63"/>
      <x:c r="E63" s="63"/>
      <x:c r="F63" s="63"/>
      <x:c r="G63" s="63"/>
      <x:c r="H63" s="63"/>
      <x:c r="I63" s="63"/>
      <x:c r="J63" s="63" t="str">
        <x:f>IF($B63="","",IF($AT63&lt;&gt;"",$AT63,$AU63))</x:f>
      </x:c>
      <x:c r="K63" s="63"/>
      <x:c r="L63" s="63"/>
      <x:c r="M63" s="63"/>
      <x:c r="N63" s="63"/>
      <x:c r="O63" s="63"/>
      <x:c r="P63" s="63"/>
      <x:c r="Q63" s="63"/>
      <x:c r="R63" s="63"/>
      <x:c r="S63" s="63"/>
      <x:c r="T63" s="63"/>
      <x:c r="U63" s="63"/>
      <x:c r="V63" s="63"/>
      <x:c r="W63" s="63"/>
      <x:c r="X63" s="63"/>
      <x:c r="Y63" s="63"/>
      <x:c r="Z63" s="63"/>
      <x:c r="AA63" s="63"/>
      <x:c r="AB63" s="63"/>
      <x:c r="AC63" s="63"/>
      <x:c r="AD63" s="63"/>
      <x:c r="AE63" s="63"/>
      <x:c r="AF63" s="63"/>
      <x:c r="AG63" s="63"/>
      <x:c r="AH63" s="63"/>
      <x:c r="AI63" s="63"/>
      <x:c r="AJ63" s="63"/>
      <x:c r="AK63" s="63"/>
      <x:c r="AL63" s="63"/>
      <x:c r="AM63" s="63"/>
      <x:c r="AN63" s="63"/>
      <x:c r="AO63" s="63"/>
      <x:c r="AP63" s="63"/>
      <x:c r="AQ63" s="63"/>
      <x:c r="AR63" s="63"/>
      <x:c r="AS63" s="137"/>
      <x:c r="AT63" s="137"/>
      <x:c r="AU63" s="63" t="str">
        <x:f>IF($B63="","",IF($AK63="",10+$W63,IFERROR(INDEX('Armor Database'!$D$2:$D$100,MATCH($AK63,'Armor Database'!$A$2:$A$100,0))+IF(INDEX('Armor Database'!$E$2:$E$100,MATCH($AK63,'Armor Database'!$A$2:$A$100,0))="Full",$W63,IF(INDEX('Armor Database'!$E$2:$E$100,MATCH($AK63,'Armor Database'!$A$2:$A$100,0))="Max 2",MIN($W63,2),0))+IF($AL63="Shield",2,0)+N($AS63),10+$W63+IF($AL63="Shield",2,0)+N($AS63))))</x:f>
      </x:c>
      <x:c r="AV63" s="63" t="str">
        <x:f>IF($AM63="","",IFERROR(INDEX('Weapons Database'!$C$2:$C$100,MATCH($AM63,'Weapons Database'!$A$2:$A$100,0))&amp;" "&amp;INDEX('Weapons Database'!$D$2:$D$100,MATCH($AM63,'Weapons Database'!$A$2:$A$100,0)),""))</x:f>
      </x:c>
      <x:c r="AW63" s="63" t="str">
        <x:f>IF($AO63="","",IFERROR(INDEX('Weapons Database'!$C$2:$C$100,MATCH($AO63,'Weapons Database'!$A$2:$A$100,0))&amp;" "&amp;INDEX('Weapons Database'!$D$2:$D$100,MATCH($AO63,'Weapons Database'!$A$2:$A$100,0)),""))</x:f>
      </x:c>
      <x:c r="AX63" s="63"/>
    </x:row>
    <x:row r="64">
      <x:c r="A64" s="63"/>
      <x:c r="B64" s="63"/>
      <x:c r="C64" s="63"/>
      <x:c r="D64" s="63"/>
      <x:c r="E64" s="63"/>
      <x:c r="F64" s="63"/>
      <x:c r="G64" s="63"/>
      <x:c r="H64" s="63"/>
      <x:c r="I64" s="63"/>
      <x:c r="J64" s="63" t="str">
        <x:f>IF($B64="","",IF($AT64&lt;&gt;"",$AT64,$AU64))</x:f>
      </x:c>
      <x:c r="K64" s="63"/>
      <x:c r="L64" s="63"/>
      <x:c r="M64" s="63"/>
      <x:c r="N64" s="63"/>
      <x:c r="O64" s="63"/>
      <x:c r="P64" s="63"/>
      <x:c r="Q64" s="63"/>
      <x:c r="R64" s="63"/>
      <x:c r="S64" s="63"/>
      <x:c r="T64" s="63"/>
      <x:c r="U64" s="63"/>
      <x:c r="V64" s="63"/>
      <x:c r="W64" s="63"/>
      <x:c r="X64" s="63"/>
      <x:c r="Y64" s="63"/>
      <x:c r="Z64" s="63"/>
      <x:c r="AA64" s="63"/>
      <x:c r="AB64" s="63"/>
      <x:c r="AC64" s="63"/>
      <x:c r="AD64" s="63"/>
      <x:c r="AE64" s="63"/>
      <x:c r="AF64" s="63"/>
      <x:c r="AG64" s="63"/>
      <x:c r="AH64" s="63"/>
      <x:c r="AI64" s="63"/>
      <x:c r="AJ64" s="63"/>
      <x:c r="AK64" s="63"/>
      <x:c r="AL64" s="63"/>
      <x:c r="AM64" s="63"/>
      <x:c r="AN64" s="63"/>
      <x:c r="AO64" s="63"/>
      <x:c r="AP64" s="63"/>
      <x:c r="AQ64" s="63"/>
      <x:c r="AR64" s="63"/>
      <x:c r="AS64" s="137"/>
      <x:c r="AT64" s="137"/>
      <x:c r="AU64" s="63" t="str">
        <x:f>IF($B64="","",IF($AK64="",10+$W64,IFERROR(INDEX('Armor Database'!$D$2:$D$100,MATCH($AK64,'Armor Database'!$A$2:$A$100,0))+IF(INDEX('Armor Database'!$E$2:$E$100,MATCH($AK64,'Armor Database'!$A$2:$A$100,0))="Full",$W64,IF(INDEX('Armor Database'!$E$2:$E$100,MATCH($AK64,'Armor Database'!$A$2:$A$100,0))="Max 2",MIN($W64,2),0))+IF($AL64="Shield",2,0)+N($AS64),10+$W64+IF($AL64="Shield",2,0)+N($AS64))))</x:f>
      </x:c>
      <x:c r="AV64" s="63" t="str">
        <x:f>IF($AM64="","",IFERROR(INDEX('Weapons Database'!$C$2:$C$100,MATCH($AM64,'Weapons Database'!$A$2:$A$100,0))&amp;" "&amp;INDEX('Weapons Database'!$D$2:$D$100,MATCH($AM64,'Weapons Database'!$A$2:$A$100,0)),""))</x:f>
      </x:c>
      <x:c r="AW64" s="63" t="str">
        <x:f>IF($AO64="","",IFERROR(INDEX('Weapons Database'!$C$2:$C$100,MATCH($AO64,'Weapons Database'!$A$2:$A$100,0))&amp;" "&amp;INDEX('Weapons Database'!$D$2:$D$100,MATCH($AO64,'Weapons Database'!$A$2:$A$100,0)),""))</x:f>
      </x:c>
      <x:c r="AX64" s="63"/>
    </x:row>
    <x:row r="65">
      <x:c r="A65" s="63"/>
      <x:c r="B65" s="63"/>
      <x:c r="C65" s="63"/>
      <x:c r="D65" s="63"/>
      <x:c r="E65" s="63"/>
      <x:c r="F65" s="63"/>
      <x:c r="G65" s="63"/>
      <x:c r="H65" s="63"/>
      <x:c r="I65" s="63"/>
      <x:c r="J65" s="63" t="str">
        <x:f>IF($B65="","",IF($AT65&lt;&gt;"",$AT65,$AU65))</x:f>
      </x:c>
      <x:c r="K65" s="63"/>
      <x:c r="L65" s="63"/>
      <x:c r="M65" s="63"/>
      <x:c r="N65" s="63"/>
      <x:c r="O65" s="63"/>
      <x:c r="P65" s="63"/>
      <x:c r="Q65" s="63"/>
      <x:c r="R65" s="63"/>
      <x:c r="S65" s="63"/>
      <x:c r="T65" s="63"/>
      <x:c r="U65" s="63"/>
      <x:c r="V65" s="63"/>
      <x:c r="W65" s="63"/>
      <x:c r="X65" s="63"/>
      <x:c r="Y65" s="63"/>
      <x:c r="Z65" s="63"/>
      <x:c r="AA65" s="63"/>
      <x:c r="AB65" s="63"/>
      <x:c r="AC65" s="63"/>
      <x:c r="AD65" s="63"/>
      <x:c r="AE65" s="63"/>
      <x:c r="AF65" s="63"/>
      <x:c r="AG65" s="63"/>
      <x:c r="AH65" s="63"/>
      <x:c r="AI65" s="63"/>
      <x:c r="AJ65" s="63"/>
      <x:c r="AK65" s="63"/>
      <x:c r="AL65" s="63"/>
      <x:c r="AM65" s="63"/>
      <x:c r="AN65" s="63"/>
      <x:c r="AO65" s="63"/>
      <x:c r="AP65" s="63"/>
      <x:c r="AQ65" s="63"/>
      <x:c r="AR65" s="63"/>
      <x:c r="AS65" s="137"/>
      <x:c r="AT65" s="137"/>
      <x:c r="AU65" s="63" t="str">
        <x:f>IF($B65="","",IF($AK65="",10+$W65,IFERROR(INDEX('Armor Database'!$D$2:$D$100,MATCH($AK65,'Armor Database'!$A$2:$A$100,0))+IF(INDEX('Armor Database'!$E$2:$E$100,MATCH($AK65,'Armor Database'!$A$2:$A$100,0))="Full",$W65,IF(INDEX('Armor Database'!$E$2:$E$100,MATCH($AK65,'Armor Database'!$A$2:$A$100,0))="Max 2",MIN($W65,2),0))+IF($AL65="Shield",2,0)+N($AS65),10+$W65+IF($AL65="Shield",2,0)+N($AS65))))</x:f>
      </x:c>
      <x:c r="AV65" s="63" t="str">
        <x:f>IF($AM65="","",IFERROR(INDEX('Weapons Database'!$C$2:$C$100,MATCH($AM65,'Weapons Database'!$A$2:$A$100,0))&amp;" "&amp;INDEX('Weapons Database'!$D$2:$D$100,MATCH($AM65,'Weapons Database'!$A$2:$A$100,0)),""))</x:f>
      </x:c>
      <x:c r="AW65" s="63" t="str">
        <x:f>IF($AO65="","",IFERROR(INDEX('Weapons Database'!$C$2:$C$100,MATCH($AO65,'Weapons Database'!$A$2:$A$100,0))&amp;" "&amp;INDEX('Weapons Database'!$D$2:$D$100,MATCH($AO65,'Weapons Database'!$A$2:$A$100,0)),""))</x:f>
      </x:c>
      <x:c r="AX65" s="63"/>
    </x:row>
    <x:row r="66">
      <x:c r="A66" s="63"/>
      <x:c r="B66" s="63"/>
      <x:c r="C66" s="63"/>
      <x:c r="D66" s="63"/>
      <x:c r="E66" s="63"/>
      <x:c r="F66" s="63"/>
      <x:c r="G66" s="63"/>
      <x:c r="H66" s="63"/>
      <x:c r="I66" s="63"/>
      <x:c r="J66" s="63" t="str">
        <x:f>IF($B66="","",IF($AT66&lt;&gt;"",$AT66,$AU66))</x:f>
      </x:c>
      <x:c r="K66" s="63"/>
      <x:c r="L66" s="63"/>
      <x:c r="M66" s="63"/>
      <x:c r="N66" s="63"/>
      <x:c r="O66" s="63"/>
      <x:c r="P66" s="63"/>
      <x:c r="Q66" s="63"/>
      <x:c r="R66" s="63"/>
      <x:c r="S66" s="63"/>
      <x:c r="T66" s="63"/>
      <x:c r="U66" s="63"/>
      <x:c r="V66" s="63"/>
      <x:c r="W66" s="63"/>
      <x:c r="X66" s="63"/>
      <x:c r="Y66" s="63"/>
      <x:c r="Z66" s="63"/>
      <x:c r="AA66" s="63"/>
      <x:c r="AB66" s="63"/>
      <x:c r="AC66" s="63"/>
      <x:c r="AD66" s="63"/>
      <x:c r="AE66" s="63"/>
      <x:c r="AF66" s="63"/>
      <x:c r="AG66" s="63"/>
      <x:c r="AH66" s="63"/>
      <x:c r="AI66" s="63"/>
      <x:c r="AJ66" s="63"/>
      <x:c r="AK66" s="63"/>
      <x:c r="AL66" s="63"/>
      <x:c r="AM66" s="63"/>
      <x:c r="AN66" s="63"/>
      <x:c r="AO66" s="63"/>
      <x:c r="AP66" s="63"/>
      <x:c r="AQ66" s="63"/>
      <x:c r="AR66" s="63"/>
      <x:c r="AS66" s="137"/>
      <x:c r="AT66" s="137"/>
      <x:c r="AU66" s="63" t="str">
        <x:f>IF($B66="","",IF($AK66="",10+$W66,IFERROR(INDEX('Armor Database'!$D$2:$D$100,MATCH($AK66,'Armor Database'!$A$2:$A$100,0))+IF(INDEX('Armor Database'!$E$2:$E$100,MATCH($AK66,'Armor Database'!$A$2:$A$100,0))="Full",$W66,IF(INDEX('Armor Database'!$E$2:$E$100,MATCH($AK66,'Armor Database'!$A$2:$A$100,0))="Max 2",MIN($W66,2),0))+IF($AL66="Shield",2,0)+N($AS66),10+$W66+IF($AL66="Shield",2,0)+N($AS66))))</x:f>
      </x:c>
      <x:c r="AV66" s="63" t="str">
        <x:f>IF($AM66="","",IFERROR(INDEX('Weapons Database'!$C$2:$C$100,MATCH($AM66,'Weapons Database'!$A$2:$A$100,0))&amp;" "&amp;INDEX('Weapons Database'!$D$2:$D$100,MATCH($AM66,'Weapons Database'!$A$2:$A$100,0)),""))</x:f>
      </x:c>
      <x:c r="AW66" s="63" t="str">
        <x:f>IF($AO66="","",IFERROR(INDEX('Weapons Database'!$C$2:$C$100,MATCH($AO66,'Weapons Database'!$A$2:$A$100,0))&amp;" "&amp;INDEX('Weapons Database'!$D$2:$D$100,MATCH($AO66,'Weapons Database'!$A$2:$A$100,0)),""))</x:f>
      </x:c>
      <x:c r="AX66" s="63"/>
    </x:row>
    <x:row r="67">
      <x:c r="A67" s="63"/>
      <x:c r="B67" s="63"/>
      <x:c r="C67" s="63"/>
      <x:c r="D67" s="63"/>
      <x:c r="E67" s="63"/>
      <x:c r="F67" s="63"/>
      <x:c r="G67" s="63"/>
      <x:c r="H67" s="63"/>
      <x:c r="I67" s="63"/>
      <x:c r="J67" s="63" t="str">
        <x:f>IF($B67="","",IF($AT67&lt;&gt;"",$AT67,$AU67))</x:f>
      </x:c>
      <x:c r="K67" s="63"/>
      <x:c r="L67" s="63"/>
      <x:c r="M67" s="63"/>
      <x:c r="N67" s="63"/>
      <x:c r="O67" s="63"/>
      <x:c r="P67" s="63"/>
      <x:c r="Q67" s="63"/>
      <x:c r="R67" s="63"/>
      <x:c r="S67" s="63"/>
      <x:c r="T67" s="63"/>
      <x:c r="U67" s="63"/>
      <x:c r="V67" s="63"/>
      <x:c r="W67" s="63"/>
      <x:c r="X67" s="63"/>
      <x:c r="Y67" s="63"/>
      <x:c r="Z67" s="63"/>
      <x:c r="AA67" s="63"/>
      <x:c r="AB67" s="63"/>
      <x:c r="AC67" s="63"/>
      <x:c r="AD67" s="63"/>
      <x:c r="AE67" s="63"/>
      <x:c r="AF67" s="63"/>
      <x:c r="AG67" s="63"/>
      <x:c r="AH67" s="63"/>
      <x:c r="AI67" s="63"/>
      <x:c r="AJ67" s="63"/>
      <x:c r="AK67" s="63"/>
      <x:c r="AL67" s="63"/>
      <x:c r="AM67" s="63"/>
      <x:c r="AN67" s="63"/>
      <x:c r="AO67" s="63"/>
      <x:c r="AP67" s="63"/>
      <x:c r="AQ67" s="63"/>
      <x:c r="AR67" s="63"/>
      <x:c r="AS67" s="137"/>
      <x:c r="AT67" s="137"/>
      <x:c r="AU67" s="63" t="str">
        <x:f>IF($B67="","",IF($AK67="",10+$W67,IFERROR(INDEX('Armor Database'!$D$2:$D$100,MATCH($AK67,'Armor Database'!$A$2:$A$100,0))+IF(INDEX('Armor Database'!$E$2:$E$100,MATCH($AK67,'Armor Database'!$A$2:$A$100,0))="Full",$W67,IF(INDEX('Armor Database'!$E$2:$E$100,MATCH($AK67,'Armor Database'!$A$2:$A$100,0))="Max 2",MIN($W67,2),0))+IF($AL67="Shield",2,0)+N($AS67),10+$W67+IF($AL67="Shield",2,0)+N($AS67))))</x:f>
      </x:c>
      <x:c r="AV67" s="63" t="str">
        <x:f>IF($AM67="","",IFERROR(INDEX('Weapons Database'!$C$2:$C$100,MATCH($AM67,'Weapons Database'!$A$2:$A$100,0))&amp;" "&amp;INDEX('Weapons Database'!$D$2:$D$100,MATCH($AM67,'Weapons Database'!$A$2:$A$100,0)),""))</x:f>
      </x:c>
      <x:c r="AW67" s="63" t="str">
        <x:f>IF($AO67="","",IFERROR(INDEX('Weapons Database'!$C$2:$C$100,MATCH($AO67,'Weapons Database'!$A$2:$A$100,0))&amp;" "&amp;INDEX('Weapons Database'!$D$2:$D$100,MATCH($AO67,'Weapons Database'!$A$2:$A$100,0)),""))</x:f>
      </x:c>
      <x:c r="AX67" s="63"/>
    </x:row>
    <x:row r="68">
      <x:c r="A68" s="63"/>
      <x:c r="B68" s="63"/>
      <x:c r="C68" s="63"/>
      <x:c r="D68" s="63"/>
      <x:c r="E68" s="63"/>
      <x:c r="F68" s="63"/>
      <x:c r="G68" s="63"/>
      <x:c r="H68" s="63"/>
      <x:c r="I68" s="63"/>
      <x:c r="J68" s="63" t="str">
        <x:f>IF($B68="","",IF($AT68&lt;&gt;"",$AT68,$AU68))</x:f>
      </x:c>
      <x:c r="K68" s="63"/>
      <x:c r="L68" s="63"/>
      <x:c r="M68" s="63"/>
      <x:c r="N68" s="63"/>
      <x:c r="O68" s="63"/>
      <x:c r="P68" s="63"/>
      <x:c r="Q68" s="63"/>
      <x:c r="R68" s="63"/>
      <x:c r="S68" s="63"/>
      <x:c r="T68" s="63"/>
      <x:c r="U68" s="63"/>
      <x:c r="V68" s="63"/>
      <x:c r="W68" s="63"/>
      <x:c r="X68" s="63"/>
      <x:c r="Y68" s="63"/>
      <x:c r="Z68" s="63"/>
      <x:c r="AA68" s="63"/>
      <x:c r="AB68" s="63"/>
      <x:c r="AC68" s="63"/>
      <x:c r="AD68" s="63"/>
      <x:c r="AE68" s="63"/>
      <x:c r="AF68" s="63"/>
      <x:c r="AG68" s="63"/>
      <x:c r="AH68" s="63"/>
      <x:c r="AI68" s="63"/>
      <x:c r="AJ68" s="63"/>
      <x:c r="AK68" s="63"/>
      <x:c r="AL68" s="63"/>
      <x:c r="AM68" s="63"/>
      <x:c r="AN68" s="63"/>
      <x:c r="AO68" s="63"/>
      <x:c r="AP68" s="63"/>
      <x:c r="AQ68" s="63"/>
      <x:c r="AR68" s="63"/>
      <x:c r="AS68" s="137"/>
      <x:c r="AT68" s="137"/>
      <x:c r="AU68" s="63" t="str">
        <x:f>IF($B68="","",IF($AK68="",10+$W68,IFERROR(INDEX('Armor Database'!$D$2:$D$100,MATCH($AK68,'Armor Database'!$A$2:$A$100,0))+IF(INDEX('Armor Database'!$E$2:$E$100,MATCH($AK68,'Armor Database'!$A$2:$A$100,0))="Full",$W68,IF(INDEX('Armor Database'!$E$2:$E$100,MATCH($AK68,'Armor Database'!$A$2:$A$100,0))="Max 2",MIN($W68,2),0))+IF($AL68="Shield",2,0)+N($AS68),10+$W68+IF($AL68="Shield",2,0)+N($AS68))))</x:f>
      </x:c>
      <x:c r="AV68" s="63" t="str">
        <x:f>IF($AM68="","",IFERROR(INDEX('Weapons Database'!$C$2:$C$100,MATCH($AM68,'Weapons Database'!$A$2:$A$100,0))&amp;" "&amp;INDEX('Weapons Database'!$D$2:$D$100,MATCH($AM68,'Weapons Database'!$A$2:$A$100,0)),""))</x:f>
      </x:c>
      <x:c r="AW68" s="63" t="str">
        <x:f>IF($AO68="","",IFERROR(INDEX('Weapons Database'!$C$2:$C$100,MATCH($AO68,'Weapons Database'!$A$2:$A$100,0))&amp;" "&amp;INDEX('Weapons Database'!$D$2:$D$100,MATCH($AO68,'Weapons Database'!$A$2:$A$100,0)),""))</x:f>
      </x:c>
      <x:c r="AX68" s="63"/>
    </x:row>
    <x:row r="69">
      <x:c r="A69" s="63"/>
      <x:c r="B69" s="63"/>
      <x:c r="C69" s="63"/>
      <x:c r="D69" s="63"/>
      <x:c r="E69" s="63"/>
      <x:c r="F69" s="63"/>
      <x:c r="G69" s="63"/>
      <x:c r="H69" s="63"/>
      <x:c r="I69" s="63"/>
      <x:c r="J69" s="63" t="str">
        <x:f>IF($B69="","",IF($AT69&lt;&gt;"",$AT69,$AU69))</x:f>
      </x:c>
      <x:c r="K69" s="63"/>
      <x:c r="L69" s="63"/>
      <x:c r="M69" s="63"/>
      <x:c r="N69" s="63"/>
      <x:c r="O69" s="63"/>
      <x:c r="P69" s="63"/>
      <x:c r="Q69" s="63"/>
      <x:c r="R69" s="63"/>
      <x:c r="S69" s="63"/>
      <x:c r="T69" s="63"/>
      <x:c r="U69" s="63"/>
      <x:c r="V69" s="63"/>
      <x:c r="W69" s="63"/>
      <x:c r="X69" s="63"/>
      <x:c r="Y69" s="63"/>
      <x:c r="Z69" s="63"/>
      <x:c r="AA69" s="63"/>
      <x:c r="AB69" s="63"/>
      <x:c r="AC69" s="63"/>
      <x:c r="AD69" s="63"/>
      <x:c r="AE69" s="63"/>
      <x:c r="AF69" s="63"/>
      <x:c r="AG69" s="63"/>
      <x:c r="AH69" s="63"/>
      <x:c r="AI69" s="63"/>
      <x:c r="AJ69" s="63"/>
      <x:c r="AK69" s="63"/>
      <x:c r="AL69" s="63"/>
      <x:c r="AM69" s="63"/>
      <x:c r="AN69" s="63"/>
      <x:c r="AO69" s="63"/>
      <x:c r="AP69" s="63"/>
      <x:c r="AQ69" s="63"/>
      <x:c r="AR69" s="63"/>
      <x:c r="AS69" s="137"/>
      <x:c r="AT69" s="137"/>
      <x:c r="AU69" s="63" t="str">
        <x:f>IF($B69="","",IF($AK69="",10+$W69,IFERROR(INDEX('Armor Database'!$D$2:$D$100,MATCH($AK69,'Armor Database'!$A$2:$A$100,0))+IF(INDEX('Armor Database'!$E$2:$E$100,MATCH($AK69,'Armor Database'!$A$2:$A$100,0))="Full",$W69,IF(INDEX('Armor Database'!$E$2:$E$100,MATCH($AK69,'Armor Database'!$A$2:$A$100,0))="Max 2",MIN($W69,2),0))+IF($AL69="Shield",2,0)+N($AS69),10+$W69+IF($AL69="Shield",2,0)+N($AS69))))</x:f>
      </x:c>
      <x:c r="AV69" s="63" t="str">
        <x:f>IF($AM69="","",IFERROR(INDEX('Weapons Database'!$C$2:$C$100,MATCH($AM69,'Weapons Database'!$A$2:$A$100,0))&amp;" "&amp;INDEX('Weapons Database'!$D$2:$D$100,MATCH($AM69,'Weapons Database'!$A$2:$A$100,0)),""))</x:f>
      </x:c>
      <x:c r="AW69" s="63" t="str">
        <x:f>IF($AO69="","",IFERROR(INDEX('Weapons Database'!$C$2:$C$100,MATCH($AO69,'Weapons Database'!$A$2:$A$100,0))&amp;" "&amp;INDEX('Weapons Database'!$D$2:$D$100,MATCH($AO69,'Weapons Database'!$A$2:$A$100,0)),""))</x:f>
      </x:c>
      <x:c r="AX69" s="63"/>
    </x:row>
    <x:row r="70">
      <x:c r="A70" s="63"/>
      <x:c r="B70" s="63"/>
      <x:c r="C70" s="63"/>
      <x:c r="D70" s="63"/>
      <x:c r="E70" s="63"/>
      <x:c r="F70" s="63"/>
      <x:c r="G70" s="63"/>
      <x:c r="H70" s="63"/>
      <x:c r="I70" s="63"/>
      <x:c r="J70" s="63" t="str">
        <x:f>IF($B70="","",IF($AT70&lt;&gt;"",$AT70,$AU70))</x:f>
      </x:c>
      <x:c r="K70" s="63"/>
      <x:c r="L70" s="63"/>
      <x:c r="M70" s="63"/>
      <x:c r="N70" s="63"/>
      <x:c r="O70" s="63"/>
      <x:c r="P70" s="63"/>
      <x:c r="Q70" s="63"/>
      <x:c r="R70" s="63"/>
      <x:c r="S70" s="63"/>
      <x:c r="T70" s="63"/>
      <x:c r="U70" s="63"/>
      <x:c r="V70" s="63"/>
      <x:c r="W70" s="63"/>
      <x:c r="X70" s="63"/>
      <x:c r="Y70" s="63"/>
      <x:c r="Z70" s="63"/>
      <x:c r="AA70" s="63"/>
      <x:c r="AB70" s="63"/>
      <x:c r="AC70" s="63"/>
      <x:c r="AD70" s="63"/>
      <x:c r="AE70" s="63"/>
      <x:c r="AF70" s="63"/>
      <x:c r="AG70" s="63"/>
      <x:c r="AH70" s="63"/>
      <x:c r="AI70" s="63"/>
      <x:c r="AJ70" s="63"/>
      <x:c r="AK70" s="63"/>
      <x:c r="AL70" s="63"/>
      <x:c r="AM70" s="63"/>
      <x:c r="AN70" s="63"/>
      <x:c r="AO70" s="63"/>
      <x:c r="AP70" s="63"/>
      <x:c r="AQ70" s="63"/>
      <x:c r="AR70" s="63"/>
      <x:c r="AS70" s="137"/>
      <x:c r="AT70" s="137"/>
      <x:c r="AU70" s="63" t="str">
        <x:f>IF($B70="","",IF($AK70="",10+$W70,IFERROR(INDEX('Armor Database'!$D$2:$D$100,MATCH($AK70,'Armor Database'!$A$2:$A$100,0))+IF(INDEX('Armor Database'!$E$2:$E$100,MATCH($AK70,'Armor Database'!$A$2:$A$100,0))="Full",$W70,IF(INDEX('Armor Database'!$E$2:$E$100,MATCH($AK70,'Armor Database'!$A$2:$A$100,0))="Max 2",MIN($W70,2),0))+IF($AL70="Shield",2,0)+N($AS70),10+$W70+IF($AL70="Shield",2,0)+N($AS70))))</x:f>
      </x:c>
      <x:c r="AV70" s="63" t="str">
        <x:f>IF($AM70="","",IFERROR(INDEX('Weapons Database'!$C$2:$C$100,MATCH($AM70,'Weapons Database'!$A$2:$A$100,0))&amp;" "&amp;INDEX('Weapons Database'!$D$2:$D$100,MATCH($AM70,'Weapons Database'!$A$2:$A$100,0)),""))</x:f>
      </x:c>
      <x:c r="AW70" s="63" t="str">
        <x:f>IF($AO70="","",IFERROR(INDEX('Weapons Database'!$C$2:$C$100,MATCH($AO70,'Weapons Database'!$A$2:$A$100,0))&amp;" "&amp;INDEX('Weapons Database'!$D$2:$D$100,MATCH($AO70,'Weapons Database'!$A$2:$A$100,0)),""))</x:f>
      </x:c>
      <x:c r="AX70" s="63"/>
    </x:row>
    <x:row r="71">
      <x:c r="A71" s="63"/>
      <x:c r="B71" s="63"/>
      <x:c r="C71" s="63"/>
      <x:c r="D71" s="63"/>
      <x:c r="E71" s="63"/>
      <x:c r="F71" s="63"/>
      <x:c r="G71" s="63"/>
      <x:c r="H71" s="63"/>
      <x:c r="I71" s="63"/>
      <x:c r="J71" s="63" t="str">
        <x:f>IF($B71="","",IF($AT71&lt;&gt;"",$AT71,$AU71))</x:f>
      </x:c>
      <x:c r="K71" s="63"/>
      <x:c r="L71" s="63"/>
      <x:c r="M71" s="63"/>
      <x:c r="N71" s="63"/>
      <x:c r="O71" s="63"/>
      <x:c r="P71" s="63"/>
      <x:c r="Q71" s="63"/>
      <x:c r="R71" s="63"/>
      <x:c r="S71" s="63"/>
      <x:c r="T71" s="63"/>
      <x:c r="U71" s="63"/>
      <x:c r="V71" s="63"/>
      <x:c r="W71" s="63"/>
      <x:c r="X71" s="63"/>
      <x:c r="Y71" s="63"/>
      <x:c r="Z71" s="63"/>
      <x:c r="AA71" s="63"/>
      <x:c r="AB71" s="63"/>
      <x:c r="AC71" s="63"/>
      <x:c r="AD71" s="63"/>
      <x:c r="AE71" s="63"/>
      <x:c r="AF71" s="63"/>
      <x:c r="AG71" s="63"/>
      <x:c r="AH71" s="63"/>
      <x:c r="AI71" s="63"/>
      <x:c r="AJ71" s="63"/>
      <x:c r="AK71" s="63"/>
      <x:c r="AL71" s="63"/>
      <x:c r="AM71" s="63"/>
      <x:c r="AN71" s="63"/>
      <x:c r="AO71" s="63"/>
      <x:c r="AP71" s="63"/>
      <x:c r="AQ71" s="63"/>
      <x:c r="AR71" s="63"/>
      <x:c r="AS71" s="137"/>
      <x:c r="AT71" s="137"/>
      <x:c r="AU71" s="63" t="str">
        <x:f>IF($B71="","",IF($AK71="",10+$W71,IFERROR(INDEX('Armor Database'!$D$2:$D$100,MATCH($AK71,'Armor Database'!$A$2:$A$100,0))+IF(INDEX('Armor Database'!$E$2:$E$100,MATCH($AK71,'Armor Database'!$A$2:$A$100,0))="Full",$W71,IF(INDEX('Armor Database'!$E$2:$E$100,MATCH($AK71,'Armor Database'!$A$2:$A$100,0))="Max 2",MIN($W71,2),0))+IF($AL71="Shield",2,0)+N($AS71),10+$W71+IF($AL71="Shield",2,0)+N($AS71))))</x:f>
      </x:c>
      <x:c r="AV71" s="63" t="str">
        <x:f>IF($AM71="","",IFERROR(INDEX('Weapons Database'!$C$2:$C$100,MATCH($AM71,'Weapons Database'!$A$2:$A$100,0))&amp;" "&amp;INDEX('Weapons Database'!$D$2:$D$100,MATCH($AM71,'Weapons Database'!$A$2:$A$100,0)),""))</x:f>
      </x:c>
      <x:c r="AW71" s="63" t="str">
        <x:f>IF($AO71="","",IFERROR(INDEX('Weapons Database'!$C$2:$C$100,MATCH($AO71,'Weapons Database'!$A$2:$A$100,0))&amp;" "&amp;INDEX('Weapons Database'!$D$2:$D$100,MATCH($AO71,'Weapons Database'!$A$2:$A$100,0)),""))</x:f>
      </x:c>
      <x:c r="AX71" s="63"/>
    </x:row>
    <x:row r="72">
      <x:c r="A72" s="63"/>
      <x:c r="B72" s="63"/>
      <x:c r="C72" s="63"/>
      <x:c r="D72" s="63"/>
      <x:c r="E72" s="63"/>
      <x:c r="F72" s="63"/>
      <x:c r="G72" s="63"/>
      <x:c r="H72" s="63"/>
      <x:c r="I72" s="63"/>
      <x:c r="J72" s="63" t="str">
        <x:f>IF($B72="","",IF($AT72&lt;&gt;"",$AT72,$AU72))</x:f>
      </x:c>
      <x:c r="K72" s="63"/>
      <x:c r="L72" s="63"/>
      <x:c r="M72" s="63"/>
      <x:c r="N72" s="63"/>
      <x:c r="O72" s="63"/>
      <x:c r="P72" s="63"/>
      <x:c r="Q72" s="63"/>
      <x:c r="R72" s="63"/>
      <x:c r="S72" s="63"/>
      <x:c r="T72" s="63"/>
      <x:c r="U72" s="63"/>
      <x:c r="V72" s="63"/>
      <x:c r="W72" s="63"/>
      <x:c r="X72" s="63"/>
      <x:c r="Y72" s="63"/>
      <x:c r="Z72" s="63"/>
      <x:c r="AA72" s="63"/>
      <x:c r="AB72" s="63"/>
      <x:c r="AC72" s="63"/>
      <x:c r="AD72" s="63"/>
      <x:c r="AE72" s="63"/>
      <x:c r="AF72" s="63"/>
      <x:c r="AG72" s="63"/>
      <x:c r="AH72" s="63"/>
      <x:c r="AI72" s="63"/>
      <x:c r="AJ72" s="63"/>
      <x:c r="AK72" s="63"/>
      <x:c r="AL72" s="63"/>
      <x:c r="AM72" s="63"/>
      <x:c r="AN72" s="63"/>
      <x:c r="AO72" s="63"/>
      <x:c r="AP72" s="63"/>
      <x:c r="AQ72" s="63"/>
      <x:c r="AR72" s="63"/>
      <x:c r="AS72" s="137"/>
      <x:c r="AT72" s="137"/>
      <x:c r="AU72" s="63" t="str">
        <x:f>IF($B72="","",IF($AK72="",10+$W72,IFERROR(INDEX('Armor Database'!$D$2:$D$100,MATCH($AK72,'Armor Database'!$A$2:$A$100,0))+IF(INDEX('Armor Database'!$E$2:$E$100,MATCH($AK72,'Armor Database'!$A$2:$A$100,0))="Full",$W72,IF(INDEX('Armor Database'!$E$2:$E$100,MATCH($AK72,'Armor Database'!$A$2:$A$100,0))="Max 2",MIN($W72,2),0))+IF($AL72="Shield",2,0)+N($AS72),10+$W72+IF($AL72="Shield",2,0)+N($AS72))))</x:f>
      </x:c>
      <x:c r="AV72" s="63" t="str">
        <x:f>IF($AM72="","",IFERROR(INDEX('Weapons Database'!$C$2:$C$100,MATCH($AM72,'Weapons Database'!$A$2:$A$100,0))&amp;" "&amp;INDEX('Weapons Database'!$D$2:$D$100,MATCH($AM72,'Weapons Database'!$A$2:$A$100,0)),""))</x:f>
      </x:c>
      <x:c r="AW72" s="63" t="str">
        <x:f>IF($AO72="","",IFERROR(INDEX('Weapons Database'!$C$2:$C$100,MATCH($AO72,'Weapons Database'!$A$2:$A$100,0))&amp;" "&amp;INDEX('Weapons Database'!$D$2:$D$100,MATCH($AO72,'Weapons Database'!$A$2:$A$100,0)),""))</x:f>
      </x:c>
      <x:c r="AX72" s="63"/>
    </x:row>
    <x:row r="73">
      <x:c r="A73" s="63"/>
      <x:c r="B73" s="63"/>
      <x:c r="C73" s="63"/>
      <x:c r="D73" s="63"/>
      <x:c r="E73" s="63"/>
      <x:c r="F73" s="63"/>
      <x:c r="G73" s="63"/>
      <x:c r="H73" s="63"/>
      <x:c r="I73" s="63"/>
      <x:c r="J73" s="63" t="str">
        <x:f>IF($B73="","",IF($AT73&lt;&gt;"",$AT73,$AU73))</x:f>
      </x:c>
      <x:c r="K73" s="63"/>
      <x:c r="L73" s="63"/>
      <x:c r="M73" s="63"/>
      <x:c r="N73" s="63"/>
      <x:c r="O73" s="63"/>
      <x:c r="P73" s="63"/>
      <x:c r="Q73" s="63"/>
      <x:c r="R73" s="63"/>
      <x:c r="S73" s="63"/>
      <x:c r="T73" s="63"/>
      <x:c r="U73" s="63"/>
      <x:c r="V73" s="63"/>
      <x:c r="W73" s="63"/>
      <x:c r="X73" s="63"/>
      <x:c r="Y73" s="63"/>
      <x:c r="Z73" s="63"/>
      <x:c r="AA73" s="63"/>
      <x:c r="AB73" s="63"/>
      <x:c r="AC73" s="63"/>
      <x:c r="AD73" s="63"/>
      <x:c r="AE73" s="63"/>
      <x:c r="AF73" s="63"/>
      <x:c r="AG73" s="63"/>
      <x:c r="AH73" s="63"/>
      <x:c r="AI73" s="63"/>
      <x:c r="AJ73" s="63"/>
      <x:c r="AK73" s="63"/>
      <x:c r="AL73" s="63"/>
      <x:c r="AM73" s="63"/>
      <x:c r="AN73" s="63"/>
      <x:c r="AO73" s="63"/>
      <x:c r="AP73" s="63"/>
      <x:c r="AQ73" s="63"/>
      <x:c r="AR73" s="63"/>
      <x:c r="AS73" s="137"/>
      <x:c r="AT73" s="137"/>
      <x:c r="AU73" s="63" t="str">
        <x:f>IF($B73="","",IF($AK73="",10+$W73,IFERROR(INDEX('Armor Database'!$D$2:$D$100,MATCH($AK73,'Armor Database'!$A$2:$A$100,0))+IF(INDEX('Armor Database'!$E$2:$E$100,MATCH($AK73,'Armor Database'!$A$2:$A$100,0))="Full",$W73,IF(INDEX('Armor Database'!$E$2:$E$100,MATCH($AK73,'Armor Database'!$A$2:$A$100,0))="Max 2",MIN($W73,2),0))+IF($AL73="Shield",2,0)+N($AS73),10+$W73+IF($AL73="Shield",2,0)+N($AS73))))</x:f>
      </x:c>
      <x:c r="AV73" s="63" t="str">
        <x:f>IF($AM73="","",IFERROR(INDEX('Weapons Database'!$C$2:$C$100,MATCH($AM73,'Weapons Database'!$A$2:$A$100,0))&amp;" "&amp;INDEX('Weapons Database'!$D$2:$D$100,MATCH($AM73,'Weapons Database'!$A$2:$A$100,0)),""))</x:f>
      </x:c>
      <x:c r="AW73" s="63" t="str">
        <x:f>IF($AO73="","",IFERROR(INDEX('Weapons Database'!$C$2:$C$100,MATCH($AO73,'Weapons Database'!$A$2:$A$100,0))&amp;" "&amp;INDEX('Weapons Database'!$D$2:$D$100,MATCH($AO73,'Weapons Database'!$A$2:$A$100,0)),""))</x:f>
      </x:c>
      <x:c r="AX73" s="63"/>
    </x:row>
    <x:row r="74">
      <x:c r="A74" s="63"/>
      <x:c r="B74" s="63"/>
      <x:c r="C74" s="63"/>
      <x:c r="D74" s="63"/>
      <x:c r="E74" s="63"/>
      <x:c r="F74" s="63"/>
      <x:c r="G74" s="63"/>
      <x:c r="H74" s="63"/>
      <x:c r="I74" s="63"/>
      <x:c r="J74" s="63" t="str">
        <x:f>IF($B74="","",IF($AT74&lt;&gt;"",$AT74,$AU74))</x:f>
      </x:c>
      <x:c r="K74" s="63"/>
      <x:c r="L74" s="63"/>
      <x:c r="M74" s="63"/>
      <x:c r="N74" s="63"/>
      <x:c r="O74" s="63"/>
      <x:c r="P74" s="63"/>
      <x:c r="Q74" s="63"/>
      <x:c r="R74" s="63"/>
      <x:c r="S74" s="63"/>
      <x:c r="T74" s="63"/>
      <x:c r="U74" s="63"/>
      <x:c r="V74" s="63"/>
      <x:c r="W74" s="63"/>
      <x:c r="X74" s="63"/>
      <x:c r="Y74" s="63"/>
      <x:c r="Z74" s="63"/>
      <x:c r="AA74" s="63"/>
      <x:c r="AB74" s="63"/>
      <x:c r="AC74" s="63"/>
      <x:c r="AD74" s="63"/>
      <x:c r="AE74" s="63"/>
      <x:c r="AF74" s="63"/>
      <x:c r="AG74" s="63"/>
      <x:c r="AH74" s="63"/>
      <x:c r="AI74" s="63"/>
      <x:c r="AJ74" s="63"/>
      <x:c r="AK74" s="63"/>
      <x:c r="AL74" s="63"/>
      <x:c r="AM74" s="63"/>
      <x:c r="AN74" s="63"/>
      <x:c r="AO74" s="63"/>
      <x:c r="AP74" s="63"/>
      <x:c r="AQ74" s="63"/>
      <x:c r="AR74" s="63"/>
      <x:c r="AS74" s="137"/>
      <x:c r="AT74" s="137"/>
      <x:c r="AU74" s="63" t="str">
        <x:f>IF($B74="","",IF($AK74="",10+$W74,IFERROR(INDEX('Armor Database'!$D$2:$D$100,MATCH($AK74,'Armor Database'!$A$2:$A$100,0))+IF(INDEX('Armor Database'!$E$2:$E$100,MATCH($AK74,'Armor Database'!$A$2:$A$100,0))="Full",$W74,IF(INDEX('Armor Database'!$E$2:$E$100,MATCH($AK74,'Armor Database'!$A$2:$A$100,0))="Max 2",MIN($W74,2),0))+IF($AL74="Shield",2,0)+N($AS74),10+$W74+IF($AL74="Shield",2,0)+N($AS74))))</x:f>
      </x:c>
      <x:c r="AV74" s="63" t="str">
        <x:f>IF($AM74="","",IFERROR(INDEX('Weapons Database'!$C$2:$C$100,MATCH($AM74,'Weapons Database'!$A$2:$A$100,0))&amp;" "&amp;INDEX('Weapons Database'!$D$2:$D$100,MATCH($AM74,'Weapons Database'!$A$2:$A$100,0)),""))</x:f>
      </x:c>
      <x:c r="AW74" s="63" t="str">
        <x:f>IF($AO74="","",IFERROR(INDEX('Weapons Database'!$C$2:$C$100,MATCH($AO74,'Weapons Database'!$A$2:$A$100,0))&amp;" "&amp;INDEX('Weapons Database'!$D$2:$D$100,MATCH($AO74,'Weapons Database'!$A$2:$A$100,0)),""))</x:f>
      </x:c>
      <x:c r="AX74" s="63"/>
    </x:row>
    <x:row r="75">
      <x:c r="A75" s="63"/>
      <x:c r="B75" s="63"/>
      <x:c r="C75" s="63"/>
      <x:c r="D75" s="63"/>
      <x:c r="E75" s="63"/>
      <x:c r="F75" s="63"/>
      <x:c r="G75" s="63"/>
      <x:c r="H75" s="63"/>
      <x:c r="I75" s="63"/>
      <x:c r="J75" s="63" t="str">
        <x:f>IF($B75="","",IF($AT75&lt;&gt;"",$AT75,$AU75))</x:f>
      </x:c>
      <x:c r="K75" s="63"/>
      <x:c r="L75" s="63"/>
      <x:c r="M75" s="63"/>
      <x:c r="N75" s="63"/>
      <x:c r="O75" s="63"/>
      <x:c r="P75" s="63"/>
      <x:c r="Q75" s="63"/>
      <x:c r="R75" s="63"/>
      <x:c r="S75" s="63"/>
      <x:c r="T75" s="63"/>
      <x:c r="U75" s="63"/>
      <x:c r="V75" s="63"/>
      <x:c r="W75" s="63"/>
      <x:c r="X75" s="63"/>
      <x:c r="Y75" s="63"/>
      <x:c r="Z75" s="63"/>
      <x:c r="AA75" s="63"/>
      <x:c r="AB75" s="63"/>
      <x:c r="AC75" s="63"/>
      <x:c r="AD75" s="63"/>
      <x:c r="AE75" s="63"/>
      <x:c r="AF75" s="63"/>
      <x:c r="AG75" s="63"/>
      <x:c r="AH75" s="63"/>
      <x:c r="AI75" s="63"/>
      <x:c r="AJ75" s="63"/>
      <x:c r="AK75" s="63"/>
      <x:c r="AL75" s="63"/>
      <x:c r="AM75" s="63"/>
      <x:c r="AN75" s="63"/>
      <x:c r="AO75" s="63"/>
      <x:c r="AP75" s="63"/>
      <x:c r="AQ75" s="63"/>
      <x:c r="AR75" s="63"/>
      <x:c r="AS75" s="137"/>
      <x:c r="AT75" s="137"/>
      <x:c r="AU75" s="63" t="str">
        <x:f>IF($B75="","",IF($AK75="",10+$W75,IFERROR(INDEX('Armor Database'!$D$2:$D$100,MATCH($AK75,'Armor Database'!$A$2:$A$100,0))+IF(INDEX('Armor Database'!$E$2:$E$100,MATCH($AK75,'Armor Database'!$A$2:$A$100,0))="Full",$W75,IF(INDEX('Armor Database'!$E$2:$E$100,MATCH($AK75,'Armor Database'!$A$2:$A$100,0))="Max 2",MIN($W75,2),0))+IF($AL75="Shield",2,0)+N($AS75),10+$W75+IF($AL75="Shield",2,0)+N($AS75))))</x:f>
      </x:c>
      <x:c r="AV75" s="63" t="str">
        <x:f>IF($AM75="","",IFERROR(INDEX('Weapons Database'!$C$2:$C$100,MATCH($AM75,'Weapons Database'!$A$2:$A$100,0))&amp;" "&amp;INDEX('Weapons Database'!$D$2:$D$100,MATCH($AM75,'Weapons Database'!$A$2:$A$100,0)),""))</x:f>
      </x:c>
      <x:c r="AW75" s="63" t="str">
        <x:f>IF($AO75="","",IFERROR(INDEX('Weapons Database'!$C$2:$C$100,MATCH($AO75,'Weapons Database'!$A$2:$A$100,0))&amp;" "&amp;INDEX('Weapons Database'!$D$2:$D$100,MATCH($AO75,'Weapons Database'!$A$2:$A$100,0)),""))</x:f>
      </x:c>
      <x:c r="AX75" s="63"/>
    </x:row>
    <x:row r="76">
      <x:c r="A76" s="63"/>
      <x:c r="B76" s="63"/>
      <x:c r="C76" s="63"/>
      <x:c r="D76" s="63"/>
      <x:c r="E76" s="63"/>
      <x:c r="F76" s="63"/>
      <x:c r="G76" s="63"/>
      <x:c r="H76" s="63"/>
      <x:c r="I76" s="63"/>
      <x:c r="J76" s="63" t="str">
        <x:f>IF($B76="","",IF($AT76&lt;&gt;"",$AT76,$AU76))</x:f>
      </x:c>
      <x:c r="K76" s="63"/>
      <x:c r="L76" s="63"/>
      <x:c r="M76" s="63"/>
      <x:c r="N76" s="63"/>
      <x:c r="O76" s="63"/>
      <x:c r="P76" s="63"/>
      <x:c r="Q76" s="63"/>
      <x:c r="R76" s="63"/>
      <x:c r="S76" s="63"/>
      <x:c r="T76" s="63"/>
      <x:c r="U76" s="63"/>
      <x:c r="V76" s="63"/>
      <x:c r="W76" s="63"/>
      <x:c r="X76" s="63"/>
      <x:c r="Y76" s="63"/>
      <x:c r="Z76" s="63"/>
      <x:c r="AA76" s="63"/>
      <x:c r="AB76" s="63"/>
      <x:c r="AC76" s="63"/>
      <x:c r="AD76" s="63"/>
      <x:c r="AE76" s="63"/>
      <x:c r="AF76" s="63"/>
      <x:c r="AG76" s="63"/>
      <x:c r="AH76" s="63"/>
      <x:c r="AI76" s="63"/>
      <x:c r="AJ76" s="63"/>
      <x:c r="AK76" s="63"/>
      <x:c r="AL76" s="63"/>
      <x:c r="AM76" s="63"/>
      <x:c r="AN76" s="63"/>
      <x:c r="AO76" s="63"/>
      <x:c r="AP76" s="63"/>
      <x:c r="AQ76" s="63"/>
      <x:c r="AR76" s="63"/>
      <x:c r="AS76" s="137"/>
      <x:c r="AT76" s="137"/>
      <x:c r="AU76" s="63" t="str">
        <x:f>IF($B76="","",IF($AK76="",10+$W76,IFERROR(INDEX('Armor Database'!$D$2:$D$100,MATCH($AK76,'Armor Database'!$A$2:$A$100,0))+IF(INDEX('Armor Database'!$E$2:$E$100,MATCH($AK76,'Armor Database'!$A$2:$A$100,0))="Full",$W76,IF(INDEX('Armor Database'!$E$2:$E$100,MATCH($AK76,'Armor Database'!$A$2:$A$100,0))="Max 2",MIN($W76,2),0))+IF($AL76="Shield",2,0)+N($AS76),10+$W76+IF($AL76="Shield",2,0)+N($AS76))))</x:f>
      </x:c>
      <x:c r="AV76" s="63" t="str">
        <x:f>IF($AM76="","",IFERROR(INDEX('Weapons Database'!$C$2:$C$100,MATCH($AM76,'Weapons Database'!$A$2:$A$100,0))&amp;" "&amp;INDEX('Weapons Database'!$D$2:$D$100,MATCH($AM76,'Weapons Database'!$A$2:$A$100,0)),""))</x:f>
      </x:c>
      <x:c r="AW76" s="63" t="str">
        <x:f>IF($AO76="","",IFERROR(INDEX('Weapons Database'!$C$2:$C$100,MATCH($AO76,'Weapons Database'!$A$2:$A$100,0))&amp;" "&amp;INDEX('Weapons Database'!$D$2:$D$100,MATCH($AO76,'Weapons Database'!$A$2:$A$100,0)),""))</x:f>
      </x:c>
      <x:c r="AX76" s="63"/>
    </x:row>
    <x:row r="77">
      <x:c r="A77" s="63"/>
      <x:c r="B77" s="63"/>
      <x:c r="C77" s="63"/>
      <x:c r="D77" s="63"/>
      <x:c r="E77" s="63"/>
      <x:c r="F77" s="63"/>
      <x:c r="G77" s="63"/>
      <x:c r="H77" s="63"/>
      <x:c r="I77" s="63"/>
      <x:c r="J77" s="63" t="str">
        <x:f>IF($B77="","",IF($AT77&lt;&gt;"",$AT77,$AU77))</x:f>
      </x:c>
      <x:c r="K77" s="63"/>
      <x:c r="L77" s="63"/>
      <x:c r="M77" s="63"/>
      <x:c r="N77" s="63"/>
      <x:c r="O77" s="63"/>
      <x:c r="P77" s="63"/>
      <x:c r="Q77" s="63"/>
      <x:c r="R77" s="63"/>
      <x:c r="S77" s="63"/>
      <x:c r="T77" s="63"/>
      <x:c r="U77" s="63"/>
      <x:c r="V77" s="63"/>
      <x:c r="W77" s="63"/>
      <x:c r="X77" s="63"/>
      <x:c r="Y77" s="63"/>
      <x:c r="Z77" s="63"/>
      <x:c r="AA77" s="63"/>
      <x:c r="AB77" s="63"/>
      <x:c r="AC77" s="63"/>
      <x:c r="AD77" s="63"/>
      <x:c r="AE77" s="63"/>
      <x:c r="AF77" s="63"/>
      <x:c r="AG77" s="63"/>
      <x:c r="AH77" s="63"/>
      <x:c r="AI77" s="63"/>
      <x:c r="AJ77" s="63"/>
      <x:c r="AK77" s="63"/>
      <x:c r="AL77" s="63"/>
      <x:c r="AM77" s="63"/>
      <x:c r="AN77" s="63"/>
      <x:c r="AO77" s="63"/>
      <x:c r="AP77" s="63"/>
      <x:c r="AQ77" s="63"/>
      <x:c r="AR77" s="63"/>
      <x:c r="AS77" s="137"/>
      <x:c r="AT77" s="137"/>
      <x:c r="AU77" s="63" t="str">
        <x:f>IF($B77="","",IF($AK77="",10+$W77,IFERROR(INDEX('Armor Database'!$D$2:$D$100,MATCH($AK77,'Armor Database'!$A$2:$A$100,0))+IF(INDEX('Armor Database'!$E$2:$E$100,MATCH($AK77,'Armor Database'!$A$2:$A$100,0))="Full",$W77,IF(INDEX('Armor Database'!$E$2:$E$100,MATCH($AK77,'Armor Database'!$A$2:$A$100,0))="Max 2",MIN($W77,2),0))+IF($AL77="Shield",2,0)+N($AS77),10+$W77+IF($AL77="Shield",2,0)+N($AS77))))</x:f>
      </x:c>
      <x:c r="AV77" s="63" t="str">
        <x:f>IF($AM77="","",IFERROR(INDEX('Weapons Database'!$C$2:$C$100,MATCH($AM77,'Weapons Database'!$A$2:$A$100,0))&amp;" "&amp;INDEX('Weapons Database'!$D$2:$D$100,MATCH($AM77,'Weapons Database'!$A$2:$A$100,0)),""))</x:f>
      </x:c>
      <x:c r="AW77" s="63" t="str">
        <x:f>IF($AO77="","",IFERROR(INDEX('Weapons Database'!$C$2:$C$100,MATCH($AO77,'Weapons Database'!$A$2:$A$100,0))&amp;" "&amp;INDEX('Weapons Database'!$D$2:$D$100,MATCH($AO77,'Weapons Database'!$A$2:$A$100,0)),""))</x:f>
      </x:c>
      <x:c r="AX77" s="63"/>
    </x:row>
    <x:row r="78">
      <x:c r="A78" s="63"/>
      <x:c r="B78" s="63"/>
      <x:c r="C78" s="63"/>
      <x:c r="D78" s="63"/>
      <x:c r="E78" s="63"/>
      <x:c r="F78" s="63"/>
      <x:c r="G78" s="63"/>
      <x:c r="H78" s="63"/>
      <x:c r="I78" s="63"/>
      <x:c r="J78" s="63" t="str">
        <x:f>IF($B78="","",IF($AT78&lt;&gt;"",$AT78,$AU78))</x:f>
      </x:c>
      <x:c r="K78" s="63"/>
      <x:c r="L78" s="63"/>
      <x:c r="M78" s="63"/>
      <x:c r="N78" s="63"/>
      <x:c r="O78" s="63"/>
      <x:c r="P78" s="63"/>
      <x:c r="Q78" s="63"/>
      <x:c r="R78" s="63"/>
      <x:c r="S78" s="63"/>
      <x:c r="T78" s="63"/>
      <x:c r="U78" s="63"/>
      <x:c r="V78" s="63"/>
      <x:c r="W78" s="63"/>
      <x:c r="X78" s="63"/>
      <x:c r="Y78" s="63"/>
      <x:c r="Z78" s="63"/>
      <x:c r="AA78" s="63"/>
      <x:c r="AB78" s="63"/>
      <x:c r="AC78" s="63"/>
      <x:c r="AD78" s="63"/>
      <x:c r="AE78" s="63"/>
      <x:c r="AF78" s="63"/>
      <x:c r="AG78" s="63"/>
      <x:c r="AH78" s="63"/>
      <x:c r="AI78" s="63"/>
      <x:c r="AJ78" s="63"/>
      <x:c r="AK78" s="63"/>
      <x:c r="AL78" s="63"/>
      <x:c r="AM78" s="63"/>
      <x:c r="AN78" s="63"/>
      <x:c r="AO78" s="63"/>
      <x:c r="AP78" s="63"/>
      <x:c r="AQ78" s="63"/>
      <x:c r="AR78" s="63"/>
      <x:c r="AS78" s="137"/>
      <x:c r="AT78" s="137"/>
      <x:c r="AU78" s="63" t="str">
        <x:f>IF($B78="","",IF($AK78="",10+$W78,IFERROR(INDEX('Armor Database'!$D$2:$D$100,MATCH($AK78,'Armor Database'!$A$2:$A$100,0))+IF(INDEX('Armor Database'!$E$2:$E$100,MATCH($AK78,'Armor Database'!$A$2:$A$100,0))="Full",$W78,IF(INDEX('Armor Database'!$E$2:$E$100,MATCH($AK78,'Armor Database'!$A$2:$A$100,0))="Max 2",MIN($W78,2),0))+IF($AL78="Shield",2,0)+N($AS78),10+$W78+IF($AL78="Shield",2,0)+N($AS78))))</x:f>
      </x:c>
      <x:c r="AV78" s="63" t="str">
        <x:f>IF($AM78="","",IFERROR(INDEX('Weapons Database'!$C$2:$C$100,MATCH($AM78,'Weapons Database'!$A$2:$A$100,0))&amp;" "&amp;INDEX('Weapons Database'!$D$2:$D$100,MATCH($AM78,'Weapons Database'!$A$2:$A$100,0)),""))</x:f>
      </x:c>
      <x:c r="AW78" s="63" t="str">
        <x:f>IF($AO78="","",IFERROR(INDEX('Weapons Database'!$C$2:$C$100,MATCH($AO78,'Weapons Database'!$A$2:$A$100,0))&amp;" "&amp;INDEX('Weapons Database'!$D$2:$D$100,MATCH($AO78,'Weapons Database'!$A$2:$A$100,0)),""))</x:f>
      </x:c>
      <x:c r="AX78" s="63"/>
    </x:row>
    <x:row r="79">
      <x:c r="A79" s="63"/>
      <x:c r="B79" s="63"/>
      <x:c r="C79" s="63"/>
      <x:c r="D79" s="63"/>
      <x:c r="E79" s="63"/>
      <x:c r="F79" s="63"/>
      <x:c r="G79" s="63"/>
      <x:c r="H79" s="63"/>
      <x:c r="I79" s="63"/>
      <x:c r="J79" s="63" t="str">
        <x:f>IF($B79="","",IF($AT79&lt;&gt;"",$AT79,$AU79))</x:f>
      </x:c>
      <x:c r="K79" s="63"/>
      <x:c r="L79" s="63"/>
      <x:c r="M79" s="63"/>
      <x:c r="N79" s="63"/>
      <x:c r="O79" s="63"/>
      <x:c r="P79" s="63"/>
      <x:c r="Q79" s="63"/>
      <x:c r="R79" s="63"/>
      <x:c r="S79" s="63"/>
      <x:c r="T79" s="63"/>
      <x:c r="U79" s="63"/>
      <x:c r="V79" s="63"/>
      <x:c r="W79" s="63"/>
      <x:c r="X79" s="63"/>
      <x:c r="Y79" s="63"/>
      <x:c r="Z79" s="63"/>
      <x:c r="AA79" s="63"/>
      <x:c r="AB79" s="63"/>
      <x:c r="AC79" s="63"/>
      <x:c r="AD79" s="63"/>
      <x:c r="AE79" s="63"/>
      <x:c r="AF79" s="63"/>
      <x:c r="AG79" s="63"/>
      <x:c r="AH79" s="63"/>
      <x:c r="AI79" s="63"/>
      <x:c r="AJ79" s="63"/>
      <x:c r="AK79" s="63"/>
      <x:c r="AL79" s="63"/>
      <x:c r="AM79" s="63"/>
      <x:c r="AN79" s="63"/>
      <x:c r="AO79" s="63"/>
      <x:c r="AP79" s="63"/>
      <x:c r="AQ79" s="63"/>
      <x:c r="AR79" s="63"/>
      <x:c r="AS79" s="137"/>
      <x:c r="AT79" s="137"/>
      <x:c r="AU79" s="63" t="str">
        <x:f>IF($B79="","",IF($AK79="",10+$W79,IFERROR(INDEX('Armor Database'!$D$2:$D$100,MATCH($AK79,'Armor Database'!$A$2:$A$100,0))+IF(INDEX('Armor Database'!$E$2:$E$100,MATCH($AK79,'Armor Database'!$A$2:$A$100,0))="Full",$W79,IF(INDEX('Armor Database'!$E$2:$E$100,MATCH($AK79,'Armor Database'!$A$2:$A$100,0))="Max 2",MIN($W79,2),0))+IF($AL79="Shield",2,0)+N($AS79),10+$W79+IF($AL79="Shield",2,0)+N($AS79))))</x:f>
      </x:c>
      <x:c r="AV79" s="63" t="str">
        <x:f>IF($AM79="","",IFERROR(INDEX('Weapons Database'!$C$2:$C$100,MATCH($AM79,'Weapons Database'!$A$2:$A$100,0))&amp;" "&amp;INDEX('Weapons Database'!$D$2:$D$100,MATCH($AM79,'Weapons Database'!$A$2:$A$100,0)),""))</x:f>
      </x:c>
      <x:c r="AW79" s="63" t="str">
        <x:f>IF($AO79="","",IFERROR(INDEX('Weapons Database'!$C$2:$C$100,MATCH($AO79,'Weapons Database'!$A$2:$A$100,0))&amp;" "&amp;INDEX('Weapons Database'!$D$2:$D$100,MATCH($AO79,'Weapons Database'!$A$2:$A$100,0)),""))</x:f>
      </x:c>
      <x:c r="AX79" s="63"/>
    </x:row>
    <x:row r="80">
      <x:c r="A80" s="63"/>
      <x:c r="B80" s="63"/>
      <x:c r="C80" s="63"/>
      <x:c r="D80" s="63"/>
      <x:c r="E80" s="63"/>
      <x:c r="F80" s="63"/>
      <x:c r="G80" s="63"/>
      <x:c r="H80" s="63"/>
      <x:c r="I80" s="63"/>
      <x:c r="J80" s="63" t="str">
        <x:f>IF($B80="","",IF($AT80&lt;&gt;"",$AT80,$AU80))</x:f>
      </x:c>
      <x:c r="K80" s="63"/>
      <x:c r="L80" s="63"/>
      <x:c r="M80" s="63"/>
      <x:c r="N80" s="63"/>
      <x:c r="O80" s="63"/>
      <x:c r="P80" s="63"/>
      <x:c r="Q80" s="63"/>
      <x:c r="R80" s="63"/>
      <x:c r="S80" s="63"/>
      <x:c r="T80" s="63"/>
      <x:c r="U80" s="63"/>
      <x:c r="V80" s="63"/>
      <x:c r="W80" s="63"/>
      <x:c r="X80" s="63"/>
      <x:c r="Y80" s="63"/>
      <x:c r="Z80" s="63"/>
      <x:c r="AA80" s="63"/>
      <x:c r="AB80" s="63"/>
      <x:c r="AC80" s="63"/>
      <x:c r="AD80" s="63"/>
      <x:c r="AE80" s="63"/>
      <x:c r="AF80" s="63"/>
      <x:c r="AG80" s="63"/>
      <x:c r="AH80" s="63"/>
      <x:c r="AI80" s="63"/>
      <x:c r="AJ80" s="63"/>
      <x:c r="AK80" s="63"/>
      <x:c r="AL80" s="63"/>
      <x:c r="AM80" s="63"/>
      <x:c r="AN80" s="63"/>
      <x:c r="AO80" s="63"/>
      <x:c r="AP80" s="63"/>
      <x:c r="AQ80" s="63"/>
      <x:c r="AR80" s="63"/>
      <x:c r="AS80" s="137"/>
      <x:c r="AT80" s="137"/>
      <x:c r="AU80" s="63" t="str">
        <x:f>IF($B80="","",IF($AK80="",10+$W80,IFERROR(INDEX('Armor Database'!$D$2:$D$100,MATCH($AK80,'Armor Database'!$A$2:$A$100,0))+IF(INDEX('Armor Database'!$E$2:$E$100,MATCH($AK80,'Armor Database'!$A$2:$A$100,0))="Full",$W80,IF(INDEX('Armor Database'!$E$2:$E$100,MATCH($AK80,'Armor Database'!$A$2:$A$100,0))="Max 2",MIN($W80,2),0))+IF($AL80="Shield",2,0)+N($AS80),10+$W80+IF($AL80="Shield",2,0)+N($AS80))))</x:f>
      </x:c>
      <x:c r="AV80" s="63" t="str">
        <x:f>IF($AM80="","",IFERROR(INDEX('Weapons Database'!$C$2:$C$100,MATCH($AM80,'Weapons Database'!$A$2:$A$100,0))&amp;" "&amp;INDEX('Weapons Database'!$D$2:$D$100,MATCH($AM80,'Weapons Database'!$A$2:$A$100,0)),""))</x:f>
      </x:c>
      <x:c r="AW80" s="63" t="str">
        <x:f>IF($AO80="","",IFERROR(INDEX('Weapons Database'!$C$2:$C$100,MATCH($AO80,'Weapons Database'!$A$2:$A$100,0))&amp;" "&amp;INDEX('Weapons Database'!$D$2:$D$100,MATCH($AO80,'Weapons Database'!$A$2:$A$100,0)),""))</x:f>
      </x:c>
      <x:c r="AX80" s="63"/>
    </x:row>
    <x:row r="81">
      <x:c r="A81" s="63"/>
      <x:c r="B81" s="63"/>
      <x:c r="C81" s="63"/>
      <x:c r="D81" s="63"/>
      <x:c r="E81" s="63"/>
      <x:c r="F81" s="63"/>
      <x:c r="G81" s="63"/>
      <x:c r="H81" s="63"/>
      <x:c r="I81" s="63"/>
      <x:c r="J81" s="63" t="str">
        <x:f>IF($B81="","",IF($AT81&lt;&gt;"",$AT81,$AU81))</x:f>
      </x:c>
      <x:c r="K81" s="63"/>
      <x:c r="L81" s="63"/>
      <x:c r="M81" s="63"/>
      <x:c r="N81" s="63"/>
      <x:c r="O81" s="63"/>
      <x:c r="P81" s="63"/>
      <x:c r="Q81" s="63"/>
      <x:c r="R81" s="63"/>
      <x:c r="S81" s="63"/>
      <x:c r="T81" s="63"/>
      <x:c r="U81" s="63"/>
      <x:c r="V81" s="63"/>
      <x:c r="W81" s="63"/>
      <x:c r="X81" s="63"/>
      <x:c r="Y81" s="63"/>
      <x:c r="Z81" s="63"/>
      <x:c r="AA81" s="63"/>
      <x:c r="AB81" s="63"/>
      <x:c r="AC81" s="63"/>
      <x:c r="AD81" s="63"/>
      <x:c r="AE81" s="63"/>
      <x:c r="AF81" s="63"/>
      <x:c r="AG81" s="63"/>
      <x:c r="AH81" s="63"/>
      <x:c r="AI81" s="63"/>
      <x:c r="AJ81" s="63"/>
      <x:c r="AK81" s="63"/>
      <x:c r="AL81" s="63"/>
      <x:c r="AM81" s="63"/>
      <x:c r="AN81" s="63"/>
      <x:c r="AO81" s="63"/>
      <x:c r="AP81" s="63"/>
      <x:c r="AQ81" s="63"/>
      <x:c r="AR81" s="63"/>
      <x:c r="AS81" s="137"/>
      <x:c r="AT81" s="137"/>
      <x:c r="AU81" s="63" t="str">
        <x:f>IF($B81="","",IF($AK81="",10+$W81,IFERROR(INDEX('Armor Database'!$D$2:$D$100,MATCH($AK81,'Armor Database'!$A$2:$A$100,0))+IF(INDEX('Armor Database'!$E$2:$E$100,MATCH($AK81,'Armor Database'!$A$2:$A$100,0))="Full",$W81,IF(INDEX('Armor Database'!$E$2:$E$100,MATCH($AK81,'Armor Database'!$A$2:$A$100,0))="Max 2",MIN($W81,2),0))+IF($AL81="Shield",2,0)+N($AS81),10+$W81+IF($AL81="Shield",2,0)+N($AS81))))</x:f>
      </x:c>
      <x:c r="AV81" s="63" t="str">
        <x:f>IF($AM81="","",IFERROR(INDEX('Weapons Database'!$C$2:$C$100,MATCH($AM81,'Weapons Database'!$A$2:$A$100,0))&amp;" "&amp;INDEX('Weapons Database'!$D$2:$D$100,MATCH($AM81,'Weapons Database'!$A$2:$A$100,0)),""))</x:f>
      </x:c>
      <x:c r="AW81" s="63" t="str">
        <x:f>IF($AO81="","",IFERROR(INDEX('Weapons Database'!$C$2:$C$100,MATCH($AO81,'Weapons Database'!$A$2:$A$100,0))&amp;" "&amp;INDEX('Weapons Database'!$D$2:$D$100,MATCH($AO81,'Weapons Database'!$A$2:$A$100,0)),""))</x:f>
      </x:c>
      <x:c r="AX81" s="63"/>
    </x:row>
    <x:row r="82">
      <x:c r="A82" s="63"/>
      <x:c r="B82" s="63"/>
      <x:c r="C82" s="63"/>
      <x:c r="D82" s="63"/>
      <x:c r="E82" s="63"/>
      <x:c r="F82" s="63"/>
      <x:c r="G82" s="63"/>
      <x:c r="H82" s="63"/>
      <x:c r="I82" s="63"/>
      <x:c r="J82" s="63" t="str">
        <x:f>IF($B82="","",IF($AT82&lt;&gt;"",$AT82,$AU82))</x:f>
      </x:c>
      <x:c r="K82" s="63"/>
      <x:c r="L82" s="63"/>
      <x:c r="M82" s="63"/>
      <x:c r="N82" s="63"/>
      <x:c r="O82" s="63"/>
      <x:c r="P82" s="63"/>
      <x:c r="Q82" s="63"/>
      <x:c r="R82" s="63"/>
      <x:c r="S82" s="63"/>
      <x:c r="T82" s="63"/>
      <x:c r="U82" s="63"/>
      <x:c r="V82" s="63"/>
      <x:c r="W82" s="63"/>
      <x:c r="X82" s="63"/>
      <x:c r="Y82" s="63"/>
      <x:c r="Z82" s="63"/>
      <x:c r="AA82" s="63"/>
      <x:c r="AB82" s="63"/>
      <x:c r="AC82" s="63"/>
      <x:c r="AD82" s="63"/>
      <x:c r="AE82" s="63"/>
      <x:c r="AF82" s="63"/>
      <x:c r="AG82" s="63"/>
      <x:c r="AH82" s="63"/>
      <x:c r="AI82" s="63"/>
      <x:c r="AJ82" s="63"/>
      <x:c r="AK82" s="63"/>
      <x:c r="AL82" s="63"/>
      <x:c r="AM82" s="63"/>
      <x:c r="AN82" s="63"/>
      <x:c r="AO82" s="63"/>
      <x:c r="AP82" s="63"/>
      <x:c r="AQ82" s="63"/>
      <x:c r="AR82" s="63"/>
      <x:c r="AS82" s="137"/>
      <x:c r="AT82" s="137"/>
      <x:c r="AU82" s="63" t="str">
        <x:f>IF($B82="","",IF($AK82="",10+$W82,IFERROR(INDEX('Armor Database'!$D$2:$D$100,MATCH($AK82,'Armor Database'!$A$2:$A$100,0))+IF(INDEX('Armor Database'!$E$2:$E$100,MATCH($AK82,'Armor Database'!$A$2:$A$100,0))="Full",$W82,IF(INDEX('Armor Database'!$E$2:$E$100,MATCH($AK82,'Armor Database'!$A$2:$A$100,0))="Max 2",MIN($W82,2),0))+IF($AL82="Shield",2,0)+N($AS82),10+$W82+IF($AL82="Shield",2,0)+N($AS82))))</x:f>
      </x:c>
      <x:c r="AV82" s="63" t="str">
        <x:f>IF($AM82="","",IFERROR(INDEX('Weapons Database'!$C$2:$C$100,MATCH($AM82,'Weapons Database'!$A$2:$A$100,0))&amp;" "&amp;INDEX('Weapons Database'!$D$2:$D$100,MATCH($AM82,'Weapons Database'!$A$2:$A$100,0)),""))</x:f>
      </x:c>
      <x:c r="AW82" s="63" t="str">
        <x:f>IF($AO82="","",IFERROR(INDEX('Weapons Database'!$C$2:$C$100,MATCH($AO82,'Weapons Database'!$A$2:$A$100,0))&amp;" "&amp;INDEX('Weapons Database'!$D$2:$D$100,MATCH($AO82,'Weapons Database'!$A$2:$A$100,0)),""))</x:f>
      </x:c>
      <x:c r="AX82" s="63"/>
    </x:row>
    <x:row r="83">
      <x:c r="A83" s="63"/>
      <x:c r="B83" s="63"/>
      <x:c r="C83" s="63"/>
      <x:c r="D83" s="63"/>
      <x:c r="E83" s="63"/>
      <x:c r="F83" s="63"/>
      <x:c r="G83" s="63"/>
      <x:c r="H83" s="63"/>
      <x:c r="I83" s="63"/>
      <x:c r="J83" s="63" t="str">
        <x:f>IF($B83="","",IF($AT83&lt;&gt;"",$AT83,$AU83))</x:f>
      </x:c>
      <x:c r="K83" s="63"/>
      <x:c r="L83" s="63"/>
      <x:c r="M83" s="63"/>
      <x:c r="N83" s="63"/>
      <x:c r="O83" s="63"/>
      <x:c r="P83" s="63"/>
      <x:c r="Q83" s="63"/>
      <x:c r="R83" s="63"/>
      <x:c r="S83" s="63"/>
      <x:c r="T83" s="63"/>
      <x:c r="U83" s="63"/>
      <x:c r="V83" s="63"/>
      <x:c r="W83" s="63"/>
      <x:c r="X83" s="63"/>
      <x:c r="Y83" s="63"/>
      <x:c r="Z83" s="63"/>
      <x:c r="AA83" s="63"/>
      <x:c r="AB83" s="63"/>
      <x:c r="AC83" s="63"/>
      <x:c r="AD83" s="63"/>
      <x:c r="AE83" s="63"/>
      <x:c r="AF83" s="63"/>
      <x:c r="AG83" s="63"/>
      <x:c r="AH83" s="63"/>
      <x:c r="AI83" s="63"/>
      <x:c r="AJ83" s="63"/>
      <x:c r="AK83" s="63"/>
      <x:c r="AL83" s="63"/>
      <x:c r="AM83" s="63"/>
      <x:c r="AN83" s="63"/>
      <x:c r="AO83" s="63"/>
      <x:c r="AP83" s="63"/>
      <x:c r="AQ83" s="63"/>
      <x:c r="AR83" s="63"/>
      <x:c r="AS83" s="137"/>
      <x:c r="AT83" s="137"/>
      <x:c r="AU83" s="63" t="str">
        <x:f>IF($B83="","",IF($AK83="",10+$W83,IFERROR(INDEX('Armor Database'!$D$2:$D$100,MATCH($AK83,'Armor Database'!$A$2:$A$100,0))+IF(INDEX('Armor Database'!$E$2:$E$100,MATCH($AK83,'Armor Database'!$A$2:$A$100,0))="Full",$W83,IF(INDEX('Armor Database'!$E$2:$E$100,MATCH($AK83,'Armor Database'!$A$2:$A$100,0))="Max 2",MIN($W83,2),0))+IF($AL83="Shield",2,0)+N($AS83),10+$W83+IF($AL83="Shield",2,0)+N($AS83))))</x:f>
      </x:c>
      <x:c r="AV83" s="63" t="str">
        <x:f>IF($AM83="","",IFERROR(INDEX('Weapons Database'!$C$2:$C$100,MATCH($AM83,'Weapons Database'!$A$2:$A$100,0))&amp;" "&amp;INDEX('Weapons Database'!$D$2:$D$100,MATCH($AM83,'Weapons Database'!$A$2:$A$100,0)),""))</x:f>
      </x:c>
      <x:c r="AW83" s="63" t="str">
        <x:f>IF($AO83="","",IFERROR(INDEX('Weapons Database'!$C$2:$C$100,MATCH($AO83,'Weapons Database'!$A$2:$A$100,0))&amp;" "&amp;INDEX('Weapons Database'!$D$2:$D$100,MATCH($AO83,'Weapons Database'!$A$2:$A$100,0)),""))</x:f>
      </x:c>
      <x:c r="AX83" s="63"/>
    </x:row>
    <x:row r="84">
      <x:c r="A84" s="63"/>
      <x:c r="B84" s="63"/>
      <x:c r="C84" s="63"/>
      <x:c r="D84" s="63"/>
      <x:c r="E84" s="63"/>
      <x:c r="F84" s="63"/>
      <x:c r="G84" s="63"/>
      <x:c r="H84" s="63"/>
      <x:c r="I84" s="63"/>
      <x:c r="J84" s="63" t="str">
        <x:f>IF($B84="","",IF($AT84&lt;&gt;"",$AT84,$AU84))</x:f>
      </x:c>
      <x:c r="K84" s="63"/>
      <x:c r="L84" s="63"/>
      <x:c r="M84" s="63"/>
      <x:c r="N84" s="63"/>
      <x:c r="O84" s="63"/>
      <x:c r="P84" s="63"/>
      <x:c r="Q84" s="63"/>
      <x:c r="R84" s="63"/>
      <x:c r="S84" s="63"/>
      <x:c r="T84" s="63"/>
      <x:c r="U84" s="63"/>
      <x:c r="V84" s="63"/>
      <x:c r="W84" s="63"/>
      <x:c r="X84" s="63"/>
      <x:c r="Y84" s="63"/>
      <x:c r="Z84" s="63"/>
      <x:c r="AA84" s="63"/>
      <x:c r="AB84" s="63"/>
      <x:c r="AC84" s="63"/>
      <x:c r="AD84" s="63"/>
      <x:c r="AE84" s="63"/>
      <x:c r="AF84" s="63"/>
      <x:c r="AG84" s="63"/>
      <x:c r="AH84" s="63"/>
      <x:c r="AI84" s="63"/>
      <x:c r="AJ84" s="63"/>
      <x:c r="AK84" s="63"/>
      <x:c r="AL84" s="63"/>
      <x:c r="AM84" s="63"/>
      <x:c r="AN84" s="63"/>
      <x:c r="AO84" s="63"/>
      <x:c r="AP84" s="63"/>
      <x:c r="AQ84" s="63"/>
      <x:c r="AR84" s="63"/>
      <x:c r="AS84" s="137"/>
      <x:c r="AT84" s="137"/>
      <x:c r="AU84" s="63" t="str">
        <x:f>IF($B84="","",IF($AK84="",10+$W84,IFERROR(INDEX('Armor Database'!$D$2:$D$100,MATCH($AK84,'Armor Database'!$A$2:$A$100,0))+IF(INDEX('Armor Database'!$E$2:$E$100,MATCH($AK84,'Armor Database'!$A$2:$A$100,0))="Full",$W84,IF(INDEX('Armor Database'!$E$2:$E$100,MATCH($AK84,'Armor Database'!$A$2:$A$100,0))="Max 2",MIN($W84,2),0))+IF($AL84="Shield",2,0)+N($AS84),10+$W84+IF($AL84="Shield",2,0)+N($AS84))))</x:f>
      </x:c>
      <x:c r="AV84" s="63" t="str">
        <x:f>IF($AM84="","",IFERROR(INDEX('Weapons Database'!$C$2:$C$100,MATCH($AM84,'Weapons Database'!$A$2:$A$100,0))&amp;" "&amp;INDEX('Weapons Database'!$D$2:$D$100,MATCH($AM84,'Weapons Database'!$A$2:$A$100,0)),""))</x:f>
      </x:c>
      <x:c r="AW84" s="63" t="str">
        <x:f>IF($AO84="","",IFERROR(INDEX('Weapons Database'!$C$2:$C$100,MATCH($AO84,'Weapons Database'!$A$2:$A$100,0))&amp;" "&amp;INDEX('Weapons Database'!$D$2:$D$100,MATCH($AO84,'Weapons Database'!$A$2:$A$100,0)),""))</x:f>
      </x:c>
      <x:c r="AX84" s="63"/>
    </x:row>
    <x:row r="85">
      <x:c r="A85" s="63"/>
      <x:c r="B85" s="63"/>
      <x:c r="C85" s="63"/>
      <x:c r="D85" s="63"/>
      <x:c r="E85" s="63"/>
      <x:c r="F85" s="63"/>
      <x:c r="G85" s="63"/>
      <x:c r="H85" s="63"/>
      <x:c r="I85" s="63"/>
      <x:c r="J85" s="63" t="str">
        <x:f>IF($B85="","",IF($AT85&lt;&gt;"",$AT85,$AU85))</x:f>
      </x:c>
      <x:c r="K85" s="63"/>
      <x:c r="L85" s="63"/>
      <x:c r="M85" s="63"/>
      <x:c r="N85" s="63"/>
      <x:c r="O85" s="63"/>
      <x:c r="P85" s="63"/>
      <x:c r="Q85" s="63"/>
      <x:c r="R85" s="63"/>
      <x:c r="S85" s="63"/>
      <x:c r="T85" s="63"/>
      <x:c r="U85" s="63"/>
      <x:c r="V85" s="63"/>
      <x:c r="W85" s="63"/>
      <x:c r="X85" s="63"/>
      <x:c r="Y85" s="63"/>
      <x:c r="Z85" s="63"/>
      <x:c r="AA85" s="63"/>
      <x:c r="AB85" s="63"/>
      <x:c r="AC85" s="63"/>
      <x:c r="AD85" s="63"/>
      <x:c r="AE85" s="63"/>
      <x:c r="AF85" s="63"/>
      <x:c r="AG85" s="63"/>
      <x:c r="AH85" s="63"/>
      <x:c r="AI85" s="63"/>
      <x:c r="AJ85" s="63"/>
      <x:c r="AK85" s="63"/>
      <x:c r="AL85" s="63"/>
      <x:c r="AM85" s="63"/>
      <x:c r="AN85" s="63"/>
      <x:c r="AO85" s="63"/>
      <x:c r="AP85" s="63"/>
      <x:c r="AQ85" s="63"/>
      <x:c r="AR85" s="63"/>
      <x:c r="AS85" s="137"/>
      <x:c r="AT85" s="137"/>
      <x:c r="AU85" s="63" t="str">
        <x:f>IF($B85="","",IF($AK85="",10+$W85,IFERROR(INDEX('Armor Database'!$D$2:$D$100,MATCH($AK85,'Armor Database'!$A$2:$A$100,0))+IF(INDEX('Armor Database'!$E$2:$E$100,MATCH($AK85,'Armor Database'!$A$2:$A$100,0))="Full",$W85,IF(INDEX('Armor Database'!$E$2:$E$100,MATCH($AK85,'Armor Database'!$A$2:$A$100,0))="Max 2",MIN($W85,2),0))+IF($AL85="Shield",2,0)+N($AS85),10+$W85+IF($AL85="Shield",2,0)+N($AS85))))</x:f>
      </x:c>
      <x:c r="AV85" s="63" t="str">
        <x:f>IF($AM85="","",IFERROR(INDEX('Weapons Database'!$C$2:$C$100,MATCH($AM85,'Weapons Database'!$A$2:$A$100,0))&amp;" "&amp;INDEX('Weapons Database'!$D$2:$D$100,MATCH($AM85,'Weapons Database'!$A$2:$A$100,0)),""))</x:f>
      </x:c>
      <x:c r="AW85" s="63" t="str">
        <x:f>IF($AO85="","",IFERROR(INDEX('Weapons Database'!$C$2:$C$100,MATCH($AO85,'Weapons Database'!$A$2:$A$100,0))&amp;" "&amp;INDEX('Weapons Database'!$D$2:$D$100,MATCH($AO85,'Weapons Database'!$A$2:$A$100,0)),""))</x:f>
      </x:c>
      <x:c r="AX85" s="63"/>
    </x:row>
    <x:row r="86">
      <x:c r="A86" s="63"/>
      <x:c r="B86" s="63"/>
      <x:c r="C86" s="63"/>
      <x:c r="D86" s="63"/>
      <x:c r="E86" s="63"/>
      <x:c r="F86" s="63"/>
      <x:c r="G86" s="63"/>
      <x:c r="H86" s="63"/>
      <x:c r="I86" s="63"/>
      <x:c r="J86" s="63" t="str">
        <x:f>IF($B86="","",IF($AT86&lt;&gt;"",$AT86,$AU86))</x:f>
      </x:c>
      <x:c r="K86" s="63"/>
      <x:c r="L86" s="63"/>
      <x:c r="M86" s="63"/>
      <x:c r="N86" s="63"/>
      <x:c r="O86" s="63"/>
      <x:c r="P86" s="63"/>
      <x:c r="Q86" s="63"/>
      <x:c r="R86" s="63"/>
      <x:c r="S86" s="63"/>
      <x:c r="T86" s="63"/>
      <x:c r="U86" s="63"/>
      <x:c r="V86" s="63"/>
      <x:c r="W86" s="63"/>
      <x:c r="X86" s="63"/>
      <x:c r="Y86" s="63"/>
      <x:c r="Z86" s="63"/>
      <x:c r="AA86" s="63"/>
      <x:c r="AB86" s="63"/>
      <x:c r="AC86" s="63"/>
      <x:c r="AD86" s="63"/>
      <x:c r="AE86" s="63"/>
      <x:c r="AF86" s="63"/>
      <x:c r="AG86" s="63"/>
      <x:c r="AH86" s="63"/>
      <x:c r="AI86" s="63"/>
      <x:c r="AJ86" s="63"/>
      <x:c r="AK86" s="63"/>
      <x:c r="AL86" s="63"/>
      <x:c r="AM86" s="63"/>
      <x:c r="AN86" s="63"/>
      <x:c r="AO86" s="63"/>
      <x:c r="AP86" s="63"/>
      <x:c r="AQ86" s="63"/>
      <x:c r="AR86" s="63"/>
      <x:c r="AS86" s="137"/>
      <x:c r="AT86" s="137"/>
      <x:c r="AU86" s="63" t="str">
        <x:f>IF($B86="","",IF($AK86="",10+$W86,IFERROR(INDEX('Armor Database'!$D$2:$D$100,MATCH($AK86,'Armor Database'!$A$2:$A$100,0))+IF(INDEX('Armor Database'!$E$2:$E$100,MATCH($AK86,'Armor Database'!$A$2:$A$100,0))="Full",$W86,IF(INDEX('Armor Database'!$E$2:$E$100,MATCH($AK86,'Armor Database'!$A$2:$A$100,0))="Max 2",MIN($W86,2),0))+IF($AL86="Shield",2,0)+N($AS86),10+$W86+IF($AL86="Shield",2,0)+N($AS86))))</x:f>
      </x:c>
      <x:c r="AV86" s="63" t="str">
        <x:f>IF($AM86="","",IFERROR(INDEX('Weapons Database'!$C$2:$C$100,MATCH($AM86,'Weapons Database'!$A$2:$A$100,0))&amp;" "&amp;INDEX('Weapons Database'!$D$2:$D$100,MATCH($AM86,'Weapons Database'!$A$2:$A$100,0)),""))</x:f>
      </x:c>
      <x:c r="AW86" s="63" t="str">
        <x:f>IF($AO86="","",IFERROR(INDEX('Weapons Database'!$C$2:$C$100,MATCH($AO86,'Weapons Database'!$A$2:$A$100,0))&amp;" "&amp;INDEX('Weapons Database'!$D$2:$D$100,MATCH($AO86,'Weapons Database'!$A$2:$A$100,0)),""))</x:f>
      </x:c>
      <x:c r="AX86" s="63"/>
    </x:row>
    <x:row r="87">
      <x:c r="A87" s="63"/>
      <x:c r="B87" s="63"/>
      <x:c r="C87" s="63"/>
      <x:c r="D87" s="63"/>
      <x:c r="E87" s="63"/>
      <x:c r="F87" s="63"/>
      <x:c r="G87" s="63"/>
      <x:c r="H87" s="63"/>
      <x:c r="I87" s="63"/>
      <x:c r="J87" s="63" t="str">
        <x:f>IF($B87="","",IF($AT87&lt;&gt;"",$AT87,$AU87))</x:f>
      </x:c>
      <x:c r="K87" s="63"/>
      <x:c r="L87" s="63"/>
      <x:c r="M87" s="63"/>
      <x:c r="N87" s="63"/>
      <x:c r="O87" s="63"/>
      <x:c r="P87" s="63"/>
      <x:c r="Q87" s="63"/>
      <x:c r="R87" s="63"/>
      <x:c r="S87" s="63"/>
      <x:c r="T87" s="63"/>
      <x:c r="U87" s="63"/>
      <x:c r="V87" s="63"/>
      <x:c r="W87" s="63"/>
      <x:c r="X87" s="63"/>
      <x:c r="Y87" s="63"/>
      <x:c r="Z87" s="63"/>
      <x:c r="AA87" s="63"/>
      <x:c r="AB87" s="63"/>
      <x:c r="AC87" s="63"/>
      <x:c r="AD87" s="63"/>
      <x:c r="AE87" s="63"/>
      <x:c r="AF87" s="63"/>
      <x:c r="AG87" s="63"/>
      <x:c r="AH87" s="63"/>
      <x:c r="AI87" s="63"/>
      <x:c r="AJ87" s="63"/>
      <x:c r="AK87" s="63"/>
      <x:c r="AL87" s="63"/>
      <x:c r="AM87" s="63"/>
      <x:c r="AN87" s="63"/>
      <x:c r="AO87" s="63"/>
      <x:c r="AP87" s="63"/>
      <x:c r="AQ87" s="63"/>
      <x:c r="AR87" s="63"/>
      <x:c r="AS87" s="137"/>
      <x:c r="AT87" s="137"/>
      <x:c r="AU87" s="63" t="str">
        <x:f>IF($B87="","",IF($AK87="",10+$W87,IFERROR(INDEX('Armor Database'!$D$2:$D$100,MATCH($AK87,'Armor Database'!$A$2:$A$100,0))+IF(INDEX('Armor Database'!$E$2:$E$100,MATCH($AK87,'Armor Database'!$A$2:$A$100,0))="Full",$W87,IF(INDEX('Armor Database'!$E$2:$E$100,MATCH($AK87,'Armor Database'!$A$2:$A$100,0))="Max 2",MIN($W87,2),0))+IF($AL87="Shield",2,0)+N($AS87),10+$W87+IF($AL87="Shield",2,0)+N($AS87))))</x:f>
      </x:c>
      <x:c r="AV87" s="63" t="str">
        <x:f>IF($AM87="","",IFERROR(INDEX('Weapons Database'!$C$2:$C$100,MATCH($AM87,'Weapons Database'!$A$2:$A$100,0))&amp;" "&amp;INDEX('Weapons Database'!$D$2:$D$100,MATCH($AM87,'Weapons Database'!$A$2:$A$100,0)),""))</x:f>
      </x:c>
      <x:c r="AW87" s="63" t="str">
        <x:f>IF($AO87="","",IFERROR(INDEX('Weapons Database'!$C$2:$C$100,MATCH($AO87,'Weapons Database'!$A$2:$A$100,0))&amp;" "&amp;INDEX('Weapons Database'!$D$2:$D$100,MATCH($AO87,'Weapons Database'!$A$2:$A$100,0)),""))</x:f>
      </x:c>
      <x:c r="AX87" s="63"/>
    </x:row>
    <x:row r="88">
      <x:c r="A88" s="63"/>
      <x:c r="B88" s="63"/>
      <x:c r="C88" s="63"/>
      <x:c r="D88" s="63"/>
      <x:c r="E88" s="63"/>
      <x:c r="F88" s="63"/>
      <x:c r="G88" s="63"/>
      <x:c r="H88" s="63"/>
      <x:c r="I88" s="63"/>
      <x:c r="J88" s="63" t="str">
        <x:f>IF($B88="","",IF($AT88&lt;&gt;"",$AT88,$AU88))</x:f>
      </x:c>
      <x:c r="K88" s="63"/>
      <x:c r="L88" s="63"/>
      <x:c r="M88" s="63"/>
      <x:c r="N88" s="63"/>
      <x:c r="O88" s="63"/>
      <x:c r="P88" s="63"/>
      <x:c r="Q88" s="63"/>
      <x:c r="R88" s="63"/>
      <x:c r="S88" s="63"/>
      <x:c r="T88" s="63"/>
      <x:c r="U88" s="63"/>
      <x:c r="V88" s="63"/>
      <x:c r="W88" s="63"/>
      <x:c r="X88" s="63"/>
      <x:c r="Y88" s="63"/>
      <x:c r="Z88" s="63"/>
      <x:c r="AA88" s="63"/>
      <x:c r="AB88" s="63"/>
      <x:c r="AC88" s="63"/>
      <x:c r="AD88" s="63"/>
      <x:c r="AE88" s="63"/>
      <x:c r="AF88" s="63"/>
      <x:c r="AG88" s="63"/>
      <x:c r="AH88" s="63"/>
      <x:c r="AI88" s="63"/>
      <x:c r="AJ88" s="63"/>
      <x:c r="AK88" s="63"/>
      <x:c r="AL88" s="63"/>
      <x:c r="AM88" s="63"/>
      <x:c r="AN88" s="63"/>
      <x:c r="AO88" s="63"/>
      <x:c r="AP88" s="63"/>
      <x:c r="AQ88" s="63"/>
      <x:c r="AR88" s="63"/>
      <x:c r="AS88" s="137"/>
      <x:c r="AT88" s="137"/>
      <x:c r="AU88" s="63" t="str">
        <x:f>IF($B88="","",IF($AK88="",10+$W88,IFERROR(INDEX('Armor Database'!$D$2:$D$100,MATCH($AK88,'Armor Database'!$A$2:$A$100,0))+IF(INDEX('Armor Database'!$E$2:$E$100,MATCH($AK88,'Armor Database'!$A$2:$A$100,0))="Full",$W88,IF(INDEX('Armor Database'!$E$2:$E$100,MATCH($AK88,'Armor Database'!$A$2:$A$100,0))="Max 2",MIN($W88,2),0))+IF($AL88="Shield",2,0)+N($AS88),10+$W88+IF($AL88="Shield",2,0)+N($AS88))))</x:f>
      </x:c>
      <x:c r="AV88" s="63" t="str">
        <x:f>IF($AM88="","",IFERROR(INDEX('Weapons Database'!$C$2:$C$100,MATCH($AM88,'Weapons Database'!$A$2:$A$100,0))&amp;" "&amp;INDEX('Weapons Database'!$D$2:$D$100,MATCH($AM88,'Weapons Database'!$A$2:$A$100,0)),""))</x:f>
      </x:c>
      <x:c r="AW88" s="63" t="str">
        <x:f>IF($AO88="","",IFERROR(INDEX('Weapons Database'!$C$2:$C$100,MATCH($AO88,'Weapons Database'!$A$2:$A$100,0))&amp;" "&amp;INDEX('Weapons Database'!$D$2:$D$100,MATCH($AO88,'Weapons Database'!$A$2:$A$100,0)),""))</x:f>
      </x:c>
      <x:c r="AX88" s="63"/>
    </x:row>
    <x:row r="89">
      <x:c r="A89" s="63"/>
      <x:c r="B89" s="63"/>
      <x:c r="C89" s="63"/>
      <x:c r="D89" s="63"/>
      <x:c r="E89" s="63"/>
      <x:c r="F89" s="63"/>
      <x:c r="G89" s="63"/>
      <x:c r="H89" s="63"/>
      <x:c r="I89" s="63"/>
      <x:c r="J89" s="63" t="str">
        <x:f>IF($B89="","",IF($AT89&lt;&gt;"",$AT89,$AU89))</x:f>
      </x:c>
      <x:c r="K89" s="63"/>
      <x:c r="L89" s="63"/>
      <x:c r="M89" s="63"/>
      <x:c r="N89" s="63"/>
      <x:c r="O89" s="63"/>
      <x:c r="P89" s="63"/>
      <x:c r="Q89" s="63"/>
      <x:c r="R89" s="63"/>
      <x:c r="S89" s="63"/>
      <x:c r="T89" s="63"/>
      <x:c r="U89" s="63"/>
      <x:c r="V89" s="63"/>
      <x:c r="W89" s="63"/>
      <x:c r="X89" s="63"/>
      <x:c r="Y89" s="63"/>
      <x:c r="Z89" s="63"/>
      <x:c r="AA89" s="63"/>
      <x:c r="AB89" s="63"/>
      <x:c r="AC89" s="63"/>
      <x:c r="AD89" s="63"/>
      <x:c r="AE89" s="63"/>
      <x:c r="AF89" s="63"/>
      <x:c r="AG89" s="63"/>
      <x:c r="AH89" s="63"/>
      <x:c r="AI89" s="63"/>
      <x:c r="AJ89" s="63"/>
      <x:c r="AK89" s="63"/>
      <x:c r="AL89" s="63"/>
      <x:c r="AM89" s="63"/>
      <x:c r="AN89" s="63"/>
      <x:c r="AO89" s="63"/>
      <x:c r="AP89" s="63"/>
      <x:c r="AQ89" s="63"/>
      <x:c r="AR89" s="63"/>
      <x:c r="AS89" s="137"/>
      <x:c r="AT89" s="137"/>
      <x:c r="AU89" s="63" t="str">
        <x:f>IF($B89="","",IF($AK89="",10+$W89,IFERROR(INDEX('Armor Database'!$D$2:$D$100,MATCH($AK89,'Armor Database'!$A$2:$A$100,0))+IF(INDEX('Armor Database'!$E$2:$E$100,MATCH($AK89,'Armor Database'!$A$2:$A$100,0))="Full",$W89,IF(INDEX('Armor Database'!$E$2:$E$100,MATCH($AK89,'Armor Database'!$A$2:$A$100,0))="Max 2",MIN($W89,2),0))+IF($AL89="Shield",2,0)+N($AS89),10+$W89+IF($AL89="Shield",2,0)+N($AS89))))</x:f>
      </x:c>
      <x:c r="AV89" s="63" t="str">
        <x:f>IF($AM89="","",IFERROR(INDEX('Weapons Database'!$C$2:$C$100,MATCH($AM89,'Weapons Database'!$A$2:$A$100,0))&amp;" "&amp;INDEX('Weapons Database'!$D$2:$D$100,MATCH($AM89,'Weapons Database'!$A$2:$A$100,0)),""))</x:f>
      </x:c>
      <x:c r="AW89" s="63" t="str">
        <x:f>IF($AO89="","",IFERROR(INDEX('Weapons Database'!$C$2:$C$100,MATCH($AO89,'Weapons Database'!$A$2:$A$100,0))&amp;" "&amp;INDEX('Weapons Database'!$D$2:$D$100,MATCH($AO89,'Weapons Database'!$A$2:$A$100,0)),""))</x:f>
      </x:c>
      <x:c r="AX89" s="63"/>
    </x:row>
    <x:row r="90">
      <x:c r="A90" s="63"/>
      <x:c r="B90" s="63"/>
      <x:c r="C90" s="63"/>
      <x:c r="D90" s="63"/>
      <x:c r="E90" s="63"/>
      <x:c r="F90" s="63"/>
      <x:c r="G90" s="63"/>
      <x:c r="H90" s="63"/>
      <x:c r="I90" s="63"/>
      <x:c r="J90" s="63" t="str">
        <x:f>IF($B90="","",IF($AT90&lt;&gt;"",$AT90,$AU90))</x:f>
      </x:c>
      <x:c r="K90" s="63"/>
      <x:c r="L90" s="63"/>
      <x:c r="M90" s="63"/>
      <x:c r="N90" s="63"/>
      <x:c r="O90" s="63"/>
      <x:c r="P90" s="63"/>
      <x:c r="Q90" s="63"/>
      <x:c r="R90" s="63"/>
      <x:c r="S90" s="63"/>
      <x:c r="T90" s="63"/>
      <x:c r="U90" s="63"/>
      <x:c r="V90" s="63"/>
      <x:c r="W90" s="63"/>
      <x:c r="X90" s="63"/>
      <x:c r="Y90" s="63"/>
      <x:c r="Z90" s="63"/>
      <x:c r="AA90" s="63"/>
      <x:c r="AB90" s="63"/>
      <x:c r="AC90" s="63"/>
      <x:c r="AD90" s="63"/>
      <x:c r="AE90" s="63"/>
      <x:c r="AF90" s="63"/>
      <x:c r="AG90" s="63"/>
      <x:c r="AH90" s="63"/>
      <x:c r="AI90" s="63"/>
      <x:c r="AJ90" s="63"/>
      <x:c r="AK90" s="63"/>
      <x:c r="AL90" s="63"/>
      <x:c r="AM90" s="63"/>
      <x:c r="AN90" s="63"/>
      <x:c r="AO90" s="63"/>
      <x:c r="AP90" s="63"/>
      <x:c r="AQ90" s="63"/>
      <x:c r="AR90" s="63"/>
      <x:c r="AS90" s="137"/>
      <x:c r="AT90" s="137"/>
      <x:c r="AU90" s="63" t="str">
        <x:f>IF($B90="","",IF($AK90="",10+$W90,IFERROR(INDEX('Armor Database'!$D$2:$D$100,MATCH($AK90,'Armor Database'!$A$2:$A$100,0))+IF(INDEX('Armor Database'!$E$2:$E$100,MATCH($AK90,'Armor Database'!$A$2:$A$100,0))="Full",$W90,IF(INDEX('Armor Database'!$E$2:$E$100,MATCH($AK90,'Armor Database'!$A$2:$A$100,0))="Max 2",MIN($W90,2),0))+IF($AL90="Shield",2,0)+N($AS90),10+$W90+IF($AL90="Shield",2,0)+N($AS90))))</x:f>
      </x:c>
      <x:c r="AV90" s="63" t="str">
        <x:f>IF($AM90="","",IFERROR(INDEX('Weapons Database'!$C$2:$C$100,MATCH($AM90,'Weapons Database'!$A$2:$A$100,0))&amp;" "&amp;INDEX('Weapons Database'!$D$2:$D$100,MATCH($AM90,'Weapons Database'!$A$2:$A$100,0)),""))</x:f>
      </x:c>
      <x:c r="AW90" s="63" t="str">
        <x:f>IF($AO90="","",IFERROR(INDEX('Weapons Database'!$C$2:$C$100,MATCH($AO90,'Weapons Database'!$A$2:$A$100,0))&amp;" "&amp;INDEX('Weapons Database'!$D$2:$D$100,MATCH($AO90,'Weapons Database'!$A$2:$A$100,0)),""))</x:f>
      </x:c>
      <x:c r="AX90" s="63"/>
    </x:row>
    <x:row r="91">
      <x:c r="A91" s="63"/>
      <x:c r="B91" s="63"/>
      <x:c r="C91" s="63"/>
      <x:c r="D91" s="63"/>
      <x:c r="E91" s="63"/>
      <x:c r="F91" s="63"/>
      <x:c r="G91" s="63"/>
      <x:c r="H91" s="63"/>
      <x:c r="I91" s="63"/>
      <x:c r="J91" s="63" t="str">
        <x:f>IF($B91="","",IF($AT91&lt;&gt;"",$AT91,$AU91))</x:f>
      </x:c>
      <x:c r="K91" s="63"/>
      <x:c r="L91" s="63"/>
      <x:c r="M91" s="63"/>
      <x:c r="N91" s="63"/>
      <x:c r="O91" s="63"/>
      <x:c r="P91" s="63"/>
      <x:c r="Q91" s="63"/>
      <x:c r="R91" s="63"/>
      <x:c r="S91" s="63"/>
      <x:c r="T91" s="63"/>
      <x:c r="U91" s="63"/>
      <x:c r="V91" s="63"/>
      <x:c r="W91" s="63"/>
      <x:c r="X91" s="63"/>
      <x:c r="Y91" s="63"/>
      <x:c r="Z91" s="63"/>
      <x:c r="AA91" s="63"/>
      <x:c r="AB91" s="63"/>
      <x:c r="AC91" s="63"/>
      <x:c r="AD91" s="63"/>
      <x:c r="AE91" s="63"/>
      <x:c r="AF91" s="63"/>
      <x:c r="AG91" s="63"/>
      <x:c r="AH91" s="63"/>
      <x:c r="AI91" s="63"/>
      <x:c r="AJ91" s="63"/>
      <x:c r="AK91" s="63"/>
      <x:c r="AL91" s="63"/>
      <x:c r="AM91" s="63"/>
      <x:c r="AN91" s="63"/>
      <x:c r="AO91" s="63"/>
      <x:c r="AP91" s="63"/>
      <x:c r="AQ91" s="63"/>
      <x:c r="AR91" s="63"/>
      <x:c r="AS91" s="137"/>
      <x:c r="AT91" s="137"/>
      <x:c r="AU91" s="63" t="str">
        <x:f>IF($B91="","",IF($AK91="",10+$W91,IFERROR(INDEX('Armor Database'!$D$2:$D$100,MATCH($AK91,'Armor Database'!$A$2:$A$100,0))+IF(INDEX('Armor Database'!$E$2:$E$100,MATCH($AK91,'Armor Database'!$A$2:$A$100,0))="Full",$W91,IF(INDEX('Armor Database'!$E$2:$E$100,MATCH($AK91,'Armor Database'!$A$2:$A$100,0))="Max 2",MIN($W91,2),0))+IF($AL91="Shield",2,0)+N($AS91),10+$W91+IF($AL91="Shield",2,0)+N($AS91))))</x:f>
      </x:c>
      <x:c r="AV91" s="63" t="str">
        <x:f>IF($AM91="","",IFERROR(INDEX('Weapons Database'!$C$2:$C$100,MATCH($AM91,'Weapons Database'!$A$2:$A$100,0))&amp;" "&amp;INDEX('Weapons Database'!$D$2:$D$100,MATCH($AM91,'Weapons Database'!$A$2:$A$100,0)),""))</x:f>
      </x:c>
      <x:c r="AW91" s="63" t="str">
        <x:f>IF($AO91="","",IFERROR(INDEX('Weapons Database'!$C$2:$C$100,MATCH($AO91,'Weapons Database'!$A$2:$A$100,0))&amp;" "&amp;INDEX('Weapons Database'!$D$2:$D$100,MATCH($AO91,'Weapons Database'!$A$2:$A$100,0)),""))</x:f>
      </x:c>
      <x:c r="AX91" s="63"/>
    </x:row>
    <x:row r="92">
      <x:c r="A92" s="63"/>
      <x:c r="B92" s="63"/>
      <x:c r="C92" s="63"/>
      <x:c r="D92" s="63"/>
      <x:c r="E92" s="63"/>
      <x:c r="F92" s="63"/>
      <x:c r="G92" s="63"/>
      <x:c r="H92" s="63"/>
      <x:c r="I92" s="63"/>
      <x:c r="J92" s="63" t="str">
        <x:f>IF($B92="","",IF($AT92&lt;&gt;"",$AT92,$AU92))</x:f>
      </x:c>
      <x:c r="K92" s="63"/>
      <x:c r="L92" s="63"/>
      <x:c r="M92" s="63"/>
      <x:c r="N92" s="63"/>
      <x:c r="O92" s="63"/>
      <x:c r="P92" s="63"/>
      <x:c r="Q92" s="63"/>
      <x:c r="R92" s="63"/>
      <x:c r="S92" s="63"/>
      <x:c r="T92" s="63"/>
      <x:c r="U92" s="63"/>
      <x:c r="V92" s="63"/>
      <x:c r="W92" s="63"/>
      <x:c r="X92" s="63"/>
      <x:c r="Y92" s="63"/>
      <x:c r="Z92" s="63"/>
      <x:c r="AA92" s="63"/>
      <x:c r="AB92" s="63"/>
      <x:c r="AC92" s="63"/>
      <x:c r="AD92" s="63"/>
      <x:c r="AE92" s="63"/>
      <x:c r="AF92" s="63"/>
      <x:c r="AG92" s="63"/>
      <x:c r="AH92" s="63"/>
      <x:c r="AI92" s="63"/>
      <x:c r="AJ92" s="63"/>
      <x:c r="AK92" s="63"/>
      <x:c r="AL92" s="63"/>
      <x:c r="AM92" s="63"/>
      <x:c r="AN92" s="63"/>
      <x:c r="AO92" s="63"/>
      <x:c r="AP92" s="63"/>
      <x:c r="AQ92" s="63"/>
      <x:c r="AR92" s="63"/>
      <x:c r="AS92" s="137"/>
      <x:c r="AT92" s="137"/>
      <x:c r="AU92" s="63" t="str">
        <x:f>IF($B92="","",IF($AK92="",10+$W92,IFERROR(INDEX('Armor Database'!$D$2:$D$100,MATCH($AK92,'Armor Database'!$A$2:$A$100,0))+IF(INDEX('Armor Database'!$E$2:$E$100,MATCH($AK92,'Armor Database'!$A$2:$A$100,0))="Full",$W92,IF(INDEX('Armor Database'!$E$2:$E$100,MATCH($AK92,'Armor Database'!$A$2:$A$100,0))="Max 2",MIN($W92,2),0))+IF($AL92="Shield",2,0)+N($AS92),10+$W92+IF($AL92="Shield",2,0)+N($AS92))))</x:f>
      </x:c>
      <x:c r="AV92" s="63" t="str">
        <x:f>IF($AM92="","",IFERROR(INDEX('Weapons Database'!$C$2:$C$100,MATCH($AM92,'Weapons Database'!$A$2:$A$100,0))&amp;" "&amp;INDEX('Weapons Database'!$D$2:$D$100,MATCH($AM92,'Weapons Database'!$A$2:$A$100,0)),""))</x:f>
      </x:c>
      <x:c r="AW92" s="63" t="str">
        <x:f>IF($AO92="","",IFERROR(INDEX('Weapons Database'!$C$2:$C$100,MATCH($AO92,'Weapons Database'!$A$2:$A$100,0))&amp;" "&amp;INDEX('Weapons Database'!$D$2:$D$100,MATCH($AO92,'Weapons Database'!$A$2:$A$100,0)),""))</x:f>
      </x:c>
      <x:c r="AX92" s="63"/>
    </x:row>
    <x:row r="93">
      <x:c r="A93" s="63"/>
      <x:c r="B93" s="63"/>
      <x:c r="C93" s="63"/>
      <x:c r="D93" s="63"/>
      <x:c r="E93" s="63"/>
      <x:c r="F93" s="63"/>
      <x:c r="G93" s="63"/>
      <x:c r="H93" s="63"/>
      <x:c r="I93" s="63"/>
      <x:c r="J93" s="63" t="str">
        <x:f>IF($B93="","",IF($AT93&lt;&gt;"",$AT93,$AU93))</x:f>
      </x:c>
      <x:c r="K93" s="63"/>
      <x:c r="L93" s="63"/>
      <x:c r="M93" s="63"/>
      <x:c r="N93" s="63"/>
      <x:c r="O93" s="63"/>
      <x:c r="P93" s="63"/>
      <x:c r="Q93" s="63"/>
      <x:c r="R93" s="63"/>
      <x:c r="S93" s="63"/>
      <x:c r="T93" s="63"/>
      <x:c r="U93" s="63"/>
      <x:c r="V93" s="63"/>
      <x:c r="W93" s="63"/>
      <x:c r="X93" s="63"/>
      <x:c r="Y93" s="63"/>
      <x:c r="Z93" s="63"/>
      <x:c r="AA93" s="63"/>
      <x:c r="AB93" s="63"/>
      <x:c r="AC93" s="63"/>
      <x:c r="AD93" s="63"/>
      <x:c r="AE93" s="63"/>
      <x:c r="AF93" s="63"/>
      <x:c r="AG93" s="63"/>
      <x:c r="AH93" s="63"/>
      <x:c r="AI93" s="63"/>
      <x:c r="AJ93" s="63"/>
      <x:c r="AK93" s="63"/>
      <x:c r="AL93" s="63"/>
      <x:c r="AM93" s="63"/>
      <x:c r="AN93" s="63"/>
      <x:c r="AO93" s="63"/>
      <x:c r="AP93" s="63"/>
      <x:c r="AQ93" s="63"/>
      <x:c r="AR93" s="63"/>
      <x:c r="AS93" s="137"/>
      <x:c r="AT93" s="137"/>
      <x:c r="AU93" s="63" t="str">
        <x:f>IF($B93="","",IF($AK93="",10+$W93,IFERROR(INDEX('Armor Database'!$D$2:$D$100,MATCH($AK93,'Armor Database'!$A$2:$A$100,0))+IF(INDEX('Armor Database'!$E$2:$E$100,MATCH($AK93,'Armor Database'!$A$2:$A$100,0))="Full",$W93,IF(INDEX('Armor Database'!$E$2:$E$100,MATCH($AK93,'Armor Database'!$A$2:$A$100,0))="Max 2",MIN($W93,2),0))+IF($AL93="Shield",2,0)+N($AS93),10+$W93+IF($AL93="Shield",2,0)+N($AS93))))</x:f>
      </x:c>
      <x:c r="AV93" s="63" t="str">
        <x:f>IF($AM93="","",IFERROR(INDEX('Weapons Database'!$C$2:$C$100,MATCH($AM93,'Weapons Database'!$A$2:$A$100,0))&amp;" "&amp;INDEX('Weapons Database'!$D$2:$D$100,MATCH($AM93,'Weapons Database'!$A$2:$A$100,0)),""))</x:f>
      </x:c>
      <x:c r="AW93" s="63" t="str">
        <x:f>IF($AO93="","",IFERROR(INDEX('Weapons Database'!$C$2:$C$100,MATCH($AO93,'Weapons Database'!$A$2:$A$100,0))&amp;" "&amp;INDEX('Weapons Database'!$D$2:$D$100,MATCH($AO93,'Weapons Database'!$A$2:$A$100,0)),""))</x:f>
      </x:c>
      <x:c r="AX93" s="63"/>
    </x:row>
    <x:row r="94">
      <x:c r="A94" s="63"/>
      <x:c r="B94" s="63"/>
      <x:c r="C94" s="63"/>
      <x:c r="D94" s="63"/>
      <x:c r="E94" s="63"/>
      <x:c r="F94" s="63"/>
      <x:c r="G94" s="63"/>
      <x:c r="H94" s="63"/>
      <x:c r="I94" s="63"/>
      <x:c r="J94" s="63" t="str">
        <x:f>IF($B94="","",IF($AT94&lt;&gt;"",$AT94,$AU94))</x:f>
      </x:c>
      <x:c r="K94" s="63"/>
      <x:c r="L94" s="63"/>
      <x:c r="M94" s="63"/>
      <x:c r="N94" s="63"/>
      <x:c r="O94" s="63"/>
      <x:c r="P94" s="63"/>
      <x:c r="Q94" s="63"/>
      <x:c r="R94" s="63"/>
      <x:c r="S94" s="63"/>
      <x:c r="T94" s="63"/>
      <x:c r="U94" s="63"/>
      <x:c r="V94" s="63"/>
      <x:c r="W94" s="63"/>
      <x:c r="X94" s="63"/>
      <x:c r="Y94" s="63"/>
      <x:c r="Z94" s="63"/>
      <x:c r="AA94" s="63"/>
      <x:c r="AB94" s="63"/>
      <x:c r="AC94" s="63"/>
      <x:c r="AD94" s="63"/>
      <x:c r="AE94" s="63"/>
      <x:c r="AF94" s="63"/>
      <x:c r="AG94" s="63"/>
      <x:c r="AH94" s="63"/>
      <x:c r="AI94" s="63"/>
      <x:c r="AJ94" s="63"/>
      <x:c r="AK94" s="63"/>
      <x:c r="AL94" s="63"/>
      <x:c r="AM94" s="63"/>
      <x:c r="AN94" s="63"/>
      <x:c r="AO94" s="63"/>
      <x:c r="AP94" s="63"/>
      <x:c r="AQ94" s="63"/>
      <x:c r="AR94" s="63"/>
      <x:c r="AS94" s="137"/>
      <x:c r="AT94" s="137"/>
      <x:c r="AU94" s="63" t="str">
        <x:f>IF($B94="","",IF($AK94="",10+$W94,IFERROR(INDEX('Armor Database'!$D$2:$D$100,MATCH($AK94,'Armor Database'!$A$2:$A$100,0))+IF(INDEX('Armor Database'!$E$2:$E$100,MATCH($AK94,'Armor Database'!$A$2:$A$100,0))="Full",$W94,IF(INDEX('Armor Database'!$E$2:$E$100,MATCH($AK94,'Armor Database'!$A$2:$A$100,0))="Max 2",MIN($W94,2),0))+IF($AL94="Shield",2,0)+N($AS94),10+$W94+IF($AL94="Shield",2,0)+N($AS94))))</x:f>
      </x:c>
      <x:c r="AV94" s="63" t="str">
        <x:f>IF($AM94="","",IFERROR(INDEX('Weapons Database'!$C$2:$C$100,MATCH($AM94,'Weapons Database'!$A$2:$A$100,0))&amp;" "&amp;INDEX('Weapons Database'!$D$2:$D$100,MATCH($AM94,'Weapons Database'!$A$2:$A$100,0)),""))</x:f>
      </x:c>
      <x:c r="AW94" s="63" t="str">
        <x:f>IF($AO94="","",IFERROR(INDEX('Weapons Database'!$C$2:$C$100,MATCH($AO94,'Weapons Database'!$A$2:$A$100,0))&amp;" "&amp;INDEX('Weapons Database'!$D$2:$D$100,MATCH($AO94,'Weapons Database'!$A$2:$A$100,0)),""))</x:f>
      </x:c>
      <x:c r="AX94" s="63"/>
    </x:row>
    <x:row r="95">
      <x:c r="A95" s="63"/>
      <x:c r="B95" s="63"/>
      <x:c r="C95" s="63"/>
      <x:c r="D95" s="63"/>
      <x:c r="E95" s="63"/>
      <x:c r="F95" s="63"/>
      <x:c r="G95" s="63"/>
      <x:c r="H95" s="63"/>
      <x:c r="I95" s="63"/>
      <x:c r="J95" s="63" t="str">
        <x:f>IF($B95="","",IF($AT95&lt;&gt;"",$AT95,$AU95))</x:f>
      </x:c>
      <x:c r="K95" s="63"/>
      <x:c r="L95" s="63"/>
      <x:c r="M95" s="63"/>
      <x:c r="N95" s="63"/>
      <x:c r="O95" s="63"/>
      <x:c r="P95" s="63"/>
      <x:c r="Q95" s="63"/>
      <x:c r="R95" s="63"/>
      <x:c r="S95" s="63"/>
      <x:c r="T95" s="63"/>
      <x:c r="U95" s="63"/>
      <x:c r="V95" s="63"/>
      <x:c r="W95" s="63"/>
      <x:c r="X95" s="63"/>
      <x:c r="Y95" s="63"/>
      <x:c r="Z95" s="63"/>
      <x:c r="AA95" s="63"/>
      <x:c r="AB95" s="63"/>
      <x:c r="AC95" s="63"/>
      <x:c r="AD95" s="63"/>
      <x:c r="AE95" s="63"/>
      <x:c r="AF95" s="63"/>
      <x:c r="AG95" s="63"/>
      <x:c r="AH95" s="63"/>
      <x:c r="AI95" s="63"/>
      <x:c r="AJ95" s="63"/>
      <x:c r="AK95" s="63"/>
      <x:c r="AL95" s="63"/>
      <x:c r="AM95" s="63"/>
      <x:c r="AN95" s="63"/>
      <x:c r="AO95" s="63"/>
      <x:c r="AP95" s="63"/>
      <x:c r="AQ95" s="63"/>
      <x:c r="AR95" s="63"/>
      <x:c r="AS95" s="137"/>
      <x:c r="AT95" s="137"/>
      <x:c r="AU95" s="63" t="str">
        <x:f>IF($B95="","",IF($AK95="",10+$W95,IFERROR(INDEX('Armor Database'!$D$2:$D$100,MATCH($AK95,'Armor Database'!$A$2:$A$100,0))+IF(INDEX('Armor Database'!$E$2:$E$100,MATCH($AK95,'Armor Database'!$A$2:$A$100,0))="Full",$W95,IF(INDEX('Armor Database'!$E$2:$E$100,MATCH($AK95,'Armor Database'!$A$2:$A$100,0))="Max 2",MIN($W95,2),0))+IF($AL95="Shield",2,0)+N($AS95),10+$W95+IF($AL95="Shield",2,0)+N($AS95))))</x:f>
      </x:c>
      <x:c r="AV95" s="63" t="str">
        <x:f>IF($AM95="","",IFERROR(INDEX('Weapons Database'!$C$2:$C$100,MATCH($AM95,'Weapons Database'!$A$2:$A$100,0))&amp;" "&amp;INDEX('Weapons Database'!$D$2:$D$100,MATCH($AM95,'Weapons Database'!$A$2:$A$100,0)),""))</x:f>
      </x:c>
      <x:c r="AW95" s="63" t="str">
        <x:f>IF($AO95="","",IFERROR(INDEX('Weapons Database'!$C$2:$C$100,MATCH($AO95,'Weapons Database'!$A$2:$A$100,0))&amp;" "&amp;INDEX('Weapons Database'!$D$2:$D$100,MATCH($AO95,'Weapons Database'!$A$2:$A$100,0)),""))</x:f>
      </x:c>
      <x:c r="AX95" s="63"/>
    </x:row>
    <x:row r="96">
      <x:c r="A96" s="63"/>
      <x:c r="B96" s="63"/>
      <x:c r="C96" s="63"/>
      <x:c r="D96" s="63"/>
      <x:c r="E96" s="63"/>
      <x:c r="F96" s="63"/>
      <x:c r="G96" s="63"/>
      <x:c r="H96" s="63"/>
      <x:c r="I96" s="63"/>
      <x:c r="J96" s="63" t="str">
        <x:f>IF($B96="","",IF($AT96&lt;&gt;"",$AT96,$AU96))</x:f>
      </x:c>
      <x:c r="K96" s="63"/>
      <x:c r="L96" s="63"/>
      <x:c r="M96" s="63"/>
      <x:c r="N96" s="63"/>
      <x:c r="O96" s="63"/>
      <x:c r="P96" s="63"/>
      <x:c r="Q96" s="63"/>
      <x:c r="R96" s="63"/>
      <x:c r="S96" s="63"/>
      <x:c r="T96" s="63"/>
      <x:c r="U96" s="63"/>
      <x:c r="V96" s="63"/>
      <x:c r="W96" s="63"/>
      <x:c r="X96" s="63"/>
      <x:c r="Y96" s="63"/>
      <x:c r="Z96" s="63"/>
      <x:c r="AA96" s="63"/>
      <x:c r="AB96" s="63"/>
      <x:c r="AC96" s="63"/>
      <x:c r="AD96" s="63"/>
      <x:c r="AE96" s="63"/>
      <x:c r="AF96" s="63"/>
      <x:c r="AG96" s="63"/>
      <x:c r="AH96" s="63"/>
      <x:c r="AI96" s="63"/>
      <x:c r="AJ96" s="63"/>
      <x:c r="AK96" s="63"/>
      <x:c r="AL96" s="63"/>
      <x:c r="AM96" s="63"/>
      <x:c r="AN96" s="63"/>
      <x:c r="AO96" s="63"/>
      <x:c r="AP96" s="63"/>
      <x:c r="AQ96" s="63"/>
      <x:c r="AR96" s="63"/>
      <x:c r="AS96" s="137"/>
      <x:c r="AT96" s="137"/>
      <x:c r="AU96" s="63" t="str">
        <x:f>IF($B96="","",IF($AK96="",10+$W96,IFERROR(INDEX('Armor Database'!$D$2:$D$100,MATCH($AK96,'Armor Database'!$A$2:$A$100,0))+IF(INDEX('Armor Database'!$E$2:$E$100,MATCH($AK96,'Armor Database'!$A$2:$A$100,0))="Full",$W96,IF(INDEX('Armor Database'!$E$2:$E$100,MATCH($AK96,'Armor Database'!$A$2:$A$100,0))="Max 2",MIN($W96,2),0))+IF($AL96="Shield",2,0)+N($AS96),10+$W96+IF($AL96="Shield",2,0)+N($AS96))))</x:f>
      </x:c>
      <x:c r="AV96" s="63" t="str">
        <x:f>IF($AM96="","",IFERROR(INDEX('Weapons Database'!$C$2:$C$100,MATCH($AM96,'Weapons Database'!$A$2:$A$100,0))&amp;" "&amp;INDEX('Weapons Database'!$D$2:$D$100,MATCH($AM96,'Weapons Database'!$A$2:$A$100,0)),""))</x:f>
      </x:c>
      <x:c r="AW96" s="63" t="str">
        <x:f>IF($AO96="","",IFERROR(INDEX('Weapons Database'!$C$2:$C$100,MATCH($AO96,'Weapons Database'!$A$2:$A$100,0))&amp;" "&amp;INDEX('Weapons Database'!$D$2:$D$100,MATCH($AO96,'Weapons Database'!$A$2:$A$100,0)),""))</x:f>
      </x:c>
      <x:c r="AX96" s="63"/>
    </x:row>
    <x:row r="97">
      <x:c r="A97" s="63"/>
      <x:c r="B97" s="63"/>
      <x:c r="C97" s="63"/>
      <x:c r="D97" s="63"/>
      <x:c r="E97" s="63"/>
      <x:c r="F97" s="63"/>
      <x:c r="G97" s="63"/>
      <x:c r="H97" s="63"/>
      <x:c r="I97" s="63"/>
      <x:c r="J97" s="63" t="str">
        <x:f>IF($B97="","",IF($AT97&lt;&gt;"",$AT97,$AU97))</x:f>
      </x:c>
      <x:c r="K97" s="63"/>
      <x:c r="L97" s="63"/>
      <x:c r="M97" s="63"/>
      <x:c r="N97" s="63"/>
      <x:c r="O97" s="63"/>
      <x:c r="P97" s="63"/>
      <x:c r="Q97" s="63"/>
      <x:c r="R97" s="63"/>
      <x:c r="S97" s="63"/>
      <x:c r="T97" s="63"/>
      <x:c r="U97" s="63"/>
      <x:c r="V97" s="63"/>
      <x:c r="W97" s="63"/>
      <x:c r="X97" s="63"/>
      <x:c r="Y97" s="63"/>
      <x:c r="Z97" s="63"/>
      <x:c r="AA97" s="63"/>
      <x:c r="AB97" s="63"/>
      <x:c r="AC97" s="63"/>
      <x:c r="AD97" s="63"/>
      <x:c r="AE97" s="63"/>
      <x:c r="AF97" s="63"/>
      <x:c r="AG97" s="63"/>
      <x:c r="AH97" s="63"/>
      <x:c r="AI97" s="63"/>
      <x:c r="AJ97" s="63"/>
      <x:c r="AK97" s="63"/>
      <x:c r="AL97" s="63"/>
      <x:c r="AM97" s="63"/>
      <x:c r="AN97" s="63"/>
      <x:c r="AO97" s="63"/>
      <x:c r="AP97" s="63"/>
      <x:c r="AQ97" s="63"/>
      <x:c r="AR97" s="63"/>
      <x:c r="AS97" s="137"/>
      <x:c r="AT97" s="137"/>
      <x:c r="AU97" s="63" t="str">
        <x:f>IF($B97="","",IF($AK97="",10+$W97,IFERROR(INDEX('Armor Database'!$D$2:$D$100,MATCH($AK97,'Armor Database'!$A$2:$A$100,0))+IF(INDEX('Armor Database'!$E$2:$E$100,MATCH($AK97,'Armor Database'!$A$2:$A$100,0))="Full",$W97,IF(INDEX('Armor Database'!$E$2:$E$100,MATCH($AK97,'Armor Database'!$A$2:$A$100,0))="Max 2",MIN($W97,2),0))+IF($AL97="Shield",2,0)+N($AS97),10+$W97+IF($AL97="Shield",2,0)+N($AS97))))</x:f>
      </x:c>
      <x:c r="AV97" s="63" t="str">
        <x:f>IF($AM97="","",IFERROR(INDEX('Weapons Database'!$C$2:$C$100,MATCH($AM97,'Weapons Database'!$A$2:$A$100,0))&amp;" "&amp;INDEX('Weapons Database'!$D$2:$D$100,MATCH($AM97,'Weapons Database'!$A$2:$A$100,0)),""))</x:f>
      </x:c>
      <x:c r="AW97" s="63" t="str">
        <x:f>IF($AO97="","",IFERROR(INDEX('Weapons Database'!$C$2:$C$100,MATCH($AO97,'Weapons Database'!$A$2:$A$100,0))&amp;" "&amp;INDEX('Weapons Database'!$D$2:$D$100,MATCH($AO97,'Weapons Database'!$A$2:$A$100,0)),""))</x:f>
      </x:c>
      <x:c r="AX97" s="63"/>
    </x:row>
    <x:row r="98">
      <x:c r="A98" s="63"/>
      <x:c r="B98" s="63"/>
      <x:c r="C98" s="63"/>
      <x:c r="D98" s="63"/>
      <x:c r="E98" s="63"/>
      <x:c r="F98" s="63"/>
      <x:c r="G98" s="63"/>
      <x:c r="H98" s="63"/>
      <x:c r="I98" s="63"/>
      <x:c r="J98" s="63" t="str">
        <x:f>IF($B98="","",IF($AT98&lt;&gt;"",$AT98,$AU98))</x:f>
      </x:c>
      <x:c r="K98" s="63"/>
      <x:c r="L98" s="63"/>
      <x:c r="M98" s="63"/>
      <x:c r="N98" s="63"/>
      <x:c r="O98" s="63"/>
      <x:c r="P98" s="63"/>
      <x:c r="Q98" s="63"/>
      <x:c r="R98" s="63"/>
      <x:c r="S98" s="63"/>
      <x:c r="T98" s="63"/>
      <x:c r="U98" s="63"/>
      <x:c r="V98" s="63"/>
      <x:c r="W98" s="63"/>
      <x:c r="X98" s="63"/>
      <x:c r="Y98" s="63"/>
      <x:c r="Z98" s="63"/>
      <x:c r="AA98" s="63"/>
      <x:c r="AB98" s="63"/>
      <x:c r="AC98" s="63"/>
      <x:c r="AD98" s="63"/>
      <x:c r="AE98" s="63"/>
      <x:c r="AF98" s="63"/>
      <x:c r="AG98" s="63"/>
      <x:c r="AH98" s="63"/>
      <x:c r="AI98" s="63"/>
      <x:c r="AJ98" s="63"/>
      <x:c r="AK98" s="63"/>
      <x:c r="AL98" s="63"/>
      <x:c r="AM98" s="63"/>
      <x:c r="AN98" s="63"/>
      <x:c r="AO98" s="63"/>
      <x:c r="AP98" s="63"/>
      <x:c r="AQ98" s="63"/>
      <x:c r="AR98" s="63"/>
      <x:c r="AS98" s="137"/>
      <x:c r="AT98" s="137"/>
      <x:c r="AU98" s="63" t="str">
        <x:f>IF($B98="","",IF($AK98="",10+$W98,IFERROR(INDEX('Armor Database'!$D$2:$D$100,MATCH($AK98,'Armor Database'!$A$2:$A$100,0))+IF(INDEX('Armor Database'!$E$2:$E$100,MATCH($AK98,'Armor Database'!$A$2:$A$100,0))="Full",$W98,IF(INDEX('Armor Database'!$E$2:$E$100,MATCH($AK98,'Armor Database'!$A$2:$A$100,0))="Max 2",MIN($W98,2),0))+IF($AL98="Shield",2,0)+N($AS98),10+$W98+IF($AL98="Shield",2,0)+N($AS98))))</x:f>
      </x:c>
      <x:c r="AV98" s="63" t="str">
        <x:f>IF($AM98="","",IFERROR(INDEX('Weapons Database'!$C$2:$C$100,MATCH($AM98,'Weapons Database'!$A$2:$A$100,0))&amp;" "&amp;INDEX('Weapons Database'!$D$2:$D$100,MATCH($AM98,'Weapons Database'!$A$2:$A$100,0)),""))</x:f>
      </x:c>
      <x:c r="AW98" s="63" t="str">
        <x:f>IF($AO98="","",IFERROR(INDEX('Weapons Database'!$C$2:$C$100,MATCH($AO98,'Weapons Database'!$A$2:$A$100,0))&amp;" "&amp;INDEX('Weapons Database'!$D$2:$D$100,MATCH($AO98,'Weapons Database'!$A$2:$A$100,0)),""))</x:f>
      </x:c>
      <x:c r="AX98" s="63"/>
    </x:row>
    <x:row r="99">
      <x:c r="A99" s="63"/>
      <x:c r="B99" s="63"/>
      <x:c r="C99" s="63"/>
      <x:c r="D99" s="63"/>
      <x:c r="E99" s="63"/>
      <x:c r="F99" s="63"/>
      <x:c r="G99" s="63"/>
      <x:c r="H99" s="63"/>
      <x:c r="I99" s="63"/>
      <x:c r="J99" s="63" t="str">
        <x:f>IF($B99="","",IF($AT99&lt;&gt;"",$AT99,$AU99))</x:f>
      </x:c>
      <x:c r="K99" s="63"/>
      <x:c r="L99" s="63"/>
      <x:c r="M99" s="63"/>
      <x:c r="N99" s="63"/>
      <x:c r="O99" s="63"/>
      <x:c r="P99" s="63"/>
      <x:c r="Q99" s="63"/>
      <x:c r="R99" s="63"/>
      <x:c r="S99" s="63"/>
      <x:c r="T99" s="63"/>
      <x:c r="U99" s="63"/>
      <x:c r="V99" s="63"/>
      <x:c r="W99" s="63"/>
      <x:c r="X99" s="63"/>
      <x:c r="Y99" s="63"/>
      <x:c r="Z99" s="63"/>
      <x:c r="AA99" s="63"/>
      <x:c r="AB99" s="63"/>
      <x:c r="AC99" s="63"/>
      <x:c r="AD99" s="63"/>
      <x:c r="AE99" s="63"/>
      <x:c r="AF99" s="63"/>
      <x:c r="AG99" s="63"/>
      <x:c r="AH99" s="63"/>
      <x:c r="AI99" s="63"/>
      <x:c r="AJ99" s="63"/>
      <x:c r="AK99" s="63"/>
      <x:c r="AL99" s="63"/>
      <x:c r="AM99" s="63"/>
      <x:c r="AN99" s="63"/>
      <x:c r="AO99" s="63"/>
      <x:c r="AP99" s="63"/>
      <x:c r="AQ99" s="63"/>
      <x:c r="AR99" s="63"/>
      <x:c r="AS99" s="137"/>
      <x:c r="AT99" s="137"/>
      <x:c r="AU99" s="63" t="str">
        <x:f>IF($B99="","",IF($AK99="",10+$W99,IFERROR(INDEX('Armor Database'!$D$2:$D$100,MATCH($AK99,'Armor Database'!$A$2:$A$100,0))+IF(INDEX('Armor Database'!$E$2:$E$100,MATCH($AK99,'Armor Database'!$A$2:$A$100,0))="Full",$W99,IF(INDEX('Armor Database'!$E$2:$E$100,MATCH($AK99,'Armor Database'!$A$2:$A$100,0))="Max 2",MIN($W99,2),0))+IF($AL99="Shield",2,0)+N($AS99),10+$W99+IF($AL99="Shield",2,0)+N($AS99))))</x:f>
      </x:c>
      <x:c r="AV99" s="63" t="str">
        <x:f>IF($AM99="","",IFERROR(INDEX('Weapons Database'!$C$2:$C$100,MATCH($AM99,'Weapons Database'!$A$2:$A$100,0))&amp;" "&amp;INDEX('Weapons Database'!$D$2:$D$100,MATCH($AM99,'Weapons Database'!$A$2:$A$100,0)),""))</x:f>
      </x:c>
      <x:c r="AW99" s="63" t="str">
        <x:f>IF($AO99="","",IFERROR(INDEX('Weapons Database'!$C$2:$C$100,MATCH($AO99,'Weapons Database'!$A$2:$A$100,0))&amp;" "&amp;INDEX('Weapons Database'!$D$2:$D$100,MATCH($AO99,'Weapons Database'!$A$2:$A$100,0)),""))</x:f>
      </x:c>
      <x:c r="AX99" s="63"/>
    </x:row>
    <x:row r="100">
      <x:c r="A100" s="63"/>
      <x:c r="B100" s="63"/>
      <x:c r="C100" s="63"/>
      <x:c r="D100" s="63"/>
      <x:c r="E100" s="63"/>
      <x:c r="F100" s="63"/>
      <x:c r="G100" s="63"/>
      <x:c r="H100" s="63"/>
      <x:c r="I100" s="63"/>
      <x:c r="J100" s="63" t="str">
        <x:f>IF($B100="","",IF($AT100&lt;&gt;"",$AT100,$AU100))</x:f>
      </x:c>
      <x:c r="K100" s="63"/>
      <x:c r="L100" s="63"/>
      <x:c r="M100" s="63"/>
      <x:c r="N100" s="63"/>
      <x:c r="O100" s="63"/>
      <x:c r="P100" s="63"/>
      <x:c r="Q100" s="63"/>
      <x:c r="R100" s="63"/>
      <x:c r="S100" s="63"/>
      <x:c r="T100" s="63"/>
      <x:c r="U100" s="63"/>
      <x:c r="V100" s="63"/>
      <x:c r="W100" s="63"/>
      <x:c r="X100" s="63"/>
      <x:c r="Y100" s="63"/>
      <x:c r="Z100" s="63"/>
      <x:c r="AA100" s="63"/>
      <x:c r="AB100" s="63"/>
      <x:c r="AC100" s="63"/>
      <x:c r="AD100" s="63"/>
      <x:c r="AE100" s="63"/>
      <x:c r="AF100" s="63"/>
      <x:c r="AG100" s="63"/>
      <x:c r="AH100" s="63"/>
      <x:c r="AI100" s="63"/>
      <x:c r="AJ100" s="63"/>
      <x:c r="AK100" s="63"/>
      <x:c r="AL100" s="63"/>
      <x:c r="AM100" s="63"/>
      <x:c r="AN100" s="63"/>
      <x:c r="AO100" s="63"/>
      <x:c r="AP100" s="63"/>
      <x:c r="AQ100" s="63"/>
      <x:c r="AR100" s="63"/>
      <x:c r="AS100" s="137"/>
      <x:c r="AT100" s="137"/>
      <x:c r="AU100" s="63" t="str">
        <x:f>IF($B100="","",IF($AK100="",10+$W100,IFERROR(INDEX('Armor Database'!$D$2:$D$100,MATCH($AK100,'Armor Database'!$A$2:$A$100,0))+IF(INDEX('Armor Database'!$E$2:$E$100,MATCH($AK100,'Armor Database'!$A$2:$A$100,0))="Full",$W100,IF(INDEX('Armor Database'!$E$2:$E$100,MATCH($AK100,'Armor Database'!$A$2:$A$100,0))="Max 2",MIN($W100,2),0))+IF($AL100="Shield",2,0)+N($AS100),10+$W100+IF($AL100="Shield",2,0)+N($AS100))))</x:f>
      </x:c>
      <x:c r="AV100" s="63" t="str">
        <x:f>IF($AM100="","",IFERROR(INDEX('Weapons Database'!$C$2:$C$100,MATCH($AM100,'Weapons Database'!$A$2:$A$100,0))&amp;" "&amp;INDEX('Weapons Database'!$D$2:$D$100,MATCH($AM100,'Weapons Database'!$A$2:$A$100,0)),""))</x:f>
      </x:c>
      <x:c r="AW100" s="63" t="str">
        <x:f>IF($AO100="","",IFERROR(INDEX('Weapons Database'!$C$2:$C$100,MATCH($AO100,'Weapons Database'!$A$2:$A$100,0))&amp;" "&amp;INDEX('Weapons Database'!$D$2:$D$100,MATCH($AO100,'Weapons Database'!$A$2:$A$100,0)),""))</x:f>
      </x:c>
      <x:c r="AX100" s="63"/>
    </x:row>
    <x:row r="101">
      <x:c r="A101" s="63"/>
      <x:c r="B101" s="63"/>
      <x:c r="C101" s="63"/>
      <x:c r="D101" s="63"/>
      <x:c r="E101" s="63"/>
      <x:c r="F101" s="63"/>
      <x:c r="G101" s="63"/>
      <x:c r="H101" s="63"/>
      <x:c r="I101" s="63"/>
      <x:c r="J101" s="63" t="str">
        <x:f>IF($B101="","",IF($AT101&lt;&gt;"",$AT101,$AU101))</x:f>
      </x:c>
      <x:c r="K101" s="63"/>
      <x:c r="L101" s="63"/>
      <x:c r="M101" s="63"/>
      <x:c r="N101" s="63"/>
      <x:c r="O101" s="63"/>
      <x:c r="P101" s="63"/>
      <x:c r="Q101" s="63"/>
      <x:c r="R101" s="63"/>
      <x:c r="S101" s="63"/>
      <x:c r="T101" s="63"/>
      <x:c r="U101" s="63"/>
      <x:c r="V101" s="63"/>
      <x:c r="W101" s="63"/>
      <x:c r="X101" s="63"/>
      <x:c r="Y101" s="63"/>
      <x:c r="Z101" s="63"/>
      <x:c r="AA101" s="63"/>
      <x:c r="AB101" s="63"/>
      <x:c r="AC101" s="63"/>
      <x:c r="AD101" s="63"/>
      <x:c r="AE101" s="63"/>
      <x:c r="AF101" s="63"/>
      <x:c r="AG101" s="63"/>
      <x:c r="AH101" s="63"/>
      <x:c r="AI101" s="63"/>
      <x:c r="AJ101" s="63"/>
      <x:c r="AK101" s="63"/>
      <x:c r="AL101" s="63"/>
      <x:c r="AM101" s="63"/>
      <x:c r="AN101" s="63"/>
      <x:c r="AO101" s="63"/>
      <x:c r="AP101" s="63"/>
      <x:c r="AQ101" s="63"/>
      <x:c r="AR101" s="63"/>
      <x:c r="AS101" s="137"/>
      <x:c r="AT101" s="137"/>
      <x:c r="AU101" s="63" t="str">
        <x:f>IF($B101="","",IF($AK101="",10+$W101,IFERROR(INDEX('Armor Database'!$D$2:$D$100,MATCH($AK101,'Armor Database'!$A$2:$A$100,0))+IF(INDEX('Armor Database'!$E$2:$E$100,MATCH($AK101,'Armor Database'!$A$2:$A$100,0))="Full",$W101,IF(INDEX('Armor Database'!$E$2:$E$100,MATCH($AK101,'Armor Database'!$A$2:$A$100,0))="Max 2",MIN($W101,2),0))+IF($AL101="Shield",2,0)+N($AS101),10+$W101+IF($AL101="Shield",2,0)+N($AS101))))</x:f>
      </x:c>
      <x:c r="AV101" s="63" t="str">
        <x:f>IF($AM101="","",IFERROR(INDEX('Weapons Database'!$C$2:$C$100,MATCH($AM101,'Weapons Database'!$A$2:$A$100,0))&amp;" "&amp;INDEX('Weapons Database'!$D$2:$D$100,MATCH($AM101,'Weapons Database'!$A$2:$A$100,0)),""))</x:f>
      </x:c>
      <x:c r="AW101" s="63" t="str">
        <x:f>IF($AO101="","",IFERROR(INDEX('Weapons Database'!$C$2:$C$100,MATCH($AO101,'Weapons Database'!$A$2:$A$100,0))&amp;" "&amp;INDEX('Weapons Database'!$D$2:$D$100,MATCH($AO101,'Weapons Database'!$A$2:$A$100,0)),""))</x:f>
      </x:c>
      <x:c r="AX101" s="63"/>
    </x:row>
    <x:row r="102">
      <x:c r="A102" s="63"/>
      <x:c r="B102" s="63"/>
      <x:c r="C102" s="63"/>
      <x:c r="D102" s="63"/>
      <x:c r="E102" s="63"/>
      <x:c r="F102" s="63"/>
      <x:c r="G102" s="63"/>
      <x:c r="H102" s="63"/>
      <x:c r="I102" s="63"/>
      <x:c r="J102" s="63" t="str">
        <x:f>IF($B102="","",IF($AT102&lt;&gt;"",$AT102,$AU102))</x:f>
      </x:c>
      <x:c r="K102" s="63"/>
      <x:c r="L102" s="63"/>
      <x:c r="M102" s="63"/>
      <x:c r="N102" s="63"/>
      <x:c r="O102" s="63"/>
      <x:c r="P102" s="63"/>
      <x:c r="Q102" s="63"/>
      <x:c r="R102" s="63"/>
      <x:c r="S102" s="63"/>
      <x:c r="T102" s="63"/>
      <x:c r="U102" s="63"/>
      <x:c r="V102" s="63"/>
      <x:c r="W102" s="63"/>
      <x:c r="X102" s="63"/>
      <x:c r="Y102" s="63"/>
      <x:c r="Z102" s="63"/>
      <x:c r="AA102" s="63"/>
      <x:c r="AB102" s="63"/>
      <x:c r="AC102" s="63"/>
      <x:c r="AD102" s="63"/>
      <x:c r="AE102" s="63"/>
      <x:c r="AF102" s="63"/>
      <x:c r="AG102" s="63"/>
      <x:c r="AH102" s="63"/>
      <x:c r="AI102" s="63"/>
      <x:c r="AJ102" s="63"/>
      <x:c r="AK102" s="63"/>
      <x:c r="AL102" s="63"/>
      <x:c r="AM102" s="63"/>
      <x:c r="AN102" s="63"/>
      <x:c r="AO102" s="63"/>
      <x:c r="AP102" s="63"/>
      <x:c r="AQ102" s="63"/>
      <x:c r="AR102" s="63"/>
      <x:c r="AS102" s="137"/>
      <x:c r="AT102" s="137"/>
      <x:c r="AU102" s="63" t="str">
        <x:f>IF($B102="","",IF($AK102="",10+$W102,IFERROR(INDEX('Armor Database'!$D$2:$D$100,MATCH($AK102,'Armor Database'!$A$2:$A$100,0))+IF(INDEX('Armor Database'!$E$2:$E$100,MATCH($AK102,'Armor Database'!$A$2:$A$100,0))="Full",$W102,IF(INDEX('Armor Database'!$E$2:$E$100,MATCH($AK102,'Armor Database'!$A$2:$A$100,0))="Max 2",MIN($W102,2),0))+IF($AL102="Shield",2,0)+N($AS102),10+$W102+IF($AL102="Shield",2,0)+N($AS102))))</x:f>
      </x:c>
      <x:c r="AV102" s="63" t="str">
        <x:f>IF($AM102="","",IFERROR(INDEX('Weapons Database'!$C$2:$C$100,MATCH($AM102,'Weapons Database'!$A$2:$A$100,0))&amp;" "&amp;INDEX('Weapons Database'!$D$2:$D$100,MATCH($AM102,'Weapons Database'!$A$2:$A$100,0)),""))</x:f>
      </x:c>
      <x:c r="AW102" s="63" t="str">
        <x:f>IF($AO102="","",IFERROR(INDEX('Weapons Database'!$C$2:$C$100,MATCH($AO102,'Weapons Database'!$A$2:$A$100,0))&amp;" "&amp;INDEX('Weapons Database'!$D$2:$D$100,MATCH($AO102,'Weapons Database'!$A$2:$A$100,0)),""))</x:f>
      </x:c>
      <x:c r="AX102" s="63"/>
    </x:row>
    <x:row r="103">
      <x:c r="A103" s="63"/>
      <x:c r="B103" s="63"/>
      <x:c r="C103" s="63"/>
      <x:c r="D103" s="63"/>
      <x:c r="E103" s="63"/>
      <x:c r="F103" s="63"/>
      <x:c r="G103" s="63"/>
      <x:c r="H103" s="63"/>
      <x:c r="I103" s="63"/>
      <x:c r="J103" s="63" t="str">
        <x:f>IF($B103="","",IF($AT103&lt;&gt;"",$AT103,$AU103))</x:f>
      </x:c>
      <x:c r="K103" s="63"/>
      <x:c r="L103" s="63"/>
      <x:c r="M103" s="63"/>
      <x:c r="N103" s="63"/>
      <x:c r="O103" s="63"/>
      <x:c r="P103" s="63"/>
      <x:c r="Q103" s="63"/>
      <x:c r="R103" s="63"/>
      <x:c r="S103" s="63"/>
      <x:c r="T103" s="63"/>
      <x:c r="U103" s="63"/>
      <x:c r="V103" s="63"/>
      <x:c r="W103" s="63"/>
      <x:c r="X103" s="63"/>
      <x:c r="Y103" s="63"/>
      <x:c r="Z103" s="63"/>
      <x:c r="AA103" s="63"/>
      <x:c r="AB103" s="63"/>
      <x:c r="AC103" s="63"/>
      <x:c r="AD103" s="63"/>
      <x:c r="AE103" s="63"/>
      <x:c r="AF103" s="63"/>
      <x:c r="AG103" s="63"/>
      <x:c r="AH103" s="63"/>
      <x:c r="AI103" s="63"/>
      <x:c r="AJ103" s="63"/>
      <x:c r="AK103" s="63"/>
      <x:c r="AL103" s="63"/>
      <x:c r="AM103" s="63"/>
      <x:c r="AN103" s="63"/>
      <x:c r="AO103" s="63"/>
      <x:c r="AP103" s="63"/>
      <x:c r="AQ103" s="63"/>
      <x:c r="AR103" s="63"/>
      <x:c r="AS103" s="137"/>
      <x:c r="AT103" s="137"/>
      <x:c r="AU103" s="63" t="str">
        <x:f>IF($B103="","",IF($AK103="",10+$W103,IFERROR(INDEX('Armor Database'!$D$2:$D$100,MATCH($AK103,'Armor Database'!$A$2:$A$100,0))+IF(INDEX('Armor Database'!$E$2:$E$100,MATCH($AK103,'Armor Database'!$A$2:$A$100,0))="Full",$W103,IF(INDEX('Armor Database'!$E$2:$E$100,MATCH($AK103,'Armor Database'!$A$2:$A$100,0))="Max 2",MIN($W103,2),0))+IF($AL103="Shield",2,0)+N($AS103),10+$W103+IF($AL103="Shield",2,0)+N($AS103))))</x:f>
      </x:c>
      <x:c r="AV103" s="63" t="str">
        <x:f>IF($AM103="","",IFERROR(INDEX('Weapons Database'!$C$2:$C$100,MATCH($AM103,'Weapons Database'!$A$2:$A$100,0))&amp;" "&amp;INDEX('Weapons Database'!$D$2:$D$100,MATCH($AM103,'Weapons Database'!$A$2:$A$100,0)),""))</x:f>
      </x:c>
      <x:c r="AW103" s="63" t="str">
        <x:f>IF($AO103="","",IFERROR(INDEX('Weapons Database'!$C$2:$C$100,MATCH($AO103,'Weapons Database'!$A$2:$A$100,0))&amp;" "&amp;INDEX('Weapons Database'!$D$2:$D$100,MATCH($AO103,'Weapons Database'!$A$2:$A$100,0)),""))</x:f>
      </x:c>
      <x:c r="AX103" s="63"/>
    </x:row>
    <x:row r="104">
      <x:c r="A104" s="63"/>
      <x:c r="B104" s="63"/>
      <x:c r="C104" s="63"/>
      <x:c r="D104" s="63"/>
      <x:c r="E104" s="63"/>
      <x:c r="F104" s="63"/>
      <x:c r="G104" s="63"/>
      <x:c r="H104" s="63"/>
      <x:c r="I104" s="63"/>
      <x:c r="J104" s="63" t="str">
        <x:f>IF($B104="","",IF($AT104&lt;&gt;"",$AT104,$AU104))</x:f>
      </x:c>
      <x:c r="K104" s="63"/>
      <x:c r="L104" s="63"/>
      <x:c r="M104" s="63"/>
      <x:c r="N104" s="63"/>
      <x:c r="O104" s="63"/>
      <x:c r="P104" s="63"/>
      <x:c r="Q104" s="63"/>
      <x:c r="R104" s="63"/>
      <x:c r="S104" s="63"/>
      <x:c r="T104" s="63"/>
      <x:c r="U104" s="63"/>
      <x:c r="V104" s="63"/>
      <x:c r="W104" s="63"/>
      <x:c r="X104" s="63"/>
      <x:c r="Y104" s="63"/>
      <x:c r="Z104" s="63"/>
      <x:c r="AA104" s="63"/>
      <x:c r="AB104" s="63"/>
      <x:c r="AC104" s="63"/>
      <x:c r="AD104" s="63"/>
      <x:c r="AE104" s="63"/>
      <x:c r="AF104" s="63"/>
      <x:c r="AG104" s="63"/>
      <x:c r="AH104" s="63"/>
      <x:c r="AI104" s="63"/>
      <x:c r="AJ104" s="63"/>
      <x:c r="AK104" s="63"/>
      <x:c r="AL104" s="63"/>
      <x:c r="AM104" s="63"/>
      <x:c r="AN104" s="63"/>
      <x:c r="AO104" s="63"/>
      <x:c r="AP104" s="63"/>
      <x:c r="AQ104" s="63"/>
      <x:c r="AR104" s="63"/>
      <x:c r="AS104" s="137"/>
      <x:c r="AT104" s="137"/>
      <x:c r="AU104" s="63" t="str">
        <x:f>IF($B104="","",IF($AK104="",10+$W104,IFERROR(INDEX('Armor Database'!$D$2:$D$100,MATCH($AK104,'Armor Database'!$A$2:$A$100,0))+IF(INDEX('Armor Database'!$E$2:$E$100,MATCH($AK104,'Armor Database'!$A$2:$A$100,0))="Full",$W104,IF(INDEX('Armor Database'!$E$2:$E$100,MATCH($AK104,'Armor Database'!$A$2:$A$100,0))="Max 2",MIN($W104,2),0))+IF($AL104="Shield",2,0)+N($AS104),10+$W104+IF($AL104="Shield",2,0)+N($AS104))))</x:f>
      </x:c>
      <x:c r="AV104" s="63" t="str">
        <x:f>IF($AM104="","",IFERROR(INDEX('Weapons Database'!$C$2:$C$100,MATCH($AM104,'Weapons Database'!$A$2:$A$100,0))&amp;" "&amp;INDEX('Weapons Database'!$D$2:$D$100,MATCH($AM104,'Weapons Database'!$A$2:$A$100,0)),""))</x:f>
      </x:c>
      <x:c r="AW104" s="63" t="str">
        <x:f>IF($AO104="","",IFERROR(INDEX('Weapons Database'!$C$2:$C$100,MATCH($AO104,'Weapons Database'!$A$2:$A$100,0))&amp;" "&amp;INDEX('Weapons Database'!$D$2:$D$100,MATCH($AO104,'Weapons Database'!$A$2:$A$100,0)),""))</x:f>
      </x:c>
      <x:c r="AX104" s="63"/>
    </x:row>
    <x:row r="105">
      <x:c r="A105" s="63"/>
      <x:c r="B105" s="63"/>
      <x:c r="C105" s="63"/>
      <x:c r="D105" s="63"/>
      <x:c r="E105" s="63"/>
      <x:c r="F105" s="63"/>
      <x:c r="G105" s="63"/>
      <x:c r="H105" s="63"/>
      <x:c r="I105" s="63"/>
      <x:c r="J105" s="63" t="str">
        <x:f>IF($B105="","",IF($AT105&lt;&gt;"",$AT105,$AU105))</x:f>
      </x:c>
      <x:c r="K105" s="63"/>
      <x:c r="L105" s="63"/>
      <x:c r="M105" s="63"/>
      <x:c r="N105" s="63"/>
      <x:c r="O105" s="63"/>
      <x:c r="P105" s="63"/>
      <x:c r="Q105" s="63"/>
      <x:c r="R105" s="63"/>
      <x:c r="S105" s="63"/>
      <x:c r="T105" s="63"/>
      <x:c r="U105" s="63"/>
      <x:c r="V105" s="63"/>
      <x:c r="W105" s="63"/>
      <x:c r="X105" s="63"/>
      <x:c r="Y105" s="63"/>
      <x:c r="Z105" s="63"/>
      <x:c r="AA105" s="63"/>
      <x:c r="AB105" s="63"/>
      <x:c r="AC105" s="63"/>
      <x:c r="AD105" s="63"/>
      <x:c r="AE105" s="63"/>
      <x:c r="AF105" s="63"/>
      <x:c r="AG105" s="63"/>
      <x:c r="AH105" s="63"/>
      <x:c r="AI105" s="63"/>
      <x:c r="AJ105" s="63"/>
      <x:c r="AK105" s="63"/>
      <x:c r="AL105" s="63"/>
      <x:c r="AM105" s="63"/>
      <x:c r="AN105" s="63"/>
      <x:c r="AO105" s="63"/>
      <x:c r="AP105" s="63"/>
      <x:c r="AQ105" s="63"/>
      <x:c r="AR105" s="63"/>
      <x:c r="AS105" s="137"/>
      <x:c r="AT105" s="137"/>
      <x:c r="AU105" s="63" t="str">
        <x:f>IF($B105="","",IF($AK105="",10+$W105,IFERROR(INDEX('Armor Database'!$D$2:$D$100,MATCH($AK105,'Armor Database'!$A$2:$A$100,0))+IF(INDEX('Armor Database'!$E$2:$E$100,MATCH($AK105,'Armor Database'!$A$2:$A$100,0))="Full",$W105,IF(INDEX('Armor Database'!$E$2:$E$100,MATCH($AK105,'Armor Database'!$A$2:$A$100,0))="Max 2",MIN($W105,2),0))+IF($AL105="Shield",2,0)+N($AS105),10+$W105+IF($AL105="Shield",2,0)+N($AS105))))</x:f>
      </x:c>
      <x:c r="AV105" s="63" t="str">
        <x:f>IF($AM105="","",IFERROR(INDEX('Weapons Database'!$C$2:$C$100,MATCH($AM105,'Weapons Database'!$A$2:$A$100,0))&amp;" "&amp;INDEX('Weapons Database'!$D$2:$D$100,MATCH($AM105,'Weapons Database'!$A$2:$A$100,0)),""))</x:f>
      </x:c>
      <x:c r="AW105" s="63" t="str">
        <x:f>IF($AO105="","",IFERROR(INDEX('Weapons Database'!$C$2:$C$100,MATCH($AO105,'Weapons Database'!$A$2:$A$100,0))&amp;" "&amp;INDEX('Weapons Database'!$D$2:$D$100,MATCH($AO105,'Weapons Database'!$A$2:$A$100,0)),""))</x:f>
      </x:c>
      <x:c r="AX105" s="63"/>
    </x:row>
    <x:row r="106">
      <x:c r="A106" s="63"/>
      <x:c r="B106" s="63"/>
      <x:c r="C106" s="63"/>
      <x:c r="D106" s="63"/>
      <x:c r="E106" s="63"/>
      <x:c r="F106" s="63"/>
      <x:c r="G106" s="63"/>
      <x:c r="H106" s="63"/>
      <x:c r="I106" s="63"/>
      <x:c r="J106" s="63" t="str">
        <x:f>IF($B106="","",IF($AT106&lt;&gt;"",$AT106,$AU106))</x:f>
      </x:c>
      <x:c r="K106" s="63"/>
      <x:c r="L106" s="63"/>
      <x:c r="M106" s="63"/>
      <x:c r="N106" s="63"/>
      <x:c r="O106" s="63"/>
      <x:c r="P106" s="63"/>
      <x:c r="Q106" s="63"/>
      <x:c r="R106" s="63"/>
      <x:c r="S106" s="63"/>
      <x:c r="T106" s="63"/>
      <x:c r="U106" s="63"/>
      <x:c r="V106" s="63"/>
      <x:c r="W106" s="63"/>
      <x:c r="X106" s="63"/>
      <x:c r="Y106" s="63"/>
      <x:c r="Z106" s="63"/>
      <x:c r="AA106" s="63"/>
      <x:c r="AB106" s="63"/>
      <x:c r="AC106" s="63"/>
      <x:c r="AD106" s="63"/>
      <x:c r="AE106" s="63"/>
      <x:c r="AF106" s="63"/>
      <x:c r="AG106" s="63"/>
      <x:c r="AH106" s="63"/>
      <x:c r="AI106" s="63"/>
      <x:c r="AJ106" s="63"/>
      <x:c r="AK106" s="63"/>
      <x:c r="AL106" s="63"/>
      <x:c r="AM106" s="63"/>
      <x:c r="AN106" s="63"/>
      <x:c r="AO106" s="63"/>
      <x:c r="AP106" s="63"/>
      <x:c r="AQ106" s="63"/>
      <x:c r="AR106" s="63"/>
      <x:c r="AS106" s="137"/>
      <x:c r="AT106" s="137"/>
      <x:c r="AU106" s="63" t="str">
        <x:f>IF($B106="","",IF($AK106="",10+$W106,IFERROR(INDEX('Armor Database'!$D$2:$D$100,MATCH($AK106,'Armor Database'!$A$2:$A$100,0))+IF(INDEX('Armor Database'!$E$2:$E$100,MATCH($AK106,'Armor Database'!$A$2:$A$100,0))="Full",$W106,IF(INDEX('Armor Database'!$E$2:$E$100,MATCH($AK106,'Armor Database'!$A$2:$A$100,0))="Max 2",MIN($W106,2),0))+IF($AL106="Shield",2,0)+N($AS106),10+$W106+IF($AL106="Shield",2,0)+N($AS106))))</x:f>
      </x:c>
      <x:c r="AV106" s="63" t="str">
        <x:f>IF($AM106="","",IFERROR(INDEX('Weapons Database'!$C$2:$C$100,MATCH($AM106,'Weapons Database'!$A$2:$A$100,0))&amp;" "&amp;INDEX('Weapons Database'!$D$2:$D$100,MATCH($AM106,'Weapons Database'!$A$2:$A$100,0)),""))</x:f>
      </x:c>
      <x:c r="AW106" s="63" t="str">
        <x:f>IF($AO106="","",IFERROR(INDEX('Weapons Database'!$C$2:$C$100,MATCH($AO106,'Weapons Database'!$A$2:$A$100,0))&amp;" "&amp;INDEX('Weapons Database'!$D$2:$D$100,MATCH($AO106,'Weapons Database'!$A$2:$A$100,0)),""))</x:f>
      </x:c>
      <x:c r="AX106" s="63"/>
    </x:row>
    <x:row r="107">
      <x:c r="A107" s="63"/>
      <x:c r="B107" s="63"/>
      <x:c r="C107" s="63"/>
      <x:c r="D107" s="63"/>
      <x:c r="E107" s="63"/>
      <x:c r="F107" s="63"/>
      <x:c r="G107" s="63"/>
      <x:c r="H107" s="63"/>
      <x:c r="I107" s="63"/>
      <x:c r="J107" s="63" t="str">
        <x:f>IF($B107="","",IF($AT107&lt;&gt;"",$AT107,$AU107))</x:f>
      </x:c>
      <x:c r="K107" s="63"/>
      <x:c r="L107" s="63"/>
      <x:c r="M107" s="63"/>
      <x:c r="N107" s="63"/>
      <x:c r="O107" s="63"/>
      <x:c r="P107" s="63"/>
      <x:c r="Q107" s="63"/>
      <x:c r="R107" s="63"/>
      <x:c r="S107" s="63"/>
      <x:c r="T107" s="63"/>
      <x:c r="U107" s="63"/>
      <x:c r="V107" s="63"/>
      <x:c r="W107" s="63"/>
      <x:c r="X107" s="63"/>
      <x:c r="Y107" s="63"/>
      <x:c r="Z107" s="63"/>
      <x:c r="AA107" s="63"/>
      <x:c r="AB107" s="63"/>
      <x:c r="AC107" s="63"/>
      <x:c r="AD107" s="63"/>
      <x:c r="AE107" s="63"/>
      <x:c r="AF107" s="63"/>
      <x:c r="AG107" s="63"/>
      <x:c r="AH107" s="63"/>
      <x:c r="AI107" s="63"/>
      <x:c r="AJ107" s="63"/>
      <x:c r="AK107" s="63"/>
      <x:c r="AL107" s="63"/>
      <x:c r="AM107" s="63"/>
      <x:c r="AN107" s="63"/>
      <x:c r="AO107" s="63"/>
      <x:c r="AP107" s="63"/>
      <x:c r="AQ107" s="63"/>
      <x:c r="AR107" s="63"/>
      <x:c r="AS107" s="137"/>
      <x:c r="AT107" s="137"/>
      <x:c r="AU107" s="63" t="str">
        <x:f>IF($B107="","",IF($AK107="",10+$W107,IFERROR(INDEX('Armor Database'!$D$2:$D$100,MATCH($AK107,'Armor Database'!$A$2:$A$100,0))+IF(INDEX('Armor Database'!$E$2:$E$100,MATCH($AK107,'Armor Database'!$A$2:$A$100,0))="Full",$W107,IF(INDEX('Armor Database'!$E$2:$E$100,MATCH($AK107,'Armor Database'!$A$2:$A$100,0))="Max 2",MIN($W107,2),0))+IF($AL107="Shield",2,0)+N($AS107),10+$W107+IF($AL107="Shield",2,0)+N($AS107))))</x:f>
      </x:c>
      <x:c r="AV107" s="63" t="str">
        <x:f>IF($AM107="","",IFERROR(INDEX('Weapons Database'!$C$2:$C$100,MATCH($AM107,'Weapons Database'!$A$2:$A$100,0))&amp;" "&amp;INDEX('Weapons Database'!$D$2:$D$100,MATCH($AM107,'Weapons Database'!$A$2:$A$100,0)),""))</x:f>
      </x:c>
      <x:c r="AW107" s="63" t="str">
        <x:f>IF($AO107="","",IFERROR(INDEX('Weapons Database'!$C$2:$C$100,MATCH($AO107,'Weapons Database'!$A$2:$A$100,0))&amp;" "&amp;INDEX('Weapons Database'!$D$2:$D$100,MATCH($AO107,'Weapons Database'!$A$2:$A$100,0)),""))</x:f>
      </x:c>
      <x:c r="AX107" s="63"/>
    </x:row>
    <x:row r="108">
      <x:c r="A108" s="63"/>
      <x:c r="B108" s="63"/>
      <x:c r="C108" s="63"/>
      <x:c r="D108" s="63"/>
      <x:c r="E108" s="63"/>
      <x:c r="F108" s="63"/>
      <x:c r="G108" s="63"/>
      <x:c r="H108" s="63"/>
      <x:c r="I108" s="63"/>
      <x:c r="J108" s="63" t="str">
        <x:f>IF($B108="","",IF($AT108&lt;&gt;"",$AT108,$AU108))</x:f>
      </x:c>
      <x:c r="K108" s="63"/>
      <x:c r="L108" s="63"/>
      <x:c r="M108" s="63"/>
      <x:c r="N108" s="63"/>
      <x:c r="O108" s="63"/>
      <x:c r="P108" s="63"/>
      <x:c r="Q108" s="63"/>
      <x:c r="R108" s="63"/>
      <x:c r="S108" s="63"/>
      <x:c r="T108" s="63"/>
      <x:c r="U108" s="63"/>
      <x:c r="V108" s="63"/>
      <x:c r="W108" s="63"/>
      <x:c r="X108" s="63"/>
      <x:c r="Y108" s="63"/>
      <x:c r="Z108" s="63"/>
      <x:c r="AA108" s="63"/>
      <x:c r="AB108" s="63"/>
      <x:c r="AC108" s="63"/>
      <x:c r="AD108" s="63"/>
      <x:c r="AE108" s="63"/>
      <x:c r="AF108" s="63"/>
      <x:c r="AG108" s="63"/>
      <x:c r="AH108" s="63"/>
      <x:c r="AI108" s="63"/>
      <x:c r="AJ108" s="63"/>
      <x:c r="AK108" s="63"/>
      <x:c r="AL108" s="63"/>
      <x:c r="AM108" s="63"/>
      <x:c r="AN108" s="63"/>
      <x:c r="AO108" s="63"/>
      <x:c r="AP108" s="63"/>
      <x:c r="AQ108" s="63"/>
      <x:c r="AR108" s="63"/>
      <x:c r="AS108" s="137"/>
      <x:c r="AT108" s="137"/>
      <x:c r="AU108" s="63" t="str">
        <x:f>IF($B108="","",IF($AK108="",10+$W108,IFERROR(INDEX('Armor Database'!$D$2:$D$100,MATCH($AK108,'Armor Database'!$A$2:$A$100,0))+IF(INDEX('Armor Database'!$E$2:$E$100,MATCH($AK108,'Armor Database'!$A$2:$A$100,0))="Full",$W108,IF(INDEX('Armor Database'!$E$2:$E$100,MATCH($AK108,'Armor Database'!$A$2:$A$100,0))="Max 2",MIN($W108,2),0))+IF($AL108="Shield",2,0)+N($AS108),10+$W108+IF($AL108="Shield",2,0)+N($AS108))))</x:f>
      </x:c>
      <x:c r="AV108" s="63" t="str">
        <x:f>IF($AM108="","",IFERROR(INDEX('Weapons Database'!$C$2:$C$100,MATCH($AM108,'Weapons Database'!$A$2:$A$100,0))&amp;" "&amp;INDEX('Weapons Database'!$D$2:$D$100,MATCH($AM108,'Weapons Database'!$A$2:$A$100,0)),""))</x:f>
      </x:c>
      <x:c r="AW108" s="63" t="str">
        <x:f>IF($AO108="","",IFERROR(INDEX('Weapons Database'!$C$2:$C$100,MATCH($AO108,'Weapons Database'!$A$2:$A$100,0))&amp;" "&amp;INDEX('Weapons Database'!$D$2:$D$100,MATCH($AO108,'Weapons Database'!$A$2:$A$100,0)),""))</x:f>
      </x:c>
      <x:c r="AX108" s="63"/>
    </x:row>
    <x:row r="109">
      <x:c r="A109" s="63"/>
      <x:c r="B109" s="63"/>
      <x:c r="C109" s="63"/>
      <x:c r="D109" s="63"/>
      <x:c r="E109" s="63"/>
      <x:c r="F109" s="63"/>
      <x:c r="G109" s="63"/>
      <x:c r="H109" s="63"/>
      <x:c r="I109" s="63"/>
      <x:c r="J109" s="63" t="str">
        <x:f>IF($B109="","",IF($AT109&lt;&gt;"",$AT109,$AU109))</x:f>
      </x:c>
      <x:c r="K109" s="63"/>
      <x:c r="L109" s="63"/>
      <x:c r="M109" s="63"/>
      <x:c r="N109" s="63"/>
      <x:c r="O109" s="63"/>
      <x:c r="P109" s="63"/>
      <x:c r="Q109" s="63"/>
      <x:c r="R109" s="63"/>
      <x:c r="S109" s="63"/>
      <x:c r="T109" s="63"/>
      <x:c r="U109" s="63"/>
      <x:c r="V109" s="63"/>
      <x:c r="W109" s="63"/>
      <x:c r="X109" s="63"/>
      <x:c r="Y109" s="63"/>
      <x:c r="Z109" s="63"/>
      <x:c r="AA109" s="63"/>
      <x:c r="AB109" s="63"/>
      <x:c r="AC109" s="63"/>
      <x:c r="AD109" s="63"/>
      <x:c r="AE109" s="63"/>
      <x:c r="AF109" s="63"/>
      <x:c r="AG109" s="63"/>
      <x:c r="AH109" s="63"/>
      <x:c r="AI109" s="63"/>
      <x:c r="AJ109" s="63"/>
      <x:c r="AK109" s="63"/>
      <x:c r="AL109" s="63"/>
      <x:c r="AM109" s="63"/>
      <x:c r="AN109" s="63"/>
      <x:c r="AO109" s="63"/>
      <x:c r="AP109" s="63"/>
      <x:c r="AQ109" s="63"/>
      <x:c r="AR109" s="63"/>
      <x:c r="AS109" s="137"/>
      <x:c r="AT109" s="137"/>
      <x:c r="AU109" s="63" t="str">
        <x:f>IF($B109="","",IF($AK109="",10+$W109,IFERROR(INDEX('Armor Database'!$D$2:$D$100,MATCH($AK109,'Armor Database'!$A$2:$A$100,0))+IF(INDEX('Armor Database'!$E$2:$E$100,MATCH($AK109,'Armor Database'!$A$2:$A$100,0))="Full",$W109,IF(INDEX('Armor Database'!$E$2:$E$100,MATCH($AK109,'Armor Database'!$A$2:$A$100,0))="Max 2",MIN($W109,2),0))+IF($AL109="Shield",2,0)+N($AS109),10+$W109+IF($AL109="Shield",2,0)+N($AS109))))</x:f>
      </x:c>
      <x:c r="AV109" s="63" t="str">
        <x:f>IF($AM109="","",IFERROR(INDEX('Weapons Database'!$C$2:$C$100,MATCH($AM109,'Weapons Database'!$A$2:$A$100,0))&amp;" "&amp;INDEX('Weapons Database'!$D$2:$D$100,MATCH($AM109,'Weapons Database'!$A$2:$A$100,0)),""))</x:f>
      </x:c>
      <x:c r="AW109" s="63" t="str">
        <x:f>IF($AO109="","",IFERROR(INDEX('Weapons Database'!$C$2:$C$100,MATCH($AO109,'Weapons Database'!$A$2:$A$100,0))&amp;" "&amp;INDEX('Weapons Database'!$D$2:$D$100,MATCH($AO109,'Weapons Database'!$A$2:$A$100,0)),""))</x:f>
      </x:c>
      <x:c r="AX109" s="63"/>
    </x:row>
    <x:row r="110">
      <x:c r="A110" s="63"/>
      <x:c r="B110" s="63"/>
      <x:c r="C110" s="63"/>
      <x:c r="D110" s="63"/>
      <x:c r="E110" s="63"/>
      <x:c r="F110" s="63"/>
      <x:c r="G110" s="63"/>
      <x:c r="H110" s="63"/>
      <x:c r="I110" s="63"/>
      <x:c r="J110" s="63" t="str">
        <x:f>IF($B110="","",IF($AT110&lt;&gt;"",$AT110,$AU110))</x:f>
      </x:c>
      <x:c r="K110" s="63"/>
      <x:c r="L110" s="63"/>
      <x:c r="M110" s="63"/>
      <x:c r="N110" s="63"/>
      <x:c r="O110" s="63"/>
      <x:c r="P110" s="63"/>
      <x:c r="Q110" s="63"/>
      <x:c r="R110" s="63"/>
      <x:c r="S110" s="63"/>
      <x:c r="T110" s="63"/>
      <x:c r="U110" s="63"/>
      <x:c r="V110" s="63"/>
      <x:c r="W110" s="63"/>
      <x:c r="X110" s="63"/>
      <x:c r="Y110" s="63"/>
      <x:c r="Z110" s="63"/>
      <x:c r="AA110" s="63"/>
      <x:c r="AB110" s="63"/>
      <x:c r="AC110" s="63"/>
      <x:c r="AD110" s="63"/>
      <x:c r="AE110" s="63"/>
      <x:c r="AF110" s="63"/>
      <x:c r="AG110" s="63"/>
      <x:c r="AH110" s="63"/>
      <x:c r="AI110" s="63"/>
      <x:c r="AJ110" s="63"/>
      <x:c r="AK110" s="63"/>
      <x:c r="AL110" s="63"/>
      <x:c r="AM110" s="63"/>
      <x:c r="AN110" s="63"/>
      <x:c r="AO110" s="63"/>
      <x:c r="AP110" s="63"/>
      <x:c r="AQ110" s="63"/>
      <x:c r="AR110" s="63"/>
      <x:c r="AS110" s="137"/>
      <x:c r="AT110" s="137"/>
      <x:c r="AU110" s="63" t="str">
        <x:f>IF($B110="","",IF($AK110="",10+$W110,IFERROR(INDEX('Armor Database'!$D$2:$D$100,MATCH($AK110,'Armor Database'!$A$2:$A$100,0))+IF(INDEX('Armor Database'!$E$2:$E$100,MATCH($AK110,'Armor Database'!$A$2:$A$100,0))="Full",$W110,IF(INDEX('Armor Database'!$E$2:$E$100,MATCH($AK110,'Armor Database'!$A$2:$A$100,0))="Max 2",MIN($W110,2),0))+IF($AL110="Shield",2,0)+N($AS110),10+$W110+IF($AL110="Shield",2,0)+N($AS110))))</x:f>
      </x:c>
      <x:c r="AV110" s="63" t="str">
        <x:f>IF($AM110="","",IFERROR(INDEX('Weapons Database'!$C$2:$C$100,MATCH($AM110,'Weapons Database'!$A$2:$A$100,0))&amp;" "&amp;INDEX('Weapons Database'!$D$2:$D$100,MATCH($AM110,'Weapons Database'!$A$2:$A$100,0)),""))</x:f>
      </x:c>
      <x:c r="AW110" s="63" t="str">
        <x:f>IF($AO110="","",IFERROR(INDEX('Weapons Database'!$C$2:$C$100,MATCH($AO110,'Weapons Database'!$A$2:$A$100,0))&amp;" "&amp;INDEX('Weapons Database'!$D$2:$D$100,MATCH($AO110,'Weapons Database'!$A$2:$A$100,0)),""))</x:f>
      </x:c>
      <x:c r="AX110" s="63"/>
    </x:row>
    <x:row r="111">
      <x:c r="A111" s="63"/>
      <x:c r="B111" s="63"/>
      <x:c r="C111" s="63"/>
      <x:c r="D111" s="63"/>
      <x:c r="E111" s="63"/>
      <x:c r="F111" s="63"/>
      <x:c r="G111" s="63"/>
      <x:c r="H111" s="63"/>
      <x:c r="I111" s="63"/>
      <x:c r="J111" s="63" t="str">
        <x:f>IF($B111="","",IF($AT111&lt;&gt;"",$AT111,$AU111))</x:f>
      </x:c>
      <x:c r="K111" s="63"/>
      <x:c r="L111" s="63"/>
      <x:c r="M111" s="63"/>
      <x:c r="N111" s="63"/>
      <x:c r="O111" s="63"/>
      <x:c r="P111" s="63"/>
      <x:c r="Q111" s="63"/>
      <x:c r="R111" s="63"/>
      <x:c r="S111" s="63"/>
      <x:c r="T111" s="63"/>
      <x:c r="U111" s="63"/>
      <x:c r="V111" s="63"/>
      <x:c r="W111" s="63"/>
      <x:c r="X111" s="63"/>
      <x:c r="Y111" s="63"/>
      <x:c r="Z111" s="63"/>
      <x:c r="AA111" s="63"/>
      <x:c r="AB111" s="63"/>
      <x:c r="AC111" s="63"/>
      <x:c r="AD111" s="63"/>
      <x:c r="AE111" s="63"/>
      <x:c r="AF111" s="63"/>
      <x:c r="AG111" s="63"/>
      <x:c r="AH111" s="63"/>
      <x:c r="AI111" s="63"/>
      <x:c r="AJ111" s="63"/>
      <x:c r="AK111" s="63"/>
      <x:c r="AL111" s="63"/>
      <x:c r="AM111" s="63"/>
      <x:c r="AN111" s="63"/>
      <x:c r="AO111" s="63"/>
      <x:c r="AP111" s="63"/>
      <x:c r="AQ111" s="63"/>
      <x:c r="AR111" s="63"/>
      <x:c r="AS111" s="137"/>
      <x:c r="AT111" s="137"/>
      <x:c r="AU111" s="63" t="str">
        <x:f>IF($B111="","",IF($AK111="",10+$W111,IFERROR(INDEX('Armor Database'!$D$2:$D$100,MATCH($AK111,'Armor Database'!$A$2:$A$100,0))+IF(INDEX('Armor Database'!$E$2:$E$100,MATCH($AK111,'Armor Database'!$A$2:$A$100,0))="Full",$W111,IF(INDEX('Armor Database'!$E$2:$E$100,MATCH($AK111,'Armor Database'!$A$2:$A$100,0))="Max 2",MIN($W111,2),0))+IF($AL111="Shield",2,0)+N($AS111),10+$W111+IF($AL111="Shield",2,0)+N($AS111))))</x:f>
      </x:c>
      <x:c r="AV111" s="63" t="str">
        <x:f>IF($AM111="","",IFERROR(INDEX('Weapons Database'!$C$2:$C$100,MATCH($AM111,'Weapons Database'!$A$2:$A$100,0))&amp;" "&amp;INDEX('Weapons Database'!$D$2:$D$100,MATCH($AM111,'Weapons Database'!$A$2:$A$100,0)),""))</x:f>
      </x:c>
      <x:c r="AW111" s="63" t="str">
        <x:f>IF($AO111="","",IFERROR(INDEX('Weapons Database'!$C$2:$C$100,MATCH($AO111,'Weapons Database'!$A$2:$A$100,0))&amp;" "&amp;INDEX('Weapons Database'!$D$2:$D$100,MATCH($AO111,'Weapons Database'!$A$2:$A$100,0)),""))</x:f>
      </x:c>
      <x:c r="AX111" s="63"/>
    </x:row>
    <x:row r="112">
      <x:c r="A112" s="63"/>
      <x:c r="B112" s="63"/>
      <x:c r="C112" s="63"/>
      <x:c r="D112" s="63"/>
      <x:c r="E112" s="63"/>
      <x:c r="F112" s="63"/>
      <x:c r="G112" s="63"/>
      <x:c r="H112" s="63"/>
      <x:c r="I112" s="63"/>
      <x:c r="J112" s="63" t="str">
        <x:f>IF($B112="","",IF($AT112&lt;&gt;"",$AT112,$AU112))</x:f>
      </x:c>
      <x:c r="K112" s="63"/>
      <x:c r="L112" s="63"/>
      <x:c r="M112" s="63"/>
      <x:c r="N112" s="63"/>
      <x:c r="O112" s="63"/>
      <x:c r="P112" s="63"/>
      <x:c r="Q112" s="63"/>
      <x:c r="R112" s="63"/>
      <x:c r="S112" s="63"/>
      <x:c r="T112" s="63"/>
      <x:c r="U112" s="63"/>
      <x:c r="V112" s="63"/>
      <x:c r="W112" s="63"/>
      <x:c r="X112" s="63"/>
      <x:c r="Y112" s="63"/>
      <x:c r="Z112" s="63"/>
      <x:c r="AA112" s="63"/>
      <x:c r="AB112" s="63"/>
      <x:c r="AC112" s="63"/>
      <x:c r="AD112" s="63"/>
      <x:c r="AE112" s="63"/>
      <x:c r="AF112" s="63"/>
      <x:c r="AG112" s="63"/>
      <x:c r="AH112" s="63"/>
      <x:c r="AI112" s="63"/>
      <x:c r="AJ112" s="63"/>
      <x:c r="AK112" s="63"/>
      <x:c r="AL112" s="63"/>
      <x:c r="AM112" s="63"/>
      <x:c r="AN112" s="63"/>
      <x:c r="AO112" s="63"/>
      <x:c r="AP112" s="63"/>
      <x:c r="AQ112" s="63"/>
      <x:c r="AR112" s="63"/>
      <x:c r="AS112" s="137"/>
      <x:c r="AT112" s="137"/>
      <x:c r="AU112" s="63" t="str">
        <x:f>IF($B112="","",IF($AK112="",10+$W112,IFERROR(INDEX('Armor Database'!$D$2:$D$100,MATCH($AK112,'Armor Database'!$A$2:$A$100,0))+IF(INDEX('Armor Database'!$E$2:$E$100,MATCH($AK112,'Armor Database'!$A$2:$A$100,0))="Full",$W112,IF(INDEX('Armor Database'!$E$2:$E$100,MATCH($AK112,'Armor Database'!$A$2:$A$100,0))="Max 2",MIN($W112,2),0))+IF($AL112="Shield",2,0)+N($AS112),10+$W112+IF($AL112="Shield",2,0)+N($AS112))))</x:f>
      </x:c>
      <x:c r="AV112" s="63" t="str">
        <x:f>IF($AM112="","",IFERROR(INDEX('Weapons Database'!$C$2:$C$100,MATCH($AM112,'Weapons Database'!$A$2:$A$100,0))&amp;" "&amp;INDEX('Weapons Database'!$D$2:$D$100,MATCH($AM112,'Weapons Database'!$A$2:$A$100,0)),""))</x:f>
      </x:c>
      <x:c r="AW112" s="63" t="str">
        <x:f>IF($AO112="","",IFERROR(INDEX('Weapons Database'!$C$2:$C$100,MATCH($AO112,'Weapons Database'!$A$2:$A$100,0))&amp;" "&amp;INDEX('Weapons Database'!$D$2:$D$100,MATCH($AO112,'Weapons Database'!$A$2:$A$100,0)),""))</x:f>
      </x:c>
      <x:c r="AX112" s="63"/>
    </x:row>
    <x:row r="113">
      <x:c r="A113" s="63"/>
      <x:c r="B113" s="63"/>
      <x:c r="C113" s="63"/>
      <x:c r="D113" s="63"/>
      <x:c r="E113" s="63"/>
      <x:c r="F113" s="63"/>
      <x:c r="G113" s="63"/>
      <x:c r="H113" s="63"/>
      <x:c r="I113" s="63"/>
      <x:c r="J113" s="63" t="str">
        <x:f>IF($B113="","",IF($AT113&lt;&gt;"",$AT113,$AU113))</x:f>
      </x:c>
      <x:c r="K113" s="63"/>
      <x:c r="L113" s="63"/>
      <x:c r="M113" s="63"/>
      <x:c r="N113" s="63"/>
      <x:c r="O113" s="63"/>
      <x:c r="P113" s="63"/>
      <x:c r="Q113" s="63"/>
      <x:c r="R113" s="63"/>
      <x:c r="S113" s="63"/>
      <x:c r="T113" s="63"/>
      <x:c r="U113" s="63"/>
      <x:c r="V113" s="63"/>
      <x:c r="W113" s="63"/>
      <x:c r="X113" s="63"/>
      <x:c r="Y113" s="63"/>
      <x:c r="Z113" s="63"/>
      <x:c r="AA113" s="63"/>
      <x:c r="AB113" s="63"/>
      <x:c r="AC113" s="63"/>
      <x:c r="AD113" s="63"/>
      <x:c r="AE113" s="63"/>
      <x:c r="AF113" s="63"/>
      <x:c r="AG113" s="63"/>
      <x:c r="AH113" s="63"/>
      <x:c r="AI113" s="63"/>
      <x:c r="AJ113" s="63"/>
      <x:c r="AK113" s="63"/>
      <x:c r="AL113" s="63"/>
      <x:c r="AM113" s="63"/>
      <x:c r="AN113" s="63"/>
      <x:c r="AO113" s="63"/>
      <x:c r="AP113" s="63"/>
      <x:c r="AQ113" s="63"/>
      <x:c r="AR113" s="63"/>
      <x:c r="AS113" s="137"/>
      <x:c r="AT113" s="137"/>
      <x:c r="AU113" s="63" t="str">
        <x:f>IF($B113="","",IF($AK113="",10+$W113,IFERROR(INDEX('Armor Database'!$D$2:$D$100,MATCH($AK113,'Armor Database'!$A$2:$A$100,0))+IF(INDEX('Armor Database'!$E$2:$E$100,MATCH($AK113,'Armor Database'!$A$2:$A$100,0))="Full",$W113,IF(INDEX('Armor Database'!$E$2:$E$100,MATCH($AK113,'Armor Database'!$A$2:$A$100,0))="Max 2",MIN($W113,2),0))+IF($AL113="Shield",2,0)+N($AS113),10+$W113+IF($AL113="Shield",2,0)+N($AS113))))</x:f>
      </x:c>
      <x:c r="AV113" s="63" t="str">
        <x:f>IF($AM113="","",IFERROR(INDEX('Weapons Database'!$C$2:$C$100,MATCH($AM113,'Weapons Database'!$A$2:$A$100,0))&amp;" "&amp;INDEX('Weapons Database'!$D$2:$D$100,MATCH($AM113,'Weapons Database'!$A$2:$A$100,0)),""))</x:f>
      </x:c>
      <x:c r="AW113" s="63" t="str">
        <x:f>IF($AO113="","",IFERROR(INDEX('Weapons Database'!$C$2:$C$100,MATCH($AO113,'Weapons Database'!$A$2:$A$100,0))&amp;" "&amp;INDEX('Weapons Database'!$D$2:$D$100,MATCH($AO113,'Weapons Database'!$A$2:$A$100,0)),""))</x:f>
      </x:c>
      <x:c r="AX113" s="63"/>
    </x:row>
    <x:row r="114">
      <x:c r="A114" s="63"/>
      <x:c r="B114" s="63"/>
      <x:c r="C114" s="63"/>
      <x:c r="D114" s="63"/>
      <x:c r="E114" s="63"/>
      <x:c r="F114" s="63"/>
      <x:c r="G114" s="63"/>
      <x:c r="H114" s="63"/>
      <x:c r="I114" s="63"/>
      <x:c r="J114" s="63" t="str">
        <x:f>IF($B114="","",IF($AT114&lt;&gt;"",$AT114,$AU114))</x:f>
      </x:c>
      <x:c r="K114" s="63"/>
      <x:c r="L114" s="63"/>
      <x:c r="M114" s="63"/>
      <x:c r="N114" s="63"/>
      <x:c r="O114" s="63"/>
      <x:c r="P114" s="63"/>
      <x:c r="Q114" s="63"/>
      <x:c r="R114" s="63"/>
      <x:c r="S114" s="63"/>
      <x:c r="T114" s="63"/>
      <x:c r="U114" s="63"/>
      <x:c r="V114" s="63"/>
      <x:c r="W114" s="63"/>
      <x:c r="X114" s="63"/>
      <x:c r="Y114" s="63"/>
      <x:c r="Z114" s="63"/>
      <x:c r="AA114" s="63"/>
      <x:c r="AB114" s="63"/>
      <x:c r="AC114" s="63"/>
      <x:c r="AD114" s="63"/>
      <x:c r="AE114" s="63"/>
      <x:c r="AF114" s="63"/>
      <x:c r="AG114" s="63"/>
      <x:c r="AH114" s="63"/>
      <x:c r="AI114" s="63"/>
      <x:c r="AJ114" s="63"/>
      <x:c r="AK114" s="63"/>
      <x:c r="AL114" s="63"/>
      <x:c r="AM114" s="63"/>
      <x:c r="AN114" s="63"/>
      <x:c r="AO114" s="63"/>
      <x:c r="AP114" s="63"/>
      <x:c r="AQ114" s="63"/>
      <x:c r="AR114" s="63"/>
      <x:c r="AS114" s="137"/>
      <x:c r="AT114" s="137"/>
      <x:c r="AU114" s="63" t="str">
        <x:f>IF($B114="","",IF($AK114="",10+$W114,IFERROR(INDEX('Armor Database'!$D$2:$D$100,MATCH($AK114,'Armor Database'!$A$2:$A$100,0))+IF(INDEX('Armor Database'!$E$2:$E$100,MATCH($AK114,'Armor Database'!$A$2:$A$100,0))="Full",$W114,IF(INDEX('Armor Database'!$E$2:$E$100,MATCH($AK114,'Armor Database'!$A$2:$A$100,0))="Max 2",MIN($W114,2),0))+IF($AL114="Shield",2,0)+N($AS114),10+$W114+IF($AL114="Shield",2,0)+N($AS114))))</x:f>
      </x:c>
      <x:c r="AV114" s="63" t="str">
        <x:f>IF($AM114="","",IFERROR(INDEX('Weapons Database'!$C$2:$C$100,MATCH($AM114,'Weapons Database'!$A$2:$A$100,0))&amp;" "&amp;INDEX('Weapons Database'!$D$2:$D$100,MATCH($AM114,'Weapons Database'!$A$2:$A$100,0)),""))</x:f>
      </x:c>
      <x:c r="AW114" s="63" t="str">
        <x:f>IF($AO114="","",IFERROR(INDEX('Weapons Database'!$C$2:$C$100,MATCH($AO114,'Weapons Database'!$A$2:$A$100,0))&amp;" "&amp;INDEX('Weapons Database'!$D$2:$D$100,MATCH($AO114,'Weapons Database'!$A$2:$A$100,0)),""))</x:f>
      </x:c>
      <x:c r="AX114" s="63"/>
    </x:row>
    <x:row r="115">
      <x:c r="A115" s="63"/>
      <x:c r="B115" s="63"/>
      <x:c r="C115" s="63"/>
      <x:c r="D115" s="63"/>
      <x:c r="E115" s="63"/>
      <x:c r="F115" s="63"/>
      <x:c r="G115" s="63"/>
      <x:c r="H115" s="63"/>
      <x:c r="I115" s="63"/>
      <x:c r="J115" s="63" t="str">
        <x:f>IF($B115="","",IF($AT115&lt;&gt;"",$AT115,$AU115))</x:f>
      </x:c>
      <x:c r="K115" s="63"/>
      <x:c r="L115" s="63"/>
      <x:c r="M115" s="63"/>
      <x:c r="N115" s="63"/>
      <x:c r="O115" s="63"/>
      <x:c r="P115" s="63"/>
      <x:c r="Q115" s="63"/>
      <x:c r="R115" s="63"/>
      <x:c r="S115" s="63"/>
      <x:c r="T115" s="63"/>
      <x:c r="U115" s="63"/>
      <x:c r="V115" s="63"/>
      <x:c r="W115" s="63"/>
      <x:c r="X115" s="63"/>
      <x:c r="Y115" s="63"/>
      <x:c r="Z115" s="63"/>
      <x:c r="AA115" s="63"/>
      <x:c r="AB115" s="63"/>
      <x:c r="AC115" s="63"/>
      <x:c r="AD115" s="63"/>
      <x:c r="AE115" s="63"/>
      <x:c r="AF115" s="63"/>
      <x:c r="AG115" s="63"/>
      <x:c r="AH115" s="63"/>
      <x:c r="AI115" s="63"/>
      <x:c r="AJ115" s="63"/>
      <x:c r="AK115" s="63"/>
      <x:c r="AL115" s="63"/>
      <x:c r="AM115" s="63"/>
      <x:c r="AN115" s="63"/>
      <x:c r="AO115" s="63"/>
      <x:c r="AP115" s="63"/>
      <x:c r="AQ115" s="63"/>
      <x:c r="AR115" s="63"/>
      <x:c r="AS115" s="137"/>
      <x:c r="AT115" s="137"/>
      <x:c r="AU115" s="63" t="str">
        <x:f>IF($B115="","",IF($AK115="",10+$W115,IFERROR(INDEX('Armor Database'!$D$2:$D$100,MATCH($AK115,'Armor Database'!$A$2:$A$100,0))+IF(INDEX('Armor Database'!$E$2:$E$100,MATCH($AK115,'Armor Database'!$A$2:$A$100,0))="Full",$W115,IF(INDEX('Armor Database'!$E$2:$E$100,MATCH($AK115,'Armor Database'!$A$2:$A$100,0))="Max 2",MIN($W115,2),0))+IF($AL115="Shield",2,0)+N($AS115),10+$W115+IF($AL115="Shield",2,0)+N($AS115))))</x:f>
      </x:c>
      <x:c r="AV115" s="63" t="str">
        <x:f>IF($AM115="","",IFERROR(INDEX('Weapons Database'!$C$2:$C$100,MATCH($AM115,'Weapons Database'!$A$2:$A$100,0))&amp;" "&amp;INDEX('Weapons Database'!$D$2:$D$100,MATCH($AM115,'Weapons Database'!$A$2:$A$100,0)),""))</x:f>
      </x:c>
      <x:c r="AW115" s="63" t="str">
        <x:f>IF($AO115="","",IFERROR(INDEX('Weapons Database'!$C$2:$C$100,MATCH($AO115,'Weapons Database'!$A$2:$A$100,0))&amp;" "&amp;INDEX('Weapons Database'!$D$2:$D$100,MATCH($AO115,'Weapons Database'!$A$2:$A$100,0)),""))</x:f>
      </x:c>
      <x:c r="AX115" s="63"/>
    </x:row>
    <x:row r="116">
      <x:c r="A116" s="63"/>
      <x:c r="B116" s="63"/>
      <x:c r="C116" s="63"/>
      <x:c r="D116" s="63"/>
      <x:c r="E116" s="63"/>
      <x:c r="F116" s="63"/>
      <x:c r="G116" s="63"/>
      <x:c r="H116" s="63"/>
      <x:c r="I116" s="63"/>
      <x:c r="J116" s="63" t="str">
        <x:f>IF($B116="","",IF($AT116&lt;&gt;"",$AT116,$AU116))</x:f>
      </x:c>
      <x:c r="K116" s="63"/>
      <x:c r="L116" s="63"/>
      <x:c r="M116" s="63"/>
      <x:c r="N116" s="63"/>
      <x:c r="O116" s="63"/>
      <x:c r="P116" s="63"/>
      <x:c r="Q116" s="63"/>
      <x:c r="R116" s="63"/>
      <x:c r="S116" s="63"/>
      <x:c r="T116" s="63"/>
      <x:c r="U116" s="63"/>
      <x:c r="V116" s="63"/>
      <x:c r="W116" s="63"/>
      <x:c r="X116" s="63"/>
      <x:c r="Y116" s="63"/>
      <x:c r="Z116" s="63"/>
      <x:c r="AA116" s="63"/>
      <x:c r="AB116" s="63"/>
      <x:c r="AC116" s="63"/>
      <x:c r="AD116" s="63"/>
      <x:c r="AE116" s="63"/>
      <x:c r="AF116" s="63"/>
      <x:c r="AG116" s="63"/>
      <x:c r="AH116" s="63"/>
      <x:c r="AI116" s="63"/>
      <x:c r="AJ116" s="63"/>
      <x:c r="AK116" s="63"/>
      <x:c r="AL116" s="63"/>
      <x:c r="AM116" s="63"/>
      <x:c r="AN116" s="63"/>
      <x:c r="AO116" s="63"/>
      <x:c r="AP116" s="63"/>
      <x:c r="AQ116" s="63"/>
      <x:c r="AR116" s="63"/>
      <x:c r="AS116" s="137"/>
      <x:c r="AT116" s="137"/>
      <x:c r="AU116" s="63" t="str">
        <x:f>IF($B116="","",IF($AK116="",10+$W116,IFERROR(INDEX('Armor Database'!$D$2:$D$100,MATCH($AK116,'Armor Database'!$A$2:$A$100,0))+IF(INDEX('Armor Database'!$E$2:$E$100,MATCH($AK116,'Armor Database'!$A$2:$A$100,0))="Full",$W116,IF(INDEX('Armor Database'!$E$2:$E$100,MATCH($AK116,'Armor Database'!$A$2:$A$100,0))="Max 2",MIN($W116,2),0))+IF($AL116="Shield",2,0)+N($AS116),10+$W116+IF($AL116="Shield",2,0)+N($AS116))))</x:f>
      </x:c>
      <x:c r="AV116" s="63" t="str">
        <x:f>IF($AM116="","",IFERROR(INDEX('Weapons Database'!$C$2:$C$100,MATCH($AM116,'Weapons Database'!$A$2:$A$100,0))&amp;" "&amp;INDEX('Weapons Database'!$D$2:$D$100,MATCH($AM116,'Weapons Database'!$A$2:$A$100,0)),""))</x:f>
      </x:c>
      <x:c r="AW116" s="63" t="str">
        <x:f>IF($AO116="","",IFERROR(INDEX('Weapons Database'!$C$2:$C$100,MATCH($AO116,'Weapons Database'!$A$2:$A$100,0))&amp;" "&amp;INDEX('Weapons Database'!$D$2:$D$100,MATCH($AO116,'Weapons Database'!$A$2:$A$100,0)),""))</x:f>
      </x:c>
      <x:c r="AX116" s="63"/>
    </x:row>
    <x:row r="117">
      <x:c r="A117" s="63"/>
      <x:c r="B117" s="63"/>
      <x:c r="C117" s="63"/>
      <x:c r="D117" s="63"/>
      <x:c r="E117" s="63"/>
      <x:c r="F117" s="63"/>
      <x:c r="G117" s="63"/>
      <x:c r="H117" s="63"/>
      <x:c r="I117" s="63"/>
      <x:c r="J117" s="63" t="str">
        <x:f>IF($B117="","",IF($AT117&lt;&gt;"",$AT117,$AU117))</x:f>
      </x:c>
      <x:c r="K117" s="63"/>
      <x:c r="L117" s="63"/>
      <x:c r="M117" s="63"/>
      <x:c r="N117" s="63"/>
      <x:c r="O117" s="63"/>
      <x:c r="P117" s="63"/>
      <x:c r="Q117" s="63"/>
      <x:c r="R117" s="63"/>
      <x:c r="S117" s="63"/>
      <x:c r="T117" s="63"/>
      <x:c r="U117" s="63"/>
      <x:c r="V117" s="63"/>
      <x:c r="W117" s="63"/>
      <x:c r="X117" s="63"/>
      <x:c r="Y117" s="63"/>
      <x:c r="Z117" s="63"/>
      <x:c r="AA117" s="63"/>
      <x:c r="AB117" s="63"/>
      <x:c r="AC117" s="63"/>
      <x:c r="AD117" s="63"/>
      <x:c r="AE117" s="63"/>
      <x:c r="AF117" s="63"/>
      <x:c r="AG117" s="63"/>
      <x:c r="AH117" s="63"/>
      <x:c r="AI117" s="63"/>
      <x:c r="AJ117" s="63"/>
      <x:c r="AK117" s="63"/>
      <x:c r="AL117" s="63"/>
      <x:c r="AM117" s="63"/>
      <x:c r="AN117" s="63"/>
      <x:c r="AO117" s="63"/>
      <x:c r="AP117" s="63"/>
      <x:c r="AQ117" s="63"/>
      <x:c r="AR117" s="63"/>
      <x:c r="AS117" s="137"/>
      <x:c r="AT117" s="137"/>
      <x:c r="AU117" s="63" t="str">
        <x:f>IF($B117="","",IF($AK117="",10+$W117,IFERROR(INDEX('Armor Database'!$D$2:$D$100,MATCH($AK117,'Armor Database'!$A$2:$A$100,0))+IF(INDEX('Armor Database'!$E$2:$E$100,MATCH($AK117,'Armor Database'!$A$2:$A$100,0))="Full",$W117,IF(INDEX('Armor Database'!$E$2:$E$100,MATCH($AK117,'Armor Database'!$A$2:$A$100,0))="Max 2",MIN($W117,2),0))+IF($AL117="Shield",2,0)+N($AS117),10+$W117+IF($AL117="Shield",2,0)+N($AS117))))</x:f>
      </x:c>
      <x:c r="AV117" s="63" t="str">
        <x:f>IF($AM117="","",IFERROR(INDEX('Weapons Database'!$C$2:$C$100,MATCH($AM117,'Weapons Database'!$A$2:$A$100,0))&amp;" "&amp;INDEX('Weapons Database'!$D$2:$D$100,MATCH($AM117,'Weapons Database'!$A$2:$A$100,0)),""))</x:f>
      </x:c>
      <x:c r="AW117" s="63" t="str">
        <x:f>IF($AO117="","",IFERROR(INDEX('Weapons Database'!$C$2:$C$100,MATCH($AO117,'Weapons Database'!$A$2:$A$100,0))&amp;" "&amp;INDEX('Weapons Database'!$D$2:$D$100,MATCH($AO117,'Weapons Database'!$A$2:$A$100,0)),""))</x:f>
      </x:c>
      <x:c r="AX117" s="63"/>
    </x:row>
    <x:row r="118">
      <x:c r="A118" s="63"/>
      <x:c r="B118" s="63"/>
      <x:c r="C118" s="63"/>
      <x:c r="D118" s="63"/>
      <x:c r="E118" s="63"/>
      <x:c r="F118" s="63"/>
      <x:c r="G118" s="63"/>
      <x:c r="H118" s="63"/>
      <x:c r="I118" s="63"/>
      <x:c r="J118" s="63" t="str">
        <x:f>IF($B118="","",IF($AT118&lt;&gt;"",$AT118,$AU118))</x:f>
      </x:c>
      <x:c r="K118" s="63"/>
      <x:c r="L118" s="63"/>
      <x:c r="M118" s="63"/>
      <x:c r="N118" s="63"/>
      <x:c r="O118" s="63"/>
      <x:c r="P118" s="63"/>
      <x:c r="Q118" s="63"/>
      <x:c r="R118" s="63"/>
      <x:c r="S118" s="63"/>
      <x:c r="T118" s="63"/>
      <x:c r="U118" s="63"/>
      <x:c r="V118" s="63"/>
      <x:c r="W118" s="63"/>
      <x:c r="X118" s="63"/>
      <x:c r="Y118" s="63"/>
      <x:c r="Z118" s="63"/>
      <x:c r="AA118" s="63"/>
      <x:c r="AB118" s="63"/>
      <x:c r="AC118" s="63"/>
      <x:c r="AD118" s="63"/>
      <x:c r="AE118" s="63"/>
      <x:c r="AF118" s="63"/>
      <x:c r="AG118" s="63"/>
      <x:c r="AH118" s="63"/>
      <x:c r="AI118" s="63"/>
      <x:c r="AJ118" s="63"/>
      <x:c r="AK118" s="63"/>
      <x:c r="AL118" s="63"/>
      <x:c r="AM118" s="63"/>
      <x:c r="AN118" s="63"/>
      <x:c r="AO118" s="63"/>
      <x:c r="AP118" s="63"/>
      <x:c r="AQ118" s="63"/>
      <x:c r="AR118" s="63"/>
      <x:c r="AS118" s="137"/>
      <x:c r="AT118" s="137"/>
      <x:c r="AU118" s="63" t="str">
        <x:f>IF($B118="","",IF($AK118="",10+$W118,IFERROR(INDEX('Armor Database'!$D$2:$D$100,MATCH($AK118,'Armor Database'!$A$2:$A$100,0))+IF(INDEX('Armor Database'!$E$2:$E$100,MATCH($AK118,'Armor Database'!$A$2:$A$100,0))="Full",$W118,IF(INDEX('Armor Database'!$E$2:$E$100,MATCH($AK118,'Armor Database'!$A$2:$A$100,0))="Max 2",MIN($W118,2),0))+IF($AL118="Shield",2,0)+N($AS118),10+$W118+IF($AL118="Shield",2,0)+N($AS118))))</x:f>
      </x:c>
      <x:c r="AV118" s="63" t="str">
        <x:f>IF($AM118="","",IFERROR(INDEX('Weapons Database'!$C$2:$C$100,MATCH($AM118,'Weapons Database'!$A$2:$A$100,0))&amp;" "&amp;INDEX('Weapons Database'!$D$2:$D$100,MATCH($AM118,'Weapons Database'!$A$2:$A$100,0)),""))</x:f>
      </x:c>
      <x:c r="AW118" s="63" t="str">
        <x:f>IF($AO118="","",IFERROR(INDEX('Weapons Database'!$C$2:$C$100,MATCH($AO118,'Weapons Database'!$A$2:$A$100,0))&amp;" "&amp;INDEX('Weapons Database'!$D$2:$D$100,MATCH($AO118,'Weapons Database'!$A$2:$A$100,0)),""))</x:f>
      </x:c>
      <x:c r="AX118" s="63"/>
    </x:row>
    <x:row r="119">
      <x:c r="A119" s="63"/>
      <x:c r="B119" s="63"/>
      <x:c r="C119" s="63"/>
      <x:c r="D119" s="63"/>
      <x:c r="E119" s="63"/>
      <x:c r="F119" s="63"/>
      <x:c r="G119" s="63"/>
      <x:c r="H119" s="63"/>
      <x:c r="I119" s="63"/>
      <x:c r="J119" s="63" t="str">
        <x:f>IF($B119="","",IF($AT119&lt;&gt;"",$AT119,$AU119))</x:f>
      </x:c>
      <x:c r="K119" s="63"/>
      <x:c r="L119" s="63"/>
      <x:c r="M119" s="63"/>
      <x:c r="N119" s="63"/>
      <x:c r="O119" s="63"/>
      <x:c r="P119" s="63"/>
      <x:c r="Q119" s="63"/>
      <x:c r="R119" s="63"/>
      <x:c r="S119" s="63"/>
      <x:c r="T119" s="63"/>
      <x:c r="U119" s="63"/>
      <x:c r="V119" s="63"/>
      <x:c r="W119" s="63"/>
      <x:c r="X119" s="63"/>
      <x:c r="Y119" s="63"/>
      <x:c r="Z119" s="63"/>
      <x:c r="AA119" s="63"/>
      <x:c r="AB119" s="63"/>
      <x:c r="AC119" s="63"/>
      <x:c r="AD119" s="63"/>
      <x:c r="AE119" s="63"/>
      <x:c r="AF119" s="63"/>
      <x:c r="AG119" s="63"/>
      <x:c r="AH119" s="63"/>
      <x:c r="AI119" s="63"/>
      <x:c r="AJ119" s="63"/>
      <x:c r="AK119" s="63"/>
      <x:c r="AL119" s="63"/>
      <x:c r="AM119" s="63"/>
      <x:c r="AN119" s="63"/>
      <x:c r="AO119" s="63"/>
      <x:c r="AP119" s="63"/>
      <x:c r="AQ119" s="63"/>
      <x:c r="AR119" s="63"/>
      <x:c r="AS119" s="137"/>
      <x:c r="AT119" s="137"/>
      <x:c r="AU119" s="63" t="str">
        <x:f>IF($B119="","",IF($AK119="",10+$W119,IFERROR(INDEX('Armor Database'!$D$2:$D$100,MATCH($AK119,'Armor Database'!$A$2:$A$100,0))+IF(INDEX('Armor Database'!$E$2:$E$100,MATCH($AK119,'Armor Database'!$A$2:$A$100,0))="Full",$W119,IF(INDEX('Armor Database'!$E$2:$E$100,MATCH($AK119,'Armor Database'!$A$2:$A$100,0))="Max 2",MIN($W119,2),0))+IF($AL119="Shield",2,0)+N($AS119),10+$W119+IF($AL119="Shield",2,0)+N($AS119))))</x:f>
      </x:c>
      <x:c r="AV119" s="63" t="str">
        <x:f>IF($AM119="","",IFERROR(INDEX('Weapons Database'!$C$2:$C$100,MATCH($AM119,'Weapons Database'!$A$2:$A$100,0))&amp;" "&amp;INDEX('Weapons Database'!$D$2:$D$100,MATCH($AM119,'Weapons Database'!$A$2:$A$100,0)),""))</x:f>
      </x:c>
      <x:c r="AW119" s="63" t="str">
        <x:f>IF($AO119="","",IFERROR(INDEX('Weapons Database'!$C$2:$C$100,MATCH($AO119,'Weapons Database'!$A$2:$A$100,0))&amp;" "&amp;INDEX('Weapons Database'!$D$2:$D$100,MATCH($AO119,'Weapons Database'!$A$2:$A$100,0)),""))</x:f>
      </x:c>
      <x:c r="AX119" s="63"/>
    </x:row>
    <x:row r="120">
      <x:c r="A120" s="63"/>
      <x:c r="B120" s="63"/>
      <x:c r="C120" s="63"/>
      <x:c r="D120" s="63"/>
      <x:c r="E120" s="63"/>
      <x:c r="F120" s="63"/>
      <x:c r="G120" s="63"/>
      <x:c r="H120" s="63"/>
      <x:c r="I120" s="63"/>
      <x:c r="J120" s="63" t="str">
        <x:f>IF($B120="","",IF($AT120&lt;&gt;"",$AT120,$AU120))</x:f>
      </x:c>
      <x:c r="K120" s="63"/>
      <x:c r="L120" s="63"/>
      <x:c r="M120" s="63"/>
      <x:c r="N120" s="63"/>
      <x:c r="O120" s="63"/>
      <x:c r="P120" s="63"/>
      <x:c r="Q120" s="63"/>
      <x:c r="R120" s="63"/>
      <x:c r="S120" s="63"/>
      <x:c r="T120" s="63"/>
      <x:c r="U120" s="63"/>
      <x:c r="V120" s="63"/>
      <x:c r="W120" s="63"/>
      <x:c r="X120" s="63"/>
      <x:c r="Y120" s="63"/>
      <x:c r="Z120" s="63"/>
      <x:c r="AA120" s="63"/>
      <x:c r="AB120" s="63"/>
      <x:c r="AC120" s="63"/>
      <x:c r="AD120" s="63"/>
      <x:c r="AE120" s="63"/>
      <x:c r="AF120" s="63"/>
      <x:c r="AG120" s="63"/>
      <x:c r="AH120" s="63"/>
      <x:c r="AI120" s="63"/>
      <x:c r="AJ120" s="63"/>
      <x:c r="AK120" s="63"/>
      <x:c r="AL120" s="63"/>
      <x:c r="AM120" s="63"/>
      <x:c r="AN120" s="63"/>
      <x:c r="AO120" s="63"/>
      <x:c r="AP120" s="63"/>
      <x:c r="AQ120" s="63"/>
      <x:c r="AR120" s="63"/>
      <x:c r="AS120" s="137"/>
      <x:c r="AT120" s="137"/>
      <x:c r="AU120" s="63" t="str">
        <x:f>IF($B120="","",IF($AK120="",10+$W120,IFERROR(INDEX('Armor Database'!$D$2:$D$100,MATCH($AK120,'Armor Database'!$A$2:$A$100,0))+IF(INDEX('Armor Database'!$E$2:$E$100,MATCH($AK120,'Armor Database'!$A$2:$A$100,0))="Full",$W120,IF(INDEX('Armor Database'!$E$2:$E$100,MATCH($AK120,'Armor Database'!$A$2:$A$100,0))="Max 2",MIN($W120,2),0))+IF($AL120="Shield",2,0)+N($AS120),10+$W120+IF($AL120="Shield",2,0)+N($AS120))))</x:f>
      </x:c>
      <x:c r="AV120" s="63" t="str">
        <x:f>IF($AM120="","",IFERROR(INDEX('Weapons Database'!$C$2:$C$100,MATCH($AM120,'Weapons Database'!$A$2:$A$100,0))&amp;" "&amp;INDEX('Weapons Database'!$D$2:$D$100,MATCH($AM120,'Weapons Database'!$A$2:$A$100,0)),""))</x:f>
      </x:c>
      <x:c r="AW120" s="63" t="str">
        <x:f>IF($AO120="","",IFERROR(INDEX('Weapons Database'!$C$2:$C$100,MATCH($AO120,'Weapons Database'!$A$2:$A$100,0))&amp;" "&amp;INDEX('Weapons Database'!$D$2:$D$100,MATCH($AO120,'Weapons Database'!$A$2:$A$100,0)),""))</x:f>
      </x:c>
      <x:c r="AX120" s="63"/>
    </x:row>
    <x:row r="121">
      <x:c r="A121" s="63"/>
      <x:c r="B121" s="63"/>
      <x:c r="C121" s="63"/>
      <x:c r="D121" s="63"/>
      <x:c r="E121" s="63"/>
      <x:c r="F121" s="63"/>
      <x:c r="G121" s="63"/>
      <x:c r="H121" s="63"/>
      <x:c r="I121" s="63"/>
      <x:c r="J121" s="63" t="str">
        <x:f>IF($B121="","",IF($AT121&lt;&gt;"",$AT121,$AU121))</x:f>
      </x:c>
      <x:c r="K121" s="63"/>
      <x:c r="L121" s="63"/>
      <x:c r="M121" s="63"/>
      <x:c r="N121" s="63"/>
      <x:c r="O121" s="63"/>
      <x:c r="P121" s="63"/>
      <x:c r="Q121" s="63"/>
      <x:c r="R121" s="63"/>
      <x:c r="S121" s="63"/>
      <x:c r="T121" s="63"/>
      <x:c r="U121" s="63"/>
      <x:c r="V121" s="63"/>
      <x:c r="W121" s="63"/>
      <x:c r="X121" s="63"/>
      <x:c r="Y121" s="63"/>
      <x:c r="Z121" s="63"/>
      <x:c r="AA121" s="63"/>
      <x:c r="AB121" s="63"/>
      <x:c r="AC121" s="63"/>
      <x:c r="AD121" s="63"/>
      <x:c r="AE121" s="63"/>
      <x:c r="AF121" s="63"/>
      <x:c r="AG121" s="63"/>
      <x:c r="AH121" s="63"/>
      <x:c r="AI121" s="63"/>
      <x:c r="AJ121" s="63"/>
      <x:c r="AK121" s="63"/>
      <x:c r="AL121" s="63"/>
      <x:c r="AM121" s="63"/>
      <x:c r="AN121" s="63"/>
      <x:c r="AO121" s="63"/>
      <x:c r="AP121" s="63"/>
      <x:c r="AQ121" s="63"/>
      <x:c r="AR121" s="63"/>
      <x:c r="AS121" s="137"/>
      <x:c r="AT121" s="137"/>
      <x:c r="AU121" s="63" t="str">
        <x:f>IF($B121="","",IF($AK121="",10+$W121,IFERROR(INDEX('Armor Database'!$D$2:$D$100,MATCH($AK121,'Armor Database'!$A$2:$A$100,0))+IF(INDEX('Armor Database'!$E$2:$E$100,MATCH($AK121,'Armor Database'!$A$2:$A$100,0))="Full",$W121,IF(INDEX('Armor Database'!$E$2:$E$100,MATCH($AK121,'Armor Database'!$A$2:$A$100,0))="Max 2",MIN($W121,2),0))+IF($AL121="Shield",2,0)+N($AS121),10+$W121+IF($AL121="Shield",2,0)+N($AS121))))</x:f>
      </x:c>
      <x:c r="AV121" s="63" t="str">
        <x:f>IF($AM121="","",IFERROR(INDEX('Weapons Database'!$C$2:$C$100,MATCH($AM121,'Weapons Database'!$A$2:$A$100,0))&amp;" "&amp;INDEX('Weapons Database'!$D$2:$D$100,MATCH($AM121,'Weapons Database'!$A$2:$A$100,0)),""))</x:f>
      </x:c>
      <x:c r="AW121" s="63" t="str">
        <x:f>IF($AO121="","",IFERROR(INDEX('Weapons Database'!$C$2:$C$100,MATCH($AO121,'Weapons Database'!$A$2:$A$100,0))&amp;" "&amp;INDEX('Weapons Database'!$D$2:$D$100,MATCH($AO121,'Weapons Database'!$A$2:$A$100,0)),""))</x:f>
      </x:c>
      <x:c r="AX121" s="63"/>
    </x:row>
    <x:row r="122">
      <x:c r="A122" s="63"/>
      <x:c r="B122" s="63"/>
      <x:c r="C122" s="63"/>
      <x:c r="D122" s="63"/>
      <x:c r="E122" s="63"/>
      <x:c r="F122" s="63"/>
      <x:c r="G122" s="63"/>
      <x:c r="H122" s="63"/>
      <x:c r="I122" s="63"/>
      <x:c r="J122" s="63" t="str">
        <x:f>IF($B122="","",IF($AT122&lt;&gt;"",$AT122,$AU122))</x:f>
      </x:c>
      <x:c r="K122" s="63"/>
      <x:c r="L122" s="63"/>
      <x:c r="M122" s="63"/>
      <x:c r="N122" s="63"/>
      <x:c r="O122" s="63"/>
      <x:c r="P122" s="63"/>
      <x:c r="Q122" s="63"/>
      <x:c r="R122" s="63"/>
      <x:c r="S122" s="63"/>
      <x:c r="T122" s="63"/>
      <x:c r="U122" s="63"/>
      <x:c r="V122" s="63"/>
      <x:c r="W122" s="63"/>
      <x:c r="X122" s="63"/>
      <x:c r="Y122" s="63"/>
      <x:c r="Z122" s="63"/>
      <x:c r="AA122" s="63"/>
      <x:c r="AB122" s="63"/>
      <x:c r="AC122" s="63"/>
      <x:c r="AD122" s="63"/>
      <x:c r="AE122" s="63"/>
      <x:c r="AF122" s="63"/>
      <x:c r="AG122" s="63"/>
      <x:c r="AH122" s="63"/>
      <x:c r="AI122" s="63"/>
      <x:c r="AJ122" s="63"/>
      <x:c r="AK122" s="63"/>
      <x:c r="AL122" s="63"/>
      <x:c r="AM122" s="63"/>
      <x:c r="AN122" s="63"/>
      <x:c r="AO122" s="63"/>
      <x:c r="AP122" s="63"/>
      <x:c r="AQ122" s="63"/>
      <x:c r="AR122" s="63"/>
      <x:c r="AS122" s="137"/>
      <x:c r="AT122" s="137"/>
      <x:c r="AU122" s="63" t="str">
        <x:f>IF($B122="","",IF($AK122="",10+$W122,IFERROR(INDEX('Armor Database'!$D$2:$D$100,MATCH($AK122,'Armor Database'!$A$2:$A$100,0))+IF(INDEX('Armor Database'!$E$2:$E$100,MATCH($AK122,'Armor Database'!$A$2:$A$100,0))="Full",$W122,IF(INDEX('Armor Database'!$E$2:$E$100,MATCH($AK122,'Armor Database'!$A$2:$A$100,0))="Max 2",MIN($W122,2),0))+IF($AL122="Shield",2,0)+N($AS122),10+$W122+IF($AL122="Shield",2,0)+N($AS122))))</x:f>
      </x:c>
      <x:c r="AV122" s="63" t="str">
        <x:f>IF($AM122="","",IFERROR(INDEX('Weapons Database'!$C$2:$C$100,MATCH($AM122,'Weapons Database'!$A$2:$A$100,0))&amp;" "&amp;INDEX('Weapons Database'!$D$2:$D$100,MATCH($AM122,'Weapons Database'!$A$2:$A$100,0)),""))</x:f>
      </x:c>
      <x:c r="AW122" s="63" t="str">
        <x:f>IF($AO122="","",IFERROR(INDEX('Weapons Database'!$C$2:$C$100,MATCH($AO122,'Weapons Database'!$A$2:$A$100,0))&amp;" "&amp;INDEX('Weapons Database'!$D$2:$D$100,MATCH($AO122,'Weapons Database'!$A$2:$A$100,0)),""))</x:f>
      </x:c>
      <x:c r="AX122" s="63"/>
    </x:row>
    <x:row r="123">
      <x:c r="A123" s="63"/>
      <x:c r="B123" s="63"/>
      <x:c r="C123" s="63"/>
      <x:c r="D123" s="63"/>
      <x:c r="E123" s="63"/>
      <x:c r="F123" s="63"/>
      <x:c r="G123" s="63"/>
      <x:c r="H123" s="63"/>
      <x:c r="I123" s="63"/>
      <x:c r="J123" s="63" t="str">
        <x:f>IF($B123="","",IF($AT123&lt;&gt;"",$AT123,$AU123))</x:f>
      </x:c>
      <x:c r="K123" s="63"/>
      <x:c r="L123" s="63"/>
      <x:c r="M123" s="63"/>
      <x:c r="N123" s="63"/>
      <x:c r="O123" s="63"/>
      <x:c r="P123" s="63"/>
      <x:c r="Q123" s="63"/>
      <x:c r="R123" s="63"/>
      <x:c r="S123" s="63"/>
      <x:c r="T123" s="63"/>
      <x:c r="U123" s="63"/>
      <x:c r="V123" s="63"/>
      <x:c r="W123" s="63"/>
      <x:c r="X123" s="63"/>
      <x:c r="Y123" s="63"/>
      <x:c r="Z123" s="63"/>
      <x:c r="AA123" s="63"/>
      <x:c r="AB123" s="63"/>
      <x:c r="AC123" s="63"/>
      <x:c r="AD123" s="63"/>
      <x:c r="AE123" s="63"/>
      <x:c r="AF123" s="63"/>
      <x:c r="AG123" s="63"/>
      <x:c r="AH123" s="63"/>
      <x:c r="AI123" s="63"/>
      <x:c r="AJ123" s="63"/>
      <x:c r="AK123" s="63"/>
      <x:c r="AL123" s="63"/>
      <x:c r="AM123" s="63"/>
      <x:c r="AN123" s="63"/>
      <x:c r="AO123" s="63"/>
      <x:c r="AP123" s="63"/>
      <x:c r="AQ123" s="63"/>
      <x:c r="AR123" s="63"/>
      <x:c r="AS123" s="137"/>
      <x:c r="AT123" s="137"/>
      <x:c r="AU123" s="63" t="str">
        <x:f>IF($B123="","",IF($AK123="",10+$W123,IFERROR(INDEX('Armor Database'!$D$2:$D$100,MATCH($AK123,'Armor Database'!$A$2:$A$100,0))+IF(INDEX('Armor Database'!$E$2:$E$100,MATCH($AK123,'Armor Database'!$A$2:$A$100,0))="Full",$W123,IF(INDEX('Armor Database'!$E$2:$E$100,MATCH($AK123,'Armor Database'!$A$2:$A$100,0))="Max 2",MIN($W123,2),0))+IF($AL123="Shield",2,0)+N($AS123),10+$W123+IF($AL123="Shield",2,0)+N($AS123))))</x:f>
      </x:c>
      <x:c r="AV123" s="63" t="str">
        <x:f>IF($AM123="","",IFERROR(INDEX('Weapons Database'!$C$2:$C$100,MATCH($AM123,'Weapons Database'!$A$2:$A$100,0))&amp;" "&amp;INDEX('Weapons Database'!$D$2:$D$100,MATCH($AM123,'Weapons Database'!$A$2:$A$100,0)),""))</x:f>
      </x:c>
      <x:c r="AW123" s="63" t="str">
        <x:f>IF($AO123="","",IFERROR(INDEX('Weapons Database'!$C$2:$C$100,MATCH($AO123,'Weapons Database'!$A$2:$A$100,0))&amp;" "&amp;INDEX('Weapons Database'!$D$2:$D$100,MATCH($AO123,'Weapons Database'!$A$2:$A$100,0)),""))</x:f>
      </x:c>
      <x:c r="AX123" s="63"/>
    </x:row>
    <x:row r="124">
      <x:c r="A124" s="63"/>
      <x:c r="B124" s="63"/>
      <x:c r="C124" s="63"/>
      <x:c r="D124" s="63"/>
      <x:c r="E124" s="63"/>
      <x:c r="F124" s="63"/>
      <x:c r="G124" s="63"/>
      <x:c r="H124" s="63"/>
      <x:c r="I124" s="63"/>
      <x:c r="J124" s="63" t="str">
        <x:f>IF($B124="","",IF($AT124&lt;&gt;"",$AT124,$AU124))</x:f>
      </x:c>
      <x:c r="K124" s="63"/>
      <x:c r="L124" s="63"/>
      <x:c r="M124" s="63"/>
      <x:c r="N124" s="63"/>
      <x:c r="O124" s="63"/>
      <x:c r="P124" s="63"/>
      <x:c r="Q124" s="63"/>
      <x:c r="R124" s="63"/>
      <x:c r="S124" s="63"/>
      <x:c r="T124" s="63"/>
      <x:c r="U124" s="63"/>
      <x:c r="V124" s="63"/>
      <x:c r="W124" s="63"/>
      <x:c r="X124" s="63"/>
      <x:c r="Y124" s="63"/>
      <x:c r="Z124" s="63"/>
      <x:c r="AA124" s="63"/>
      <x:c r="AB124" s="63"/>
      <x:c r="AC124" s="63"/>
      <x:c r="AD124" s="63"/>
      <x:c r="AE124" s="63"/>
      <x:c r="AF124" s="63"/>
      <x:c r="AG124" s="63"/>
      <x:c r="AH124" s="63"/>
      <x:c r="AI124" s="63"/>
      <x:c r="AJ124" s="63"/>
      <x:c r="AK124" s="63"/>
      <x:c r="AL124" s="63"/>
      <x:c r="AM124" s="63"/>
      <x:c r="AN124" s="63"/>
      <x:c r="AO124" s="63"/>
      <x:c r="AP124" s="63"/>
      <x:c r="AQ124" s="63"/>
      <x:c r="AR124" s="63"/>
      <x:c r="AS124" s="137"/>
      <x:c r="AT124" s="137"/>
      <x:c r="AU124" s="63" t="str">
        <x:f>IF($B124="","",IF($AK124="",10+$W124,IFERROR(INDEX('Armor Database'!$D$2:$D$100,MATCH($AK124,'Armor Database'!$A$2:$A$100,0))+IF(INDEX('Armor Database'!$E$2:$E$100,MATCH($AK124,'Armor Database'!$A$2:$A$100,0))="Full",$W124,IF(INDEX('Armor Database'!$E$2:$E$100,MATCH($AK124,'Armor Database'!$A$2:$A$100,0))="Max 2",MIN($W124,2),0))+IF($AL124="Shield",2,0)+N($AS124),10+$W124+IF($AL124="Shield",2,0)+N($AS124))))</x:f>
      </x:c>
      <x:c r="AV124" s="63" t="str">
        <x:f>IF($AM124="","",IFERROR(INDEX('Weapons Database'!$C$2:$C$100,MATCH($AM124,'Weapons Database'!$A$2:$A$100,0))&amp;" "&amp;INDEX('Weapons Database'!$D$2:$D$100,MATCH($AM124,'Weapons Database'!$A$2:$A$100,0)),""))</x:f>
      </x:c>
      <x:c r="AW124" s="63" t="str">
        <x:f>IF($AO124="","",IFERROR(INDEX('Weapons Database'!$C$2:$C$100,MATCH($AO124,'Weapons Database'!$A$2:$A$100,0))&amp;" "&amp;INDEX('Weapons Database'!$D$2:$D$100,MATCH($AO124,'Weapons Database'!$A$2:$A$100,0)),""))</x:f>
      </x:c>
      <x:c r="AX124" s="63"/>
    </x:row>
    <x:row r="125">
      <x:c r="A125" s="63"/>
      <x:c r="B125" s="63"/>
      <x:c r="C125" s="63"/>
      <x:c r="D125" s="63"/>
      <x:c r="E125" s="63"/>
      <x:c r="F125" s="63"/>
      <x:c r="G125" s="63"/>
      <x:c r="H125" s="63"/>
      <x:c r="I125" s="63"/>
      <x:c r="J125" s="63" t="str">
        <x:f>IF($B125="","",IF($AT125&lt;&gt;"",$AT125,$AU125))</x:f>
      </x:c>
      <x:c r="K125" s="63"/>
      <x:c r="L125" s="63"/>
      <x:c r="M125" s="63"/>
      <x:c r="N125" s="63"/>
      <x:c r="O125" s="63"/>
      <x:c r="P125" s="63"/>
      <x:c r="Q125" s="63"/>
      <x:c r="R125" s="63"/>
      <x:c r="S125" s="63"/>
      <x:c r="T125" s="63"/>
      <x:c r="U125" s="63"/>
      <x:c r="V125" s="63"/>
      <x:c r="W125" s="63"/>
      <x:c r="X125" s="63"/>
      <x:c r="Y125" s="63"/>
      <x:c r="Z125" s="63"/>
      <x:c r="AA125" s="63"/>
      <x:c r="AB125" s="63"/>
      <x:c r="AC125" s="63"/>
      <x:c r="AD125" s="63"/>
      <x:c r="AE125" s="63"/>
      <x:c r="AF125" s="63"/>
      <x:c r="AG125" s="63"/>
      <x:c r="AH125" s="63"/>
      <x:c r="AI125" s="63"/>
      <x:c r="AJ125" s="63"/>
      <x:c r="AK125" s="63"/>
      <x:c r="AL125" s="63"/>
      <x:c r="AM125" s="63"/>
      <x:c r="AN125" s="63"/>
      <x:c r="AO125" s="63"/>
      <x:c r="AP125" s="63"/>
      <x:c r="AQ125" s="63"/>
      <x:c r="AR125" s="63"/>
      <x:c r="AS125" s="137"/>
      <x:c r="AT125" s="137"/>
      <x:c r="AU125" s="63" t="str">
        <x:f>IF($B125="","",IF($AK125="",10+$W125,IFERROR(INDEX('Armor Database'!$D$2:$D$100,MATCH($AK125,'Armor Database'!$A$2:$A$100,0))+IF(INDEX('Armor Database'!$E$2:$E$100,MATCH($AK125,'Armor Database'!$A$2:$A$100,0))="Full",$W125,IF(INDEX('Armor Database'!$E$2:$E$100,MATCH($AK125,'Armor Database'!$A$2:$A$100,0))="Max 2",MIN($W125,2),0))+IF($AL125="Shield",2,0)+N($AS125),10+$W125+IF($AL125="Shield",2,0)+N($AS125))))</x:f>
      </x:c>
      <x:c r="AV125" s="63" t="str">
        <x:f>IF($AM125="","",IFERROR(INDEX('Weapons Database'!$C$2:$C$100,MATCH($AM125,'Weapons Database'!$A$2:$A$100,0))&amp;" "&amp;INDEX('Weapons Database'!$D$2:$D$100,MATCH($AM125,'Weapons Database'!$A$2:$A$100,0)),""))</x:f>
      </x:c>
      <x:c r="AW125" s="63" t="str">
        <x:f>IF($AO125="","",IFERROR(INDEX('Weapons Database'!$C$2:$C$100,MATCH($AO125,'Weapons Database'!$A$2:$A$100,0))&amp;" "&amp;INDEX('Weapons Database'!$D$2:$D$100,MATCH($AO125,'Weapons Database'!$A$2:$A$100,0)),""))</x:f>
      </x:c>
      <x:c r="AX125" s="63"/>
    </x:row>
    <x:row r="126">
      <x:c r="A126" s="63"/>
      <x:c r="B126" s="63"/>
      <x:c r="C126" s="63"/>
      <x:c r="D126" s="63"/>
      <x:c r="E126" s="63"/>
      <x:c r="F126" s="63"/>
      <x:c r="G126" s="63"/>
      <x:c r="H126" s="63"/>
      <x:c r="I126" s="63"/>
      <x:c r="J126" s="63" t="str">
        <x:f>IF($B126="","",IF($AT126&lt;&gt;"",$AT126,$AU126))</x:f>
      </x:c>
      <x:c r="K126" s="63"/>
      <x:c r="L126" s="63"/>
      <x:c r="M126" s="63"/>
      <x:c r="N126" s="63"/>
      <x:c r="O126" s="63"/>
      <x:c r="P126" s="63"/>
      <x:c r="Q126" s="63"/>
      <x:c r="R126" s="63"/>
      <x:c r="S126" s="63"/>
      <x:c r="T126" s="63"/>
      <x:c r="U126" s="63"/>
      <x:c r="V126" s="63"/>
      <x:c r="W126" s="63"/>
      <x:c r="X126" s="63"/>
      <x:c r="Y126" s="63"/>
      <x:c r="Z126" s="63"/>
      <x:c r="AA126" s="63"/>
      <x:c r="AB126" s="63"/>
      <x:c r="AC126" s="63"/>
      <x:c r="AD126" s="63"/>
      <x:c r="AE126" s="63"/>
      <x:c r="AF126" s="63"/>
      <x:c r="AG126" s="63"/>
      <x:c r="AH126" s="63"/>
      <x:c r="AI126" s="63"/>
      <x:c r="AJ126" s="63"/>
      <x:c r="AK126" s="63"/>
      <x:c r="AL126" s="63"/>
      <x:c r="AM126" s="63"/>
      <x:c r="AN126" s="63"/>
      <x:c r="AO126" s="63"/>
      <x:c r="AP126" s="63"/>
      <x:c r="AQ126" s="63"/>
      <x:c r="AR126" s="63"/>
      <x:c r="AS126" s="137"/>
      <x:c r="AT126" s="137"/>
      <x:c r="AU126" s="63" t="str">
        <x:f>IF($B126="","",IF($AK126="",10+$W126,IFERROR(INDEX('Armor Database'!$D$2:$D$100,MATCH($AK126,'Armor Database'!$A$2:$A$100,0))+IF(INDEX('Armor Database'!$E$2:$E$100,MATCH($AK126,'Armor Database'!$A$2:$A$100,0))="Full",$W126,IF(INDEX('Armor Database'!$E$2:$E$100,MATCH($AK126,'Armor Database'!$A$2:$A$100,0))="Max 2",MIN($W126,2),0))+IF($AL126="Shield",2,0)+N($AS126),10+$W126+IF($AL126="Shield",2,0)+N($AS126))))</x:f>
      </x:c>
      <x:c r="AV126" s="63" t="str">
        <x:f>IF($AM126="","",IFERROR(INDEX('Weapons Database'!$C$2:$C$100,MATCH($AM126,'Weapons Database'!$A$2:$A$100,0))&amp;" "&amp;INDEX('Weapons Database'!$D$2:$D$100,MATCH($AM126,'Weapons Database'!$A$2:$A$100,0)),""))</x:f>
      </x:c>
      <x:c r="AW126" s="63" t="str">
        <x:f>IF($AO126="","",IFERROR(INDEX('Weapons Database'!$C$2:$C$100,MATCH($AO126,'Weapons Database'!$A$2:$A$100,0))&amp;" "&amp;INDEX('Weapons Database'!$D$2:$D$100,MATCH($AO126,'Weapons Database'!$A$2:$A$100,0)),""))</x:f>
      </x:c>
      <x:c r="AX126" s="63"/>
    </x:row>
    <x:row r="127">
      <x:c r="A127" s="63"/>
      <x:c r="B127" s="63"/>
      <x:c r="C127" s="63"/>
      <x:c r="D127" s="63"/>
      <x:c r="E127" s="63"/>
      <x:c r="F127" s="63"/>
      <x:c r="G127" s="63"/>
      <x:c r="H127" s="63"/>
      <x:c r="I127" s="63"/>
      <x:c r="J127" s="63" t="str">
        <x:f>IF($B127="","",IF($AT127&lt;&gt;"",$AT127,$AU127))</x:f>
      </x:c>
      <x:c r="K127" s="63"/>
      <x:c r="L127" s="63"/>
      <x:c r="M127" s="63"/>
      <x:c r="N127" s="63"/>
      <x:c r="O127" s="63"/>
      <x:c r="P127" s="63"/>
      <x:c r="Q127" s="63"/>
      <x:c r="R127" s="63"/>
      <x:c r="S127" s="63"/>
      <x:c r="T127" s="63"/>
      <x:c r="U127" s="63"/>
      <x:c r="V127" s="63"/>
      <x:c r="W127" s="63"/>
      <x:c r="X127" s="63"/>
      <x:c r="Y127" s="63"/>
      <x:c r="Z127" s="63"/>
      <x:c r="AA127" s="63"/>
      <x:c r="AB127" s="63"/>
      <x:c r="AC127" s="63"/>
      <x:c r="AD127" s="63"/>
      <x:c r="AE127" s="63"/>
      <x:c r="AF127" s="63"/>
      <x:c r="AG127" s="63"/>
      <x:c r="AH127" s="63"/>
      <x:c r="AI127" s="63"/>
      <x:c r="AJ127" s="63"/>
      <x:c r="AK127" s="63"/>
      <x:c r="AL127" s="63"/>
      <x:c r="AM127" s="63"/>
      <x:c r="AN127" s="63"/>
      <x:c r="AO127" s="63"/>
      <x:c r="AP127" s="63"/>
      <x:c r="AQ127" s="63"/>
      <x:c r="AR127" s="63"/>
      <x:c r="AS127" s="137"/>
      <x:c r="AT127" s="137"/>
      <x:c r="AU127" s="63" t="str">
        <x:f>IF($B127="","",IF($AK127="",10+$W127,IFERROR(INDEX('Armor Database'!$D$2:$D$100,MATCH($AK127,'Armor Database'!$A$2:$A$100,0))+IF(INDEX('Armor Database'!$E$2:$E$100,MATCH($AK127,'Armor Database'!$A$2:$A$100,0))="Full",$W127,IF(INDEX('Armor Database'!$E$2:$E$100,MATCH($AK127,'Armor Database'!$A$2:$A$100,0))="Max 2",MIN($W127,2),0))+IF($AL127="Shield",2,0)+N($AS127),10+$W127+IF($AL127="Shield",2,0)+N($AS127))))</x:f>
      </x:c>
      <x:c r="AV127" s="63" t="str">
        <x:f>IF($AM127="","",IFERROR(INDEX('Weapons Database'!$C$2:$C$100,MATCH($AM127,'Weapons Database'!$A$2:$A$100,0))&amp;" "&amp;INDEX('Weapons Database'!$D$2:$D$100,MATCH($AM127,'Weapons Database'!$A$2:$A$100,0)),""))</x:f>
      </x:c>
      <x:c r="AW127" s="63" t="str">
        <x:f>IF($AO127="","",IFERROR(INDEX('Weapons Database'!$C$2:$C$100,MATCH($AO127,'Weapons Database'!$A$2:$A$100,0))&amp;" "&amp;INDEX('Weapons Database'!$D$2:$D$100,MATCH($AO127,'Weapons Database'!$A$2:$A$100,0)),""))</x:f>
      </x:c>
      <x:c r="AX127" s="63"/>
    </x:row>
    <x:row r="128">
      <x:c r="A128" s="63"/>
      <x:c r="B128" s="63"/>
      <x:c r="C128" s="63"/>
      <x:c r="D128" s="63"/>
      <x:c r="E128" s="63"/>
      <x:c r="F128" s="63"/>
      <x:c r="G128" s="63"/>
      <x:c r="H128" s="63"/>
      <x:c r="I128" s="63"/>
      <x:c r="J128" s="63" t="str">
        <x:f>IF($B128="","",IF($AT128&lt;&gt;"",$AT128,$AU128))</x:f>
      </x:c>
      <x:c r="K128" s="63"/>
      <x:c r="L128" s="63"/>
      <x:c r="M128" s="63"/>
      <x:c r="N128" s="63"/>
      <x:c r="O128" s="63"/>
      <x:c r="P128" s="63"/>
      <x:c r="Q128" s="63"/>
      <x:c r="R128" s="63"/>
      <x:c r="S128" s="63"/>
      <x:c r="T128" s="63"/>
      <x:c r="U128" s="63"/>
      <x:c r="V128" s="63"/>
      <x:c r="W128" s="63"/>
      <x:c r="X128" s="63"/>
      <x:c r="Y128" s="63"/>
      <x:c r="Z128" s="63"/>
      <x:c r="AA128" s="63"/>
      <x:c r="AB128" s="63"/>
      <x:c r="AC128" s="63"/>
      <x:c r="AD128" s="63"/>
      <x:c r="AE128" s="63"/>
      <x:c r="AF128" s="63"/>
      <x:c r="AG128" s="63"/>
      <x:c r="AH128" s="63"/>
      <x:c r="AI128" s="63"/>
      <x:c r="AJ128" s="63"/>
      <x:c r="AK128" s="63"/>
      <x:c r="AL128" s="63"/>
      <x:c r="AM128" s="63"/>
      <x:c r="AN128" s="63"/>
      <x:c r="AO128" s="63"/>
      <x:c r="AP128" s="63"/>
      <x:c r="AQ128" s="63"/>
      <x:c r="AR128" s="63"/>
      <x:c r="AS128" s="137"/>
      <x:c r="AT128" s="137"/>
      <x:c r="AU128" s="63" t="str">
        <x:f>IF($B128="","",IF($AK128="",10+$W128,IFERROR(INDEX('Armor Database'!$D$2:$D$100,MATCH($AK128,'Armor Database'!$A$2:$A$100,0))+IF(INDEX('Armor Database'!$E$2:$E$100,MATCH($AK128,'Armor Database'!$A$2:$A$100,0))="Full",$W128,IF(INDEX('Armor Database'!$E$2:$E$100,MATCH($AK128,'Armor Database'!$A$2:$A$100,0))="Max 2",MIN($W128,2),0))+IF($AL128="Shield",2,0)+N($AS128),10+$W128+IF($AL128="Shield",2,0)+N($AS128))))</x:f>
      </x:c>
      <x:c r="AV128" s="63" t="str">
        <x:f>IF($AM128="","",IFERROR(INDEX('Weapons Database'!$C$2:$C$100,MATCH($AM128,'Weapons Database'!$A$2:$A$100,0))&amp;" "&amp;INDEX('Weapons Database'!$D$2:$D$100,MATCH($AM128,'Weapons Database'!$A$2:$A$100,0)),""))</x:f>
      </x:c>
      <x:c r="AW128" s="63" t="str">
        <x:f>IF($AO128="","",IFERROR(INDEX('Weapons Database'!$C$2:$C$100,MATCH($AO128,'Weapons Database'!$A$2:$A$100,0))&amp;" "&amp;INDEX('Weapons Database'!$D$2:$D$100,MATCH($AO128,'Weapons Database'!$A$2:$A$100,0)),""))</x:f>
      </x:c>
      <x:c r="AX128" s="63"/>
    </x:row>
    <x:row r="129">
      <x:c r="A129" s="63"/>
      <x:c r="B129" s="63"/>
      <x:c r="C129" s="63"/>
      <x:c r="D129" s="63"/>
      <x:c r="E129" s="63"/>
      <x:c r="F129" s="63"/>
      <x:c r="G129" s="63"/>
      <x:c r="H129" s="63"/>
      <x:c r="I129" s="63"/>
      <x:c r="J129" s="63" t="str">
        <x:f>IF($B129="","",IF($AT129&lt;&gt;"",$AT129,$AU129))</x:f>
      </x:c>
      <x:c r="K129" s="63"/>
      <x:c r="L129" s="63"/>
      <x:c r="M129" s="63"/>
      <x:c r="N129" s="63"/>
      <x:c r="O129" s="63"/>
      <x:c r="P129" s="63"/>
      <x:c r="Q129" s="63"/>
      <x:c r="R129" s="63"/>
      <x:c r="S129" s="63"/>
      <x:c r="T129" s="63"/>
      <x:c r="U129" s="63"/>
      <x:c r="V129" s="63"/>
      <x:c r="W129" s="63"/>
      <x:c r="X129" s="63"/>
      <x:c r="Y129" s="63"/>
      <x:c r="Z129" s="63"/>
      <x:c r="AA129" s="63"/>
      <x:c r="AB129" s="63"/>
      <x:c r="AC129" s="63"/>
      <x:c r="AD129" s="63"/>
      <x:c r="AE129" s="63"/>
      <x:c r="AF129" s="63"/>
      <x:c r="AG129" s="63"/>
      <x:c r="AH129" s="63"/>
      <x:c r="AI129" s="63"/>
      <x:c r="AJ129" s="63"/>
      <x:c r="AK129" s="63"/>
      <x:c r="AL129" s="63"/>
      <x:c r="AM129" s="63"/>
      <x:c r="AN129" s="63"/>
      <x:c r="AO129" s="63"/>
      <x:c r="AP129" s="63"/>
      <x:c r="AQ129" s="63"/>
      <x:c r="AR129" s="63"/>
      <x:c r="AS129" s="137"/>
      <x:c r="AT129" s="137"/>
      <x:c r="AU129" s="63" t="str">
        <x:f>IF($B129="","",IF($AK129="",10+$W129,IFERROR(INDEX('Armor Database'!$D$2:$D$100,MATCH($AK129,'Armor Database'!$A$2:$A$100,0))+IF(INDEX('Armor Database'!$E$2:$E$100,MATCH($AK129,'Armor Database'!$A$2:$A$100,0))="Full",$W129,IF(INDEX('Armor Database'!$E$2:$E$100,MATCH($AK129,'Armor Database'!$A$2:$A$100,0))="Max 2",MIN($W129,2),0))+IF($AL129="Shield",2,0)+N($AS129),10+$W129+IF($AL129="Shield",2,0)+N($AS129))))</x:f>
      </x:c>
      <x:c r="AV129" s="63" t="str">
        <x:f>IF($AM129="","",IFERROR(INDEX('Weapons Database'!$C$2:$C$100,MATCH($AM129,'Weapons Database'!$A$2:$A$100,0))&amp;" "&amp;INDEX('Weapons Database'!$D$2:$D$100,MATCH($AM129,'Weapons Database'!$A$2:$A$100,0)),""))</x:f>
      </x:c>
      <x:c r="AW129" s="63" t="str">
        <x:f>IF($AO129="","",IFERROR(INDEX('Weapons Database'!$C$2:$C$100,MATCH($AO129,'Weapons Database'!$A$2:$A$100,0))&amp;" "&amp;INDEX('Weapons Database'!$D$2:$D$100,MATCH($AO129,'Weapons Database'!$A$2:$A$100,0)),""))</x:f>
      </x:c>
      <x:c r="AX129" s="63"/>
    </x:row>
    <x:row r="130">
      <x:c r="A130" s="63"/>
      <x:c r="B130" s="63"/>
      <x:c r="C130" s="63"/>
      <x:c r="D130" s="63"/>
      <x:c r="E130" s="63"/>
      <x:c r="F130" s="63"/>
      <x:c r="G130" s="63"/>
      <x:c r="H130" s="63"/>
      <x:c r="I130" s="63"/>
      <x:c r="J130" s="63" t="str">
        <x:f>IF($B130="","",IF($AT130&lt;&gt;"",$AT130,$AU130))</x:f>
      </x:c>
      <x:c r="K130" s="63"/>
      <x:c r="L130" s="63"/>
      <x:c r="M130" s="63"/>
      <x:c r="N130" s="63"/>
      <x:c r="O130" s="63"/>
      <x:c r="P130" s="63"/>
      <x:c r="Q130" s="63"/>
      <x:c r="R130" s="63"/>
      <x:c r="S130" s="63"/>
      <x:c r="T130" s="63"/>
      <x:c r="U130" s="63"/>
      <x:c r="V130" s="63"/>
      <x:c r="W130" s="63"/>
      <x:c r="X130" s="63"/>
      <x:c r="Y130" s="63"/>
      <x:c r="Z130" s="63"/>
      <x:c r="AA130" s="63"/>
      <x:c r="AB130" s="63"/>
      <x:c r="AC130" s="63"/>
      <x:c r="AD130" s="63"/>
      <x:c r="AE130" s="63"/>
      <x:c r="AF130" s="63"/>
      <x:c r="AG130" s="63"/>
      <x:c r="AH130" s="63"/>
      <x:c r="AI130" s="63"/>
      <x:c r="AJ130" s="63"/>
      <x:c r="AK130" s="63"/>
      <x:c r="AL130" s="63"/>
      <x:c r="AM130" s="63"/>
      <x:c r="AN130" s="63"/>
      <x:c r="AO130" s="63"/>
      <x:c r="AP130" s="63"/>
      <x:c r="AQ130" s="63"/>
      <x:c r="AR130" s="63"/>
      <x:c r="AS130" s="137"/>
      <x:c r="AT130" s="137"/>
      <x:c r="AU130" s="63" t="str">
        <x:f>IF($B130="","",IF($AK130="",10+$W130,IFERROR(INDEX('Armor Database'!$D$2:$D$100,MATCH($AK130,'Armor Database'!$A$2:$A$100,0))+IF(INDEX('Armor Database'!$E$2:$E$100,MATCH($AK130,'Armor Database'!$A$2:$A$100,0))="Full",$W130,IF(INDEX('Armor Database'!$E$2:$E$100,MATCH($AK130,'Armor Database'!$A$2:$A$100,0))="Max 2",MIN($W130,2),0))+IF($AL130="Shield",2,0)+N($AS130),10+$W130+IF($AL130="Shield",2,0)+N($AS130))))</x:f>
      </x:c>
      <x:c r="AV130" s="63" t="str">
        <x:f>IF($AM130="","",IFERROR(INDEX('Weapons Database'!$C$2:$C$100,MATCH($AM130,'Weapons Database'!$A$2:$A$100,0))&amp;" "&amp;INDEX('Weapons Database'!$D$2:$D$100,MATCH($AM130,'Weapons Database'!$A$2:$A$100,0)),""))</x:f>
      </x:c>
      <x:c r="AW130" s="63" t="str">
        <x:f>IF($AO130="","",IFERROR(INDEX('Weapons Database'!$C$2:$C$100,MATCH($AO130,'Weapons Database'!$A$2:$A$100,0))&amp;" "&amp;INDEX('Weapons Database'!$D$2:$D$100,MATCH($AO130,'Weapons Database'!$A$2:$A$100,0)),""))</x:f>
      </x:c>
      <x:c r="AX130" s="63"/>
    </x:row>
    <x:row r="131">
      <x:c r="A131" s="63"/>
      <x:c r="B131" s="63"/>
      <x:c r="C131" s="63"/>
      <x:c r="D131" s="63"/>
      <x:c r="E131" s="63"/>
      <x:c r="F131" s="63"/>
      <x:c r="G131" s="63"/>
      <x:c r="H131" s="63"/>
      <x:c r="I131" s="63"/>
      <x:c r="J131" s="63" t="str">
        <x:f>IF($B131="","",IF($AT131&lt;&gt;"",$AT131,$AU131))</x:f>
      </x:c>
      <x:c r="K131" s="63"/>
      <x:c r="L131" s="63"/>
      <x:c r="M131" s="63"/>
      <x:c r="N131" s="63"/>
      <x:c r="O131" s="63"/>
      <x:c r="P131" s="63"/>
      <x:c r="Q131" s="63"/>
      <x:c r="R131" s="63"/>
      <x:c r="S131" s="63"/>
      <x:c r="T131" s="63"/>
      <x:c r="U131" s="63"/>
      <x:c r="V131" s="63"/>
      <x:c r="W131" s="63"/>
      <x:c r="X131" s="63"/>
      <x:c r="Y131" s="63"/>
      <x:c r="Z131" s="63"/>
      <x:c r="AA131" s="63"/>
      <x:c r="AB131" s="63"/>
      <x:c r="AC131" s="63"/>
      <x:c r="AD131" s="63"/>
      <x:c r="AE131" s="63"/>
      <x:c r="AF131" s="63"/>
      <x:c r="AG131" s="63"/>
      <x:c r="AH131" s="63"/>
      <x:c r="AI131" s="63"/>
      <x:c r="AJ131" s="63"/>
      <x:c r="AK131" s="63"/>
      <x:c r="AL131" s="63"/>
      <x:c r="AM131" s="63"/>
      <x:c r="AN131" s="63"/>
      <x:c r="AO131" s="63"/>
      <x:c r="AP131" s="63"/>
      <x:c r="AQ131" s="63"/>
      <x:c r="AR131" s="63"/>
      <x:c r="AS131" s="137"/>
      <x:c r="AT131" s="137"/>
      <x:c r="AU131" s="63" t="str">
        <x:f>IF($B131="","",IF($AK131="",10+$W131,IFERROR(INDEX('Armor Database'!$D$2:$D$100,MATCH($AK131,'Armor Database'!$A$2:$A$100,0))+IF(INDEX('Armor Database'!$E$2:$E$100,MATCH($AK131,'Armor Database'!$A$2:$A$100,0))="Full",$W131,IF(INDEX('Armor Database'!$E$2:$E$100,MATCH($AK131,'Armor Database'!$A$2:$A$100,0))="Max 2",MIN($W131,2),0))+IF($AL131="Shield",2,0)+N($AS131),10+$W131+IF($AL131="Shield",2,0)+N($AS131))))</x:f>
      </x:c>
      <x:c r="AV131" s="63" t="str">
        <x:f>IF($AM131="","",IFERROR(INDEX('Weapons Database'!$C$2:$C$100,MATCH($AM131,'Weapons Database'!$A$2:$A$100,0))&amp;" "&amp;INDEX('Weapons Database'!$D$2:$D$100,MATCH($AM131,'Weapons Database'!$A$2:$A$100,0)),""))</x:f>
      </x:c>
      <x:c r="AW131" s="63" t="str">
        <x:f>IF($AO131="","",IFERROR(INDEX('Weapons Database'!$C$2:$C$100,MATCH($AO131,'Weapons Database'!$A$2:$A$100,0))&amp;" "&amp;INDEX('Weapons Database'!$D$2:$D$100,MATCH($AO131,'Weapons Database'!$A$2:$A$100,0)),""))</x:f>
      </x:c>
      <x:c r="AX131" s="63"/>
    </x:row>
    <x:row r="132">
      <x:c r="A132" s="63"/>
      <x:c r="B132" s="63"/>
      <x:c r="C132" s="63"/>
      <x:c r="D132" s="63"/>
      <x:c r="E132" s="63"/>
      <x:c r="F132" s="63"/>
      <x:c r="G132" s="63"/>
      <x:c r="H132" s="63"/>
      <x:c r="I132" s="63"/>
      <x:c r="J132" s="63" t="str">
        <x:f>IF($B132="","",IF($AT132&lt;&gt;"",$AT132,$AU132))</x:f>
      </x:c>
      <x:c r="K132" s="63"/>
      <x:c r="L132" s="63"/>
      <x:c r="M132" s="63"/>
      <x:c r="N132" s="63"/>
      <x:c r="O132" s="63"/>
      <x:c r="P132" s="63"/>
      <x:c r="Q132" s="63"/>
      <x:c r="R132" s="63"/>
      <x:c r="S132" s="63"/>
      <x:c r="T132" s="63"/>
      <x:c r="U132" s="63"/>
      <x:c r="V132" s="63"/>
      <x:c r="W132" s="63"/>
      <x:c r="X132" s="63"/>
      <x:c r="Y132" s="63"/>
      <x:c r="Z132" s="63"/>
      <x:c r="AA132" s="63"/>
      <x:c r="AB132" s="63"/>
      <x:c r="AC132" s="63"/>
      <x:c r="AD132" s="63"/>
      <x:c r="AE132" s="63"/>
      <x:c r="AF132" s="63"/>
      <x:c r="AG132" s="63"/>
      <x:c r="AH132" s="63"/>
      <x:c r="AI132" s="63"/>
      <x:c r="AJ132" s="63"/>
      <x:c r="AK132" s="63"/>
      <x:c r="AL132" s="63"/>
      <x:c r="AM132" s="63"/>
      <x:c r="AN132" s="63"/>
      <x:c r="AO132" s="63"/>
      <x:c r="AP132" s="63"/>
      <x:c r="AQ132" s="63"/>
      <x:c r="AR132" s="63"/>
      <x:c r="AS132" s="137"/>
      <x:c r="AT132" s="137"/>
      <x:c r="AU132" s="63" t="str">
        <x:f>IF($B132="","",IF($AK132="",10+$W132,IFERROR(INDEX('Armor Database'!$D$2:$D$100,MATCH($AK132,'Armor Database'!$A$2:$A$100,0))+IF(INDEX('Armor Database'!$E$2:$E$100,MATCH($AK132,'Armor Database'!$A$2:$A$100,0))="Full",$W132,IF(INDEX('Armor Database'!$E$2:$E$100,MATCH($AK132,'Armor Database'!$A$2:$A$100,0))="Max 2",MIN($W132,2),0))+IF($AL132="Shield",2,0)+N($AS132),10+$W132+IF($AL132="Shield",2,0)+N($AS132))))</x:f>
      </x:c>
      <x:c r="AV132" s="63" t="str">
        <x:f>IF($AM132="","",IFERROR(INDEX('Weapons Database'!$C$2:$C$100,MATCH($AM132,'Weapons Database'!$A$2:$A$100,0))&amp;" "&amp;INDEX('Weapons Database'!$D$2:$D$100,MATCH($AM132,'Weapons Database'!$A$2:$A$100,0)),""))</x:f>
      </x:c>
      <x:c r="AW132" s="63" t="str">
        <x:f>IF($AO132="","",IFERROR(INDEX('Weapons Database'!$C$2:$C$100,MATCH($AO132,'Weapons Database'!$A$2:$A$100,0))&amp;" "&amp;INDEX('Weapons Database'!$D$2:$D$100,MATCH($AO132,'Weapons Database'!$A$2:$A$100,0)),""))</x:f>
      </x:c>
      <x:c r="AX132" s="63"/>
    </x:row>
    <x:row r="133">
      <x:c r="A133" s="63"/>
      <x:c r="B133" s="63"/>
      <x:c r="C133" s="63"/>
      <x:c r="D133" s="63"/>
      <x:c r="E133" s="63"/>
      <x:c r="F133" s="63"/>
      <x:c r="G133" s="63"/>
      <x:c r="H133" s="63"/>
      <x:c r="I133" s="63"/>
      <x:c r="J133" s="63" t="str">
        <x:f>IF($B133="","",IF($AT133&lt;&gt;"",$AT133,$AU133))</x:f>
      </x:c>
      <x:c r="K133" s="63"/>
      <x:c r="L133" s="63"/>
      <x:c r="M133" s="63"/>
      <x:c r="N133" s="63"/>
      <x:c r="O133" s="63"/>
      <x:c r="P133" s="63"/>
      <x:c r="Q133" s="63"/>
      <x:c r="R133" s="63"/>
      <x:c r="S133" s="63"/>
      <x:c r="T133" s="63"/>
      <x:c r="U133" s="63"/>
      <x:c r="V133" s="63"/>
      <x:c r="W133" s="63"/>
      <x:c r="X133" s="63"/>
      <x:c r="Y133" s="63"/>
      <x:c r="Z133" s="63"/>
      <x:c r="AA133" s="63"/>
      <x:c r="AB133" s="63"/>
      <x:c r="AC133" s="63"/>
      <x:c r="AD133" s="63"/>
      <x:c r="AE133" s="63"/>
      <x:c r="AF133" s="63"/>
      <x:c r="AG133" s="63"/>
      <x:c r="AH133" s="63"/>
      <x:c r="AI133" s="63"/>
      <x:c r="AJ133" s="63"/>
      <x:c r="AK133" s="63"/>
      <x:c r="AL133" s="63"/>
      <x:c r="AM133" s="63"/>
      <x:c r="AN133" s="63"/>
      <x:c r="AO133" s="63"/>
      <x:c r="AP133" s="63"/>
      <x:c r="AQ133" s="63"/>
      <x:c r="AR133" s="63"/>
      <x:c r="AS133" s="137"/>
      <x:c r="AT133" s="137"/>
      <x:c r="AU133" s="63" t="str">
        <x:f>IF($B133="","",IF($AK133="",10+$W133,IFERROR(INDEX('Armor Database'!$D$2:$D$100,MATCH($AK133,'Armor Database'!$A$2:$A$100,0))+IF(INDEX('Armor Database'!$E$2:$E$100,MATCH($AK133,'Armor Database'!$A$2:$A$100,0))="Full",$W133,IF(INDEX('Armor Database'!$E$2:$E$100,MATCH($AK133,'Armor Database'!$A$2:$A$100,0))="Max 2",MIN($W133,2),0))+IF($AL133="Shield",2,0)+N($AS133),10+$W133+IF($AL133="Shield",2,0)+N($AS133))))</x:f>
      </x:c>
      <x:c r="AV133" s="63" t="str">
        <x:f>IF($AM133="","",IFERROR(INDEX('Weapons Database'!$C$2:$C$100,MATCH($AM133,'Weapons Database'!$A$2:$A$100,0))&amp;" "&amp;INDEX('Weapons Database'!$D$2:$D$100,MATCH($AM133,'Weapons Database'!$A$2:$A$100,0)),""))</x:f>
      </x:c>
      <x:c r="AW133" s="63" t="str">
        <x:f>IF($AO133="","",IFERROR(INDEX('Weapons Database'!$C$2:$C$100,MATCH($AO133,'Weapons Database'!$A$2:$A$100,0))&amp;" "&amp;INDEX('Weapons Database'!$D$2:$D$100,MATCH($AO133,'Weapons Database'!$A$2:$A$100,0)),""))</x:f>
      </x:c>
      <x:c r="AX133" s="63"/>
    </x:row>
    <x:row r="134">
      <x:c r="A134" s="63"/>
      <x:c r="B134" s="63"/>
      <x:c r="C134" s="63"/>
      <x:c r="D134" s="63"/>
      <x:c r="E134" s="63"/>
      <x:c r="F134" s="63"/>
      <x:c r="G134" s="63"/>
      <x:c r="H134" s="63"/>
      <x:c r="I134" s="63"/>
      <x:c r="J134" s="63" t="str">
        <x:f>IF($B134="","",IF($AT134&lt;&gt;"",$AT134,$AU134))</x:f>
      </x:c>
      <x:c r="K134" s="63"/>
      <x:c r="L134" s="63"/>
      <x:c r="M134" s="63"/>
      <x:c r="N134" s="63"/>
      <x:c r="O134" s="63"/>
      <x:c r="P134" s="63"/>
      <x:c r="Q134" s="63"/>
      <x:c r="R134" s="63"/>
      <x:c r="S134" s="63"/>
      <x:c r="T134" s="63"/>
      <x:c r="U134" s="63"/>
      <x:c r="V134" s="63"/>
      <x:c r="W134" s="63"/>
      <x:c r="X134" s="63"/>
      <x:c r="Y134" s="63"/>
      <x:c r="Z134" s="63"/>
      <x:c r="AA134" s="63"/>
      <x:c r="AB134" s="63"/>
      <x:c r="AC134" s="63"/>
      <x:c r="AD134" s="63"/>
      <x:c r="AE134" s="63"/>
      <x:c r="AF134" s="63"/>
      <x:c r="AG134" s="63"/>
      <x:c r="AH134" s="63"/>
      <x:c r="AI134" s="63"/>
      <x:c r="AJ134" s="63"/>
      <x:c r="AK134" s="63"/>
      <x:c r="AL134" s="63"/>
      <x:c r="AM134" s="63"/>
      <x:c r="AN134" s="63"/>
      <x:c r="AO134" s="63"/>
      <x:c r="AP134" s="63"/>
      <x:c r="AQ134" s="63"/>
      <x:c r="AR134" s="63"/>
      <x:c r="AS134" s="137"/>
      <x:c r="AT134" s="137"/>
      <x:c r="AU134" s="63" t="str">
        <x:f>IF($B134="","",IF($AK134="",10+$W134,IFERROR(INDEX('Armor Database'!$D$2:$D$100,MATCH($AK134,'Armor Database'!$A$2:$A$100,0))+IF(INDEX('Armor Database'!$E$2:$E$100,MATCH($AK134,'Armor Database'!$A$2:$A$100,0))="Full",$W134,IF(INDEX('Armor Database'!$E$2:$E$100,MATCH($AK134,'Armor Database'!$A$2:$A$100,0))="Max 2",MIN($W134,2),0))+IF($AL134="Shield",2,0)+N($AS134),10+$W134+IF($AL134="Shield",2,0)+N($AS134))))</x:f>
      </x:c>
      <x:c r="AV134" s="63" t="str">
        <x:f>IF($AM134="","",IFERROR(INDEX('Weapons Database'!$C$2:$C$100,MATCH($AM134,'Weapons Database'!$A$2:$A$100,0))&amp;" "&amp;INDEX('Weapons Database'!$D$2:$D$100,MATCH($AM134,'Weapons Database'!$A$2:$A$100,0)),""))</x:f>
      </x:c>
      <x:c r="AW134" s="63" t="str">
        <x:f>IF($AO134="","",IFERROR(INDEX('Weapons Database'!$C$2:$C$100,MATCH($AO134,'Weapons Database'!$A$2:$A$100,0))&amp;" "&amp;INDEX('Weapons Database'!$D$2:$D$100,MATCH($AO134,'Weapons Database'!$A$2:$A$100,0)),""))</x:f>
      </x:c>
      <x:c r="AX134" s="63"/>
    </x:row>
    <x:row r="135">
      <x:c r="A135" s="63"/>
      <x:c r="B135" s="63"/>
      <x:c r="C135" s="63"/>
      <x:c r="D135" s="63"/>
      <x:c r="E135" s="63"/>
      <x:c r="F135" s="63"/>
      <x:c r="G135" s="63"/>
      <x:c r="H135" s="63"/>
      <x:c r="I135" s="63"/>
      <x:c r="J135" s="63" t="str">
        <x:f>IF($B135="","",IF($AT135&lt;&gt;"",$AT135,$AU135))</x:f>
      </x:c>
      <x:c r="K135" s="63"/>
      <x:c r="L135" s="63"/>
      <x:c r="M135" s="63"/>
      <x:c r="N135" s="63"/>
      <x:c r="O135" s="63"/>
      <x:c r="P135" s="63"/>
      <x:c r="Q135" s="63"/>
      <x:c r="R135" s="63"/>
      <x:c r="S135" s="63"/>
      <x:c r="T135" s="63"/>
      <x:c r="U135" s="63"/>
      <x:c r="V135" s="63"/>
      <x:c r="W135" s="63"/>
      <x:c r="X135" s="63"/>
      <x:c r="Y135" s="63"/>
      <x:c r="Z135" s="63"/>
      <x:c r="AA135" s="63"/>
      <x:c r="AB135" s="63"/>
      <x:c r="AC135" s="63"/>
      <x:c r="AD135" s="63"/>
      <x:c r="AE135" s="63"/>
      <x:c r="AF135" s="63"/>
      <x:c r="AG135" s="63"/>
      <x:c r="AH135" s="63"/>
      <x:c r="AI135" s="63"/>
      <x:c r="AJ135" s="63"/>
      <x:c r="AK135" s="63"/>
      <x:c r="AL135" s="63"/>
      <x:c r="AM135" s="63"/>
      <x:c r="AN135" s="63"/>
      <x:c r="AO135" s="63"/>
      <x:c r="AP135" s="63"/>
      <x:c r="AQ135" s="63"/>
      <x:c r="AR135" s="63"/>
      <x:c r="AS135" s="137"/>
      <x:c r="AT135" s="137"/>
      <x:c r="AU135" s="63" t="str">
        <x:f>IF($B135="","",IF($AK135="",10+$W135,IFERROR(INDEX('Armor Database'!$D$2:$D$100,MATCH($AK135,'Armor Database'!$A$2:$A$100,0))+IF(INDEX('Armor Database'!$E$2:$E$100,MATCH($AK135,'Armor Database'!$A$2:$A$100,0))="Full",$W135,IF(INDEX('Armor Database'!$E$2:$E$100,MATCH($AK135,'Armor Database'!$A$2:$A$100,0))="Max 2",MIN($W135,2),0))+IF($AL135="Shield",2,0)+N($AS135),10+$W135+IF($AL135="Shield",2,0)+N($AS135))))</x:f>
      </x:c>
      <x:c r="AV135" s="63" t="str">
        <x:f>IF($AM135="","",IFERROR(INDEX('Weapons Database'!$C$2:$C$100,MATCH($AM135,'Weapons Database'!$A$2:$A$100,0))&amp;" "&amp;INDEX('Weapons Database'!$D$2:$D$100,MATCH($AM135,'Weapons Database'!$A$2:$A$100,0)),""))</x:f>
      </x:c>
      <x:c r="AW135" s="63" t="str">
        <x:f>IF($AO135="","",IFERROR(INDEX('Weapons Database'!$C$2:$C$100,MATCH($AO135,'Weapons Database'!$A$2:$A$100,0))&amp;" "&amp;INDEX('Weapons Database'!$D$2:$D$100,MATCH($AO135,'Weapons Database'!$A$2:$A$100,0)),""))</x:f>
      </x:c>
      <x:c r="AX135" s="63"/>
    </x:row>
    <x:row r="136">
      <x:c r="A136" s="63"/>
      <x:c r="B136" s="63"/>
      <x:c r="C136" s="63"/>
      <x:c r="D136" s="63"/>
      <x:c r="E136" s="63"/>
      <x:c r="F136" s="63"/>
      <x:c r="G136" s="63"/>
      <x:c r="H136" s="63"/>
      <x:c r="I136" s="63"/>
      <x:c r="J136" s="63" t="str">
        <x:f>IF($B136="","",IF($AT136&lt;&gt;"",$AT136,$AU136))</x:f>
      </x:c>
      <x:c r="K136" s="63"/>
      <x:c r="L136" s="63"/>
      <x:c r="M136" s="63"/>
      <x:c r="N136" s="63"/>
      <x:c r="O136" s="63"/>
      <x:c r="P136" s="63"/>
      <x:c r="Q136" s="63"/>
      <x:c r="R136" s="63"/>
      <x:c r="S136" s="63"/>
      <x:c r="T136" s="63"/>
      <x:c r="U136" s="63"/>
      <x:c r="V136" s="63"/>
      <x:c r="W136" s="63"/>
      <x:c r="X136" s="63"/>
      <x:c r="Y136" s="63"/>
      <x:c r="Z136" s="63"/>
      <x:c r="AA136" s="63"/>
      <x:c r="AB136" s="63"/>
      <x:c r="AC136" s="63"/>
      <x:c r="AD136" s="63"/>
      <x:c r="AE136" s="63"/>
      <x:c r="AF136" s="63"/>
      <x:c r="AG136" s="63"/>
      <x:c r="AH136" s="63"/>
      <x:c r="AI136" s="63"/>
      <x:c r="AJ136" s="63"/>
      <x:c r="AK136" s="63"/>
      <x:c r="AL136" s="63"/>
      <x:c r="AM136" s="63"/>
      <x:c r="AN136" s="63"/>
      <x:c r="AO136" s="63"/>
      <x:c r="AP136" s="63"/>
      <x:c r="AQ136" s="63"/>
      <x:c r="AR136" s="63"/>
      <x:c r="AS136" s="137"/>
      <x:c r="AT136" s="137"/>
      <x:c r="AU136" s="63" t="str">
        <x:f>IF($B136="","",IF($AK136="",10+$W136,IFERROR(INDEX('Armor Database'!$D$2:$D$100,MATCH($AK136,'Armor Database'!$A$2:$A$100,0))+IF(INDEX('Armor Database'!$E$2:$E$100,MATCH($AK136,'Armor Database'!$A$2:$A$100,0))="Full",$W136,IF(INDEX('Armor Database'!$E$2:$E$100,MATCH($AK136,'Armor Database'!$A$2:$A$100,0))="Max 2",MIN($W136,2),0))+IF($AL136="Shield",2,0)+N($AS136),10+$W136+IF($AL136="Shield",2,0)+N($AS136))))</x:f>
      </x:c>
      <x:c r="AV136" s="63" t="str">
        <x:f>IF($AM136="","",IFERROR(INDEX('Weapons Database'!$C$2:$C$100,MATCH($AM136,'Weapons Database'!$A$2:$A$100,0))&amp;" "&amp;INDEX('Weapons Database'!$D$2:$D$100,MATCH($AM136,'Weapons Database'!$A$2:$A$100,0)),""))</x:f>
      </x:c>
      <x:c r="AW136" s="63" t="str">
        <x:f>IF($AO136="","",IFERROR(INDEX('Weapons Database'!$C$2:$C$100,MATCH($AO136,'Weapons Database'!$A$2:$A$100,0))&amp;" "&amp;INDEX('Weapons Database'!$D$2:$D$100,MATCH($AO136,'Weapons Database'!$A$2:$A$100,0)),""))</x:f>
      </x:c>
      <x:c r="AX136" s="63"/>
    </x:row>
    <x:row r="137">
      <x:c r="A137" s="63"/>
      <x:c r="B137" s="63"/>
      <x:c r="C137" s="63"/>
      <x:c r="D137" s="63"/>
      <x:c r="E137" s="63"/>
      <x:c r="F137" s="63"/>
      <x:c r="G137" s="63"/>
      <x:c r="H137" s="63"/>
      <x:c r="I137" s="63"/>
      <x:c r="J137" s="63" t="str">
        <x:f>IF($B137="","",IF($AT137&lt;&gt;"",$AT137,$AU137))</x:f>
      </x:c>
      <x:c r="K137" s="63"/>
      <x:c r="L137" s="63"/>
      <x:c r="M137" s="63"/>
      <x:c r="N137" s="63"/>
      <x:c r="O137" s="63"/>
      <x:c r="P137" s="63"/>
      <x:c r="Q137" s="63"/>
      <x:c r="R137" s="63"/>
      <x:c r="S137" s="63"/>
      <x:c r="T137" s="63"/>
      <x:c r="U137" s="63"/>
      <x:c r="V137" s="63"/>
      <x:c r="W137" s="63"/>
      <x:c r="X137" s="63"/>
      <x:c r="Y137" s="63"/>
      <x:c r="Z137" s="63"/>
      <x:c r="AA137" s="63"/>
      <x:c r="AB137" s="63"/>
      <x:c r="AC137" s="63"/>
      <x:c r="AD137" s="63"/>
      <x:c r="AE137" s="63"/>
      <x:c r="AF137" s="63"/>
      <x:c r="AG137" s="63"/>
      <x:c r="AH137" s="63"/>
      <x:c r="AI137" s="63"/>
      <x:c r="AJ137" s="63"/>
      <x:c r="AK137" s="63"/>
      <x:c r="AL137" s="63"/>
      <x:c r="AM137" s="63"/>
      <x:c r="AN137" s="63"/>
      <x:c r="AO137" s="63"/>
      <x:c r="AP137" s="63"/>
      <x:c r="AQ137" s="63"/>
      <x:c r="AR137" s="63"/>
      <x:c r="AS137" s="137"/>
      <x:c r="AT137" s="137"/>
      <x:c r="AU137" s="63" t="str">
        <x:f>IF($B137="","",IF($AK137="",10+$W137,IFERROR(INDEX('Armor Database'!$D$2:$D$100,MATCH($AK137,'Armor Database'!$A$2:$A$100,0))+IF(INDEX('Armor Database'!$E$2:$E$100,MATCH($AK137,'Armor Database'!$A$2:$A$100,0))="Full",$W137,IF(INDEX('Armor Database'!$E$2:$E$100,MATCH($AK137,'Armor Database'!$A$2:$A$100,0))="Max 2",MIN($W137,2),0))+IF($AL137="Shield",2,0)+N($AS137),10+$W137+IF($AL137="Shield",2,0)+N($AS137))))</x:f>
      </x:c>
      <x:c r="AV137" s="63" t="str">
        <x:f>IF($AM137="","",IFERROR(INDEX('Weapons Database'!$C$2:$C$100,MATCH($AM137,'Weapons Database'!$A$2:$A$100,0))&amp;" "&amp;INDEX('Weapons Database'!$D$2:$D$100,MATCH($AM137,'Weapons Database'!$A$2:$A$100,0)),""))</x:f>
      </x:c>
      <x:c r="AW137" s="63" t="str">
        <x:f>IF($AO137="","",IFERROR(INDEX('Weapons Database'!$C$2:$C$100,MATCH($AO137,'Weapons Database'!$A$2:$A$100,0))&amp;" "&amp;INDEX('Weapons Database'!$D$2:$D$100,MATCH($AO137,'Weapons Database'!$A$2:$A$100,0)),""))</x:f>
      </x:c>
      <x:c r="AX137" s="63"/>
    </x:row>
    <x:row r="138">
      <x:c r="A138" s="63"/>
      <x:c r="B138" s="63"/>
      <x:c r="C138" s="63"/>
      <x:c r="D138" s="63"/>
      <x:c r="E138" s="63"/>
      <x:c r="F138" s="63"/>
      <x:c r="G138" s="63"/>
      <x:c r="H138" s="63"/>
      <x:c r="I138" s="63"/>
      <x:c r="J138" s="63" t="str">
        <x:f>IF($B138="","",IF($AT138&lt;&gt;"",$AT138,$AU138))</x:f>
      </x:c>
      <x:c r="K138" s="63"/>
      <x:c r="L138" s="63"/>
      <x:c r="M138" s="63"/>
      <x:c r="N138" s="63"/>
      <x:c r="O138" s="63"/>
      <x:c r="P138" s="63"/>
      <x:c r="Q138" s="63"/>
      <x:c r="R138" s="63"/>
      <x:c r="S138" s="63"/>
      <x:c r="T138" s="63"/>
      <x:c r="U138" s="63"/>
      <x:c r="V138" s="63"/>
      <x:c r="W138" s="63"/>
      <x:c r="X138" s="63"/>
      <x:c r="Y138" s="63"/>
      <x:c r="Z138" s="63"/>
      <x:c r="AA138" s="63"/>
      <x:c r="AB138" s="63"/>
      <x:c r="AC138" s="63"/>
      <x:c r="AD138" s="63"/>
      <x:c r="AE138" s="63"/>
      <x:c r="AF138" s="63"/>
      <x:c r="AG138" s="63"/>
      <x:c r="AH138" s="63"/>
      <x:c r="AI138" s="63"/>
      <x:c r="AJ138" s="63"/>
      <x:c r="AK138" s="63"/>
      <x:c r="AL138" s="63"/>
      <x:c r="AM138" s="63"/>
      <x:c r="AN138" s="63"/>
      <x:c r="AO138" s="63"/>
      <x:c r="AP138" s="63"/>
      <x:c r="AQ138" s="63"/>
      <x:c r="AR138" s="63"/>
      <x:c r="AS138" s="137"/>
      <x:c r="AT138" s="137"/>
      <x:c r="AU138" s="63" t="str">
        <x:f>IF($B138="","",IF($AK138="",10+$W138,IFERROR(INDEX('Armor Database'!$D$2:$D$100,MATCH($AK138,'Armor Database'!$A$2:$A$100,0))+IF(INDEX('Armor Database'!$E$2:$E$100,MATCH($AK138,'Armor Database'!$A$2:$A$100,0))="Full",$W138,IF(INDEX('Armor Database'!$E$2:$E$100,MATCH($AK138,'Armor Database'!$A$2:$A$100,0))="Max 2",MIN($W138,2),0))+IF($AL138="Shield",2,0)+N($AS138),10+$W138+IF($AL138="Shield",2,0)+N($AS138))))</x:f>
      </x:c>
      <x:c r="AV138" s="63" t="str">
        <x:f>IF($AM138="","",IFERROR(INDEX('Weapons Database'!$C$2:$C$100,MATCH($AM138,'Weapons Database'!$A$2:$A$100,0))&amp;" "&amp;INDEX('Weapons Database'!$D$2:$D$100,MATCH($AM138,'Weapons Database'!$A$2:$A$100,0)),""))</x:f>
      </x:c>
      <x:c r="AW138" s="63" t="str">
        <x:f>IF($AO138="","",IFERROR(INDEX('Weapons Database'!$C$2:$C$100,MATCH($AO138,'Weapons Database'!$A$2:$A$100,0))&amp;" "&amp;INDEX('Weapons Database'!$D$2:$D$100,MATCH($AO138,'Weapons Database'!$A$2:$A$100,0)),""))</x:f>
      </x:c>
      <x:c r="AX138" s="63"/>
    </x:row>
    <x:row r="139">
      <x:c r="A139" s="63"/>
      <x:c r="B139" s="63"/>
      <x:c r="C139" s="63"/>
      <x:c r="D139" s="63"/>
      <x:c r="E139" s="63"/>
      <x:c r="F139" s="63"/>
      <x:c r="G139" s="63"/>
      <x:c r="H139" s="63"/>
      <x:c r="I139" s="63"/>
      <x:c r="J139" s="63" t="str">
        <x:f>IF($B139="","",IF($AT139&lt;&gt;"",$AT139,$AU139))</x:f>
      </x:c>
      <x:c r="K139" s="63"/>
      <x:c r="L139" s="63"/>
      <x:c r="M139" s="63"/>
      <x:c r="N139" s="63"/>
      <x:c r="O139" s="63"/>
      <x:c r="P139" s="63"/>
      <x:c r="Q139" s="63"/>
      <x:c r="R139" s="63"/>
      <x:c r="S139" s="63"/>
      <x:c r="T139" s="63"/>
      <x:c r="U139" s="63"/>
      <x:c r="V139" s="63"/>
      <x:c r="W139" s="63"/>
      <x:c r="X139" s="63"/>
      <x:c r="Y139" s="63"/>
      <x:c r="Z139" s="63"/>
      <x:c r="AA139" s="63"/>
      <x:c r="AB139" s="63"/>
      <x:c r="AC139" s="63"/>
      <x:c r="AD139" s="63"/>
      <x:c r="AE139" s="63"/>
      <x:c r="AF139" s="63"/>
      <x:c r="AG139" s="63"/>
      <x:c r="AH139" s="63"/>
      <x:c r="AI139" s="63"/>
      <x:c r="AJ139" s="63"/>
      <x:c r="AK139" s="63"/>
      <x:c r="AL139" s="63"/>
      <x:c r="AM139" s="63"/>
      <x:c r="AN139" s="63"/>
      <x:c r="AO139" s="63"/>
      <x:c r="AP139" s="63"/>
      <x:c r="AQ139" s="63"/>
      <x:c r="AR139" s="63"/>
      <x:c r="AS139" s="137"/>
      <x:c r="AT139" s="137"/>
      <x:c r="AU139" s="63" t="str">
        <x:f>IF($B139="","",IF($AK139="",10+$W139,IFERROR(INDEX('Armor Database'!$D$2:$D$100,MATCH($AK139,'Armor Database'!$A$2:$A$100,0))+IF(INDEX('Armor Database'!$E$2:$E$100,MATCH($AK139,'Armor Database'!$A$2:$A$100,0))="Full",$W139,IF(INDEX('Armor Database'!$E$2:$E$100,MATCH($AK139,'Armor Database'!$A$2:$A$100,0))="Max 2",MIN($W139,2),0))+IF($AL139="Shield",2,0)+N($AS139),10+$W139+IF($AL139="Shield",2,0)+N($AS139))))</x:f>
      </x:c>
      <x:c r="AV139" s="63" t="str">
        <x:f>IF($AM139="","",IFERROR(INDEX('Weapons Database'!$C$2:$C$100,MATCH($AM139,'Weapons Database'!$A$2:$A$100,0))&amp;" "&amp;INDEX('Weapons Database'!$D$2:$D$100,MATCH($AM139,'Weapons Database'!$A$2:$A$100,0)),""))</x:f>
      </x:c>
      <x:c r="AW139" s="63" t="str">
        <x:f>IF($AO139="","",IFERROR(INDEX('Weapons Database'!$C$2:$C$100,MATCH($AO139,'Weapons Database'!$A$2:$A$100,0))&amp;" "&amp;INDEX('Weapons Database'!$D$2:$D$100,MATCH($AO139,'Weapons Database'!$A$2:$A$100,0)),""))</x:f>
      </x:c>
      <x:c r="AX139" s="63"/>
    </x:row>
    <x:row r="140">
      <x:c r="A140" s="63"/>
      <x:c r="B140" s="63"/>
      <x:c r="C140" s="63"/>
      <x:c r="D140" s="63"/>
      <x:c r="E140" s="63"/>
      <x:c r="F140" s="63"/>
      <x:c r="G140" s="63"/>
      <x:c r="H140" s="63"/>
      <x:c r="I140" s="63"/>
      <x:c r="J140" s="63" t="str">
        <x:f>IF($B140="","",IF($AT140&lt;&gt;"",$AT140,$AU140))</x:f>
      </x:c>
      <x:c r="K140" s="63"/>
      <x:c r="L140" s="63"/>
      <x:c r="M140" s="63"/>
      <x:c r="N140" s="63"/>
      <x:c r="O140" s="63"/>
      <x:c r="P140" s="63"/>
      <x:c r="Q140" s="63"/>
      <x:c r="R140" s="63"/>
      <x:c r="S140" s="63"/>
      <x:c r="T140" s="63"/>
      <x:c r="U140" s="63"/>
      <x:c r="V140" s="63"/>
      <x:c r="W140" s="63"/>
      <x:c r="X140" s="63"/>
      <x:c r="Y140" s="63"/>
      <x:c r="Z140" s="63"/>
      <x:c r="AA140" s="63"/>
      <x:c r="AB140" s="63"/>
      <x:c r="AC140" s="63"/>
      <x:c r="AD140" s="63"/>
      <x:c r="AE140" s="63"/>
      <x:c r="AF140" s="63"/>
      <x:c r="AG140" s="63"/>
      <x:c r="AH140" s="63"/>
      <x:c r="AI140" s="63"/>
      <x:c r="AJ140" s="63"/>
      <x:c r="AK140" s="63"/>
      <x:c r="AL140" s="63"/>
      <x:c r="AM140" s="63"/>
      <x:c r="AN140" s="63"/>
      <x:c r="AO140" s="63"/>
      <x:c r="AP140" s="63"/>
      <x:c r="AQ140" s="63"/>
      <x:c r="AR140" s="63"/>
      <x:c r="AS140" s="137"/>
      <x:c r="AT140" s="137"/>
      <x:c r="AU140" s="63" t="str">
        <x:f>IF($B140="","",IF($AK140="",10+$W140,IFERROR(INDEX('Armor Database'!$D$2:$D$100,MATCH($AK140,'Armor Database'!$A$2:$A$100,0))+IF(INDEX('Armor Database'!$E$2:$E$100,MATCH($AK140,'Armor Database'!$A$2:$A$100,0))="Full",$W140,IF(INDEX('Armor Database'!$E$2:$E$100,MATCH($AK140,'Armor Database'!$A$2:$A$100,0))="Max 2",MIN($W140,2),0))+IF($AL140="Shield",2,0)+N($AS140),10+$W140+IF($AL140="Shield",2,0)+N($AS140))))</x:f>
      </x:c>
      <x:c r="AV140" s="63" t="str">
        <x:f>IF($AM140="","",IFERROR(INDEX('Weapons Database'!$C$2:$C$100,MATCH($AM140,'Weapons Database'!$A$2:$A$100,0))&amp;" "&amp;INDEX('Weapons Database'!$D$2:$D$100,MATCH($AM140,'Weapons Database'!$A$2:$A$100,0)),""))</x:f>
      </x:c>
      <x:c r="AW140" s="63" t="str">
        <x:f>IF($AO140="","",IFERROR(INDEX('Weapons Database'!$C$2:$C$100,MATCH($AO140,'Weapons Database'!$A$2:$A$100,0))&amp;" "&amp;INDEX('Weapons Database'!$D$2:$D$100,MATCH($AO140,'Weapons Database'!$A$2:$A$100,0)),""))</x:f>
      </x:c>
      <x:c r="AX140" s="63"/>
    </x:row>
    <x:row r="141">
      <x:c r="A141" s="63"/>
      <x:c r="B141" s="63"/>
      <x:c r="C141" s="63"/>
      <x:c r="D141" s="63"/>
      <x:c r="E141" s="63"/>
      <x:c r="F141" s="63"/>
      <x:c r="G141" s="63"/>
      <x:c r="H141" s="63"/>
      <x:c r="I141" s="63"/>
      <x:c r="J141" s="63" t="str">
        <x:f>IF($B141="","",IF($AT141&lt;&gt;"",$AT141,$AU141))</x:f>
      </x:c>
      <x:c r="K141" s="63"/>
      <x:c r="L141" s="63"/>
      <x:c r="M141" s="63"/>
      <x:c r="N141" s="63"/>
      <x:c r="O141" s="63"/>
      <x:c r="P141" s="63"/>
      <x:c r="Q141" s="63"/>
      <x:c r="R141" s="63"/>
      <x:c r="S141" s="63"/>
      <x:c r="T141" s="63"/>
      <x:c r="U141" s="63"/>
      <x:c r="V141" s="63"/>
      <x:c r="W141" s="63"/>
      <x:c r="X141" s="63"/>
      <x:c r="Y141" s="63"/>
      <x:c r="Z141" s="63"/>
      <x:c r="AA141" s="63"/>
      <x:c r="AB141" s="63"/>
      <x:c r="AC141" s="63"/>
      <x:c r="AD141" s="63"/>
      <x:c r="AE141" s="63"/>
      <x:c r="AF141" s="63"/>
      <x:c r="AG141" s="63"/>
      <x:c r="AH141" s="63"/>
      <x:c r="AI141" s="63"/>
      <x:c r="AJ141" s="63"/>
      <x:c r="AK141" s="63"/>
      <x:c r="AL141" s="63"/>
      <x:c r="AM141" s="63"/>
      <x:c r="AN141" s="63"/>
      <x:c r="AO141" s="63"/>
      <x:c r="AP141" s="63"/>
      <x:c r="AQ141" s="63"/>
      <x:c r="AR141" s="63"/>
      <x:c r="AS141" s="137"/>
      <x:c r="AT141" s="137"/>
      <x:c r="AU141" s="63" t="str">
        <x:f>IF($B141="","",IF($AK141="",10+$W141,IFERROR(INDEX('Armor Database'!$D$2:$D$100,MATCH($AK141,'Armor Database'!$A$2:$A$100,0))+IF(INDEX('Armor Database'!$E$2:$E$100,MATCH($AK141,'Armor Database'!$A$2:$A$100,0))="Full",$W141,IF(INDEX('Armor Database'!$E$2:$E$100,MATCH($AK141,'Armor Database'!$A$2:$A$100,0))="Max 2",MIN($W141,2),0))+IF($AL141="Shield",2,0)+N($AS141),10+$W141+IF($AL141="Shield",2,0)+N($AS141))))</x:f>
      </x:c>
      <x:c r="AV141" s="63" t="str">
        <x:f>IF($AM141="","",IFERROR(INDEX('Weapons Database'!$C$2:$C$100,MATCH($AM141,'Weapons Database'!$A$2:$A$100,0))&amp;" "&amp;INDEX('Weapons Database'!$D$2:$D$100,MATCH($AM141,'Weapons Database'!$A$2:$A$100,0)),""))</x:f>
      </x:c>
      <x:c r="AW141" s="63" t="str">
        <x:f>IF($AO141="","",IFERROR(INDEX('Weapons Database'!$C$2:$C$100,MATCH($AO141,'Weapons Database'!$A$2:$A$100,0))&amp;" "&amp;INDEX('Weapons Database'!$D$2:$D$100,MATCH($AO141,'Weapons Database'!$A$2:$A$100,0)),""))</x:f>
      </x:c>
      <x:c r="AX141" s="63"/>
    </x:row>
    <x:row r="142">
      <x:c r="A142" s="63"/>
      <x:c r="B142" s="63"/>
      <x:c r="C142" s="63"/>
      <x:c r="D142" s="63"/>
      <x:c r="E142" s="63"/>
      <x:c r="F142" s="63"/>
      <x:c r="G142" s="63"/>
      <x:c r="H142" s="63"/>
      <x:c r="I142" s="63"/>
      <x:c r="J142" s="63" t="str">
        <x:f>IF($B142="","",IF($AT142&lt;&gt;"",$AT142,$AU142))</x:f>
      </x:c>
      <x:c r="K142" s="63"/>
      <x:c r="L142" s="63"/>
      <x:c r="M142" s="63"/>
      <x:c r="N142" s="63"/>
      <x:c r="O142" s="63"/>
      <x:c r="P142" s="63"/>
      <x:c r="Q142" s="63"/>
      <x:c r="R142" s="63"/>
      <x:c r="S142" s="63"/>
      <x:c r="T142" s="63"/>
      <x:c r="U142" s="63"/>
      <x:c r="V142" s="63"/>
      <x:c r="W142" s="63"/>
      <x:c r="X142" s="63"/>
      <x:c r="Y142" s="63"/>
      <x:c r="Z142" s="63"/>
      <x:c r="AA142" s="63"/>
      <x:c r="AB142" s="63"/>
      <x:c r="AC142" s="63"/>
      <x:c r="AD142" s="63"/>
      <x:c r="AE142" s="63"/>
      <x:c r="AF142" s="63"/>
      <x:c r="AG142" s="63"/>
      <x:c r="AH142" s="63"/>
      <x:c r="AI142" s="63"/>
      <x:c r="AJ142" s="63"/>
      <x:c r="AK142" s="63"/>
      <x:c r="AL142" s="63"/>
      <x:c r="AM142" s="63"/>
      <x:c r="AN142" s="63"/>
      <x:c r="AO142" s="63"/>
      <x:c r="AP142" s="63"/>
      <x:c r="AQ142" s="63"/>
      <x:c r="AR142" s="63"/>
      <x:c r="AS142" s="137"/>
      <x:c r="AT142" s="137"/>
      <x:c r="AU142" s="63" t="str">
        <x:f>IF($B142="","",IF($AK142="",10+$W142,IFERROR(INDEX('Armor Database'!$D$2:$D$100,MATCH($AK142,'Armor Database'!$A$2:$A$100,0))+IF(INDEX('Armor Database'!$E$2:$E$100,MATCH($AK142,'Armor Database'!$A$2:$A$100,0))="Full",$W142,IF(INDEX('Armor Database'!$E$2:$E$100,MATCH($AK142,'Armor Database'!$A$2:$A$100,0))="Max 2",MIN($W142,2),0))+IF($AL142="Shield",2,0)+N($AS142),10+$W142+IF($AL142="Shield",2,0)+N($AS142))))</x:f>
      </x:c>
      <x:c r="AV142" s="63" t="str">
        <x:f>IF($AM142="","",IFERROR(INDEX('Weapons Database'!$C$2:$C$100,MATCH($AM142,'Weapons Database'!$A$2:$A$100,0))&amp;" "&amp;INDEX('Weapons Database'!$D$2:$D$100,MATCH($AM142,'Weapons Database'!$A$2:$A$100,0)),""))</x:f>
      </x:c>
      <x:c r="AW142" s="63" t="str">
        <x:f>IF($AO142="","",IFERROR(INDEX('Weapons Database'!$C$2:$C$100,MATCH($AO142,'Weapons Database'!$A$2:$A$100,0))&amp;" "&amp;INDEX('Weapons Database'!$D$2:$D$100,MATCH($AO142,'Weapons Database'!$A$2:$A$100,0)),""))</x:f>
      </x:c>
      <x:c r="AX142" s="63"/>
    </x:row>
    <x:row r="143">
      <x:c r="A143" s="63"/>
      <x:c r="B143" s="63"/>
      <x:c r="C143" s="63"/>
      <x:c r="D143" s="63"/>
      <x:c r="E143" s="63"/>
      <x:c r="F143" s="63"/>
      <x:c r="G143" s="63"/>
      <x:c r="H143" s="63"/>
      <x:c r="I143" s="63"/>
      <x:c r="J143" s="63" t="str">
        <x:f>IF($B143="","",IF($AT143&lt;&gt;"",$AT143,$AU143))</x:f>
      </x:c>
      <x:c r="K143" s="63"/>
      <x:c r="L143" s="63"/>
      <x:c r="M143" s="63"/>
      <x:c r="N143" s="63"/>
      <x:c r="O143" s="63"/>
      <x:c r="P143" s="63"/>
      <x:c r="Q143" s="63"/>
      <x:c r="R143" s="63"/>
      <x:c r="S143" s="63"/>
      <x:c r="T143" s="63"/>
      <x:c r="U143" s="63"/>
      <x:c r="V143" s="63"/>
      <x:c r="W143" s="63"/>
      <x:c r="X143" s="63"/>
      <x:c r="Y143" s="63"/>
      <x:c r="Z143" s="63"/>
      <x:c r="AA143" s="63"/>
      <x:c r="AB143" s="63"/>
      <x:c r="AC143" s="63"/>
      <x:c r="AD143" s="63"/>
      <x:c r="AE143" s="63"/>
      <x:c r="AF143" s="63"/>
      <x:c r="AG143" s="63"/>
      <x:c r="AH143" s="63"/>
      <x:c r="AI143" s="63"/>
      <x:c r="AJ143" s="63"/>
      <x:c r="AK143" s="63"/>
      <x:c r="AL143" s="63"/>
      <x:c r="AM143" s="63"/>
      <x:c r="AN143" s="63"/>
      <x:c r="AO143" s="63"/>
      <x:c r="AP143" s="63"/>
      <x:c r="AQ143" s="63"/>
      <x:c r="AR143" s="63"/>
      <x:c r="AS143" s="137"/>
      <x:c r="AT143" s="137"/>
      <x:c r="AU143" s="63" t="str">
        <x:f>IF($B143="","",IF($AK143="",10+$W143,IFERROR(INDEX('Armor Database'!$D$2:$D$100,MATCH($AK143,'Armor Database'!$A$2:$A$100,0))+IF(INDEX('Armor Database'!$E$2:$E$100,MATCH($AK143,'Armor Database'!$A$2:$A$100,0))="Full",$W143,IF(INDEX('Armor Database'!$E$2:$E$100,MATCH($AK143,'Armor Database'!$A$2:$A$100,0))="Max 2",MIN($W143,2),0))+IF($AL143="Shield",2,0)+N($AS143),10+$W143+IF($AL143="Shield",2,0)+N($AS143))))</x:f>
      </x:c>
      <x:c r="AV143" s="63" t="str">
        <x:f>IF($AM143="","",IFERROR(INDEX('Weapons Database'!$C$2:$C$100,MATCH($AM143,'Weapons Database'!$A$2:$A$100,0))&amp;" "&amp;INDEX('Weapons Database'!$D$2:$D$100,MATCH($AM143,'Weapons Database'!$A$2:$A$100,0)),""))</x:f>
      </x:c>
      <x:c r="AW143" s="63" t="str">
        <x:f>IF($AO143="","",IFERROR(INDEX('Weapons Database'!$C$2:$C$100,MATCH($AO143,'Weapons Database'!$A$2:$A$100,0))&amp;" "&amp;INDEX('Weapons Database'!$D$2:$D$100,MATCH($AO143,'Weapons Database'!$A$2:$A$100,0)),""))</x:f>
      </x:c>
      <x:c r="AX143" s="63"/>
    </x:row>
    <x:row r="144">
      <x:c r="A144" s="63"/>
      <x:c r="B144" s="63"/>
      <x:c r="C144" s="63"/>
      <x:c r="D144" s="63"/>
      <x:c r="E144" s="63"/>
      <x:c r="F144" s="63"/>
      <x:c r="G144" s="63"/>
      <x:c r="H144" s="63"/>
      <x:c r="I144" s="63"/>
      <x:c r="J144" s="63" t="str">
        <x:f>IF($B144="","",IF($AT144&lt;&gt;"",$AT144,$AU144))</x:f>
      </x:c>
      <x:c r="K144" s="63"/>
      <x:c r="L144" s="63"/>
      <x:c r="M144" s="63"/>
      <x:c r="N144" s="63"/>
      <x:c r="O144" s="63"/>
      <x:c r="P144" s="63"/>
      <x:c r="Q144" s="63"/>
      <x:c r="R144" s="63"/>
      <x:c r="S144" s="63"/>
      <x:c r="T144" s="63"/>
      <x:c r="U144" s="63"/>
      <x:c r="V144" s="63"/>
      <x:c r="W144" s="63"/>
      <x:c r="X144" s="63"/>
      <x:c r="Y144" s="63"/>
      <x:c r="Z144" s="63"/>
      <x:c r="AA144" s="63"/>
      <x:c r="AB144" s="63"/>
      <x:c r="AC144" s="63"/>
      <x:c r="AD144" s="63"/>
      <x:c r="AE144" s="63"/>
      <x:c r="AF144" s="63"/>
      <x:c r="AG144" s="63"/>
      <x:c r="AH144" s="63"/>
      <x:c r="AI144" s="63"/>
      <x:c r="AJ144" s="63"/>
      <x:c r="AK144" s="63"/>
      <x:c r="AL144" s="63"/>
      <x:c r="AM144" s="63"/>
      <x:c r="AN144" s="63"/>
      <x:c r="AO144" s="63"/>
      <x:c r="AP144" s="63"/>
      <x:c r="AQ144" s="63"/>
      <x:c r="AR144" s="63"/>
      <x:c r="AS144" s="137"/>
      <x:c r="AT144" s="137"/>
      <x:c r="AU144" s="63" t="str">
        <x:f>IF($B144="","",IF($AK144="",10+$W144,IFERROR(INDEX('Armor Database'!$D$2:$D$100,MATCH($AK144,'Armor Database'!$A$2:$A$100,0))+IF(INDEX('Armor Database'!$E$2:$E$100,MATCH($AK144,'Armor Database'!$A$2:$A$100,0))="Full",$W144,IF(INDEX('Armor Database'!$E$2:$E$100,MATCH($AK144,'Armor Database'!$A$2:$A$100,0))="Max 2",MIN($W144,2),0))+IF($AL144="Shield",2,0)+N($AS144),10+$W144+IF($AL144="Shield",2,0)+N($AS144))))</x:f>
      </x:c>
      <x:c r="AV144" s="63" t="str">
        <x:f>IF($AM144="","",IFERROR(INDEX('Weapons Database'!$C$2:$C$100,MATCH($AM144,'Weapons Database'!$A$2:$A$100,0))&amp;" "&amp;INDEX('Weapons Database'!$D$2:$D$100,MATCH($AM144,'Weapons Database'!$A$2:$A$100,0)),""))</x:f>
      </x:c>
      <x:c r="AW144" s="63" t="str">
        <x:f>IF($AO144="","",IFERROR(INDEX('Weapons Database'!$C$2:$C$100,MATCH($AO144,'Weapons Database'!$A$2:$A$100,0))&amp;" "&amp;INDEX('Weapons Database'!$D$2:$D$100,MATCH($AO144,'Weapons Database'!$A$2:$A$100,0)),""))</x:f>
      </x:c>
      <x:c r="AX144" s="63"/>
    </x:row>
    <x:row r="145">
      <x:c r="A145" s="63"/>
      <x:c r="B145" s="63"/>
      <x:c r="C145" s="63"/>
      <x:c r="D145" s="63"/>
      <x:c r="E145" s="63"/>
      <x:c r="F145" s="63"/>
      <x:c r="G145" s="63"/>
      <x:c r="H145" s="63"/>
      <x:c r="I145" s="63"/>
      <x:c r="J145" s="63" t="str">
        <x:f>IF($B145="","",IF($AT145&lt;&gt;"",$AT145,$AU145))</x:f>
      </x:c>
      <x:c r="K145" s="63"/>
      <x:c r="L145" s="63"/>
      <x:c r="M145" s="63"/>
      <x:c r="N145" s="63"/>
      <x:c r="O145" s="63"/>
      <x:c r="P145" s="63"/>
      <x:c r="Q145" s="63"/>
      <x:c r="R145" s="63"/>
      <x:c r="S145" s="63"/>
      <x:c r="T145" s="63"/>
      <x:c r="U145" s="63"/>
      <x:c r="V145" s="63"/>
      <x:c r="W145" s="63"/>
      <x:c r="X145" s="63"/>
      <x:c r="Y145" s="63"/>
      <x:c r="Z145" s="63"/>
      <x:c r="AA145" s="63"/>
      <x:c r="AB145" s="63"/>
      <x:c r="AC145" s="63"/>
      <x:c r="AD145" s="63"/>
      <x:c r="AE145" s="63"/>
      <x:c r="AF145" s="63"/>
      <x:c r="AG145" s="63"/>
      <x:c r="AH145" s="63"/>
      <x:c r="AI145" s="63"/>
      <x:c r="AJ145" s="63"/>
      <x:c r="AK145" s="63"/>
      <x:c r="AL145" s="63"/>
      <x:c r="AM145" s="63"/>
      <x:c r="AN145" s="63"/>
      <x:c r="AO145" s="63"/>
      <x:c r="AP145" s="63"/>
      <x:c r="AQ145" s="63"/>
      <x:c r="AR145" s="63"/>
      <x:c r="AS145" s="137"/>
      <x:c r="AT145" s="137"/>
      <x:c r="AU145" s="63" t="str">
        <x:f>IF($B145="","",IF($AK145="",10+$W145,IFERROR(INDEX('Armor Database'!$D$2:$D$100,MATCH($AK145,'Armor Database'!$A$2:$A$100,0))+IF(INDEX('Armor Database'!$E$2:$E$100,MATCH($AK145,'Armor Database'!$A$2:$A$100,0))="Full",$W145,IF(INDEX('Armor Database'!$E$2:$E$100,MATCH($AK145,'Armor Database'!$A$2:$A$100,0))="Max 2",MIN($W145,2),0))+IF($AL145="Shield",2,0)+N($AS145),10+$W145+IF($AL145="Shield",2,0)+N($AS145))))</x:f>
      </x:c>
      <x:c r="AV145" s="63" t="str">
        <x:f>IF($AM145="","",IFERROR(INDEX('Weapons Database'!$C$2:$C$100,MATCH($AM145,'Weapons Database'!$A$2:$A$100,0))&amp;" "&amp;INDEX('Weapons Database'!$D$2:$D$100,MATCH($AM145,'Weapons Database'!$A$2:$A$100,0)),""))</x:f>
      </x:c>
      <x:c r="AW145" s="63" t="str">
        <x:f>IF($AO145="","",IFERROR(INDEX('Weapons Database'!$C$2:$C$100,MATCH($AO145,'Weapons Database'!$A$2:$A$100,0))&amp;" "&amp;INDEX('Weapons Database'!$D$2:$D$100,MATCH($AO145,'Weapons Database'!$A$2:$A$100,0)),""))</x:f>
      </x:c>
      <x:c r="AX145" s="63"/>
    </x:row>
    <x:row r="146">
      <x:c r="A146" s="63"/>
      <x:c r="B146" s="63"/>
      <x:c r="C146" s="63"/>
      <x:c r="D146" s="63"/>
      <x:c r="E146" s="63"/>
      <x:c r="F146" s="63"/>
      <x:c r="G146" s="63"/>
      <x:c r="H146" s="63"/>
      <x:c r="I146" s="63"/>
      <x:c r="J146" s="63" t="str">
        <x:f>IF($B146="","",IF($AT146&lt;&gt;"",$AT146,$AU146))</x:f>
      </x:c>
      <x:c r="K146" s="63"/>
      <x:c r="L146" s="63"/>
      <x:c r="M146" s="63"/>
      <x:c r="N146" s="63"/>
      <x:c r="O146" s="63"/>
      <x:c r="P146" s="63"/>
      <x:c r="Q146" s="63"/>
      <x:c r="R146" s="63"/>
      <x:c r="S146" s="63"/>
      <x:c r="T146" s="63"/>
      <x:c r="U146" s="63"/>
      <x:c r="V146" s="63"/>
      <x:c r="W146" s="63"/>
      <x:c r="X146" s="63"/>
      <x:c r="Y146" s="63"/>
      <x:c r="Z146" s="63"/>
      <x:c r="AA146" s="63"/>
      <x:c r="AB146" s="63"/>
      <x:c r="AC146" s="63"/>
      <x:c r="AD146" s="63"/>
      <x:c r="AE146" s="63"/>
      <x:c r="AF146" s="63"/>
      <x:c r="AG146" s="63"/>
      <x:c r="AH146" s="63"/>
      <x:c r="AI146" s="63"/>
      <x:c r="AJ146" s="63"/>
      <x:c r="AK146" s="63"/>
      <x:c r="AL146" s="63"/>
      <x:c r="AM146" s="63"/>
      <x:c r="AN146" s="63"/>
      <x:c r="AO146" s="63"/>
      <x:c r="AP146" s="63"/>
      <x:c r="AQ146" s="63"/>
      <x:c r="AR146" s="63"/>
      <x:c r="AS146" s="137"/>
      <x:c r="AT146" s="137"/>
      <x:c r="AU146" s="63" t="str">
        <x:f>IF($B146="","",IF($AK146="",10+$W146,IFERROR(INDEX('Armor Database'!$D$2:$D$100,MATCH($AK146,'Armor Database'!$A$2:$A$100,0))+IF(INDEX('Armor Database'!$E$2:$E$100,MATCH($AK146,'Armor Database'!$A$2:$A$100,0))="Full",$W146,IF(INDEX('Armor Database'!$E$2:$E$100,MATCH($AK146,'Armor Database'!$A$2:$A$100,0))="Max 2",MIN($W146,2),0))+IF($AL146="Shield",2,0)+N($AS146),10+$W146+IF($AL146="Shield",2,0)+N($AS146))))</x:f>
      </x:c>
      <x:c r="AV146" s="63" t="str">
        <x:f>IF($AM146="","",IFERROR(INDEX('Weapons Database'!$C$2:$C$100,MATCH($AM146,'Weapons Database'!$A$2:$A$100,0))&amp;" "&amp;INDEX('Weapons Database'!$D$2:$D$100,MATCH($AM146,'Weapons Database'!$A$2:$A$100,0)),""))</x:f>
      </x:c>
      <x:c r="AW146" s="63" t="str">
        <x:f>IF($AO146="","",IFERROR(INDEX('Weapons Database'!$C$2:$C$100,MATCH($AO146,'Weapons Database'!$A$2:$A$100,0))&amp;" "&amp;INDEX('Weapons Database'!$D$2:$D$100,MATCH($AO146,'Weapons Database'!$A$2:$A$100,0)),""))</x:f>
      </x:c>
      <x:c r="AX146" s="63"/>
    </x:row>
    <x:row r="147">
      <x:c r="A147" s="63"/>
      <x:c r="B147" s="63"/>
      <x:c r="C147" s="63"/>
      <x:c r="D147" s="63"/>
      <x:c r="E147" s="63"/>
      <x:c r="F147" s="63"/>
      <x:c r="G147" s="63"/>
      <x:c r="H147" s="63"/>
      <x:c r="I147" s="63"/>
      <x:c r="J147" s="63" t="str">
        <x:f>IF($B147="","",IF($AT147&lt;&gt;"",$AT147,$AU147))</x:f>
      </x:c>
      <x:c r="K147" s="63"/>
      <x:c r="L147" s="63"/>
      <x:c r="M147" s="63"/>
      <x:c r="N147" s="63"/>
      <x:c r="O147" s="63"/>
      <x:c r="P147" s="63"/>
      <x:c r="Q147" s="63"/>
      <x:c r="R147" s="63"/>
      <x:c r="S147" s="63"/>
      <x:c r="T147" s="63"/>
      <x:c r="U147" s="63"/>
      <x:c r="V147" s="63"/>
      <x:c r="W147" s="63"/>
      <x:c r="X147" s="63"/>
      <x:c r="Y147" s="63"/>
      <x:c r="Z147" s="63"/>
      <x:c r="AA147" s="63"/>
      <x:c r="AB147" s="63"/>
      <x:c r="AC147" s="63"/>
      <x:c r="AD147" s="63"/>
      <x:c r="AE147" s="63"/>
      <x:c r="AF147" s="63"/>
      <x:c r="AG147" s="63"/>
      <x:c r="AH147" s="63"/>
      <x:c r="AI147" s="63"/>
      <x:c r="AJ147" s="63"/>
      <x:c r="AK147" s="63"/>
      <x:c r="AL147" s="63"/>
      <x:c r="AM147" s="63"/>
      <x:c r="AN147" s="63"/>
      <x:c r="AO147" s="63"/>
      <x:c r="AP147" s="63"/>
      <x:c r="AQ147" s="63"/>
      <x:c r="AR147" s="63"/>
      <x:c r="AS147" s="137"/>
      <x:c r="AT147" s="137"/>
      <x:c r="AU147" s="63" t="str">
        <x:f>IF($B147="","",IF($AK147="",10+$W147,IFERROR(INDEX('Armor Database'!$D$2:$D$100,MATCH($AK147,'Armor Database'!$A$2:$A$100,0))+IF(INDEX('Armor Database'!$E$2:$E$100,MATCH($AK147,'Armor Database'!$A$2:$A$100,0))="Full",$W147,IF(INDEX('Armor Database'!$E$2:$E$100,MATCH($AK147,'Armor Database'!$A$2:$A$100,0))="Max 2",MIN($W147,2),0))+IF($AL147="Shield",2,0)+N($AS147),10+$W147+IF($AL147="Shield",2,0)+N($AS147))))</x:f>
      </x:c>
      <x:c r="AV147" s="63" t="str">
        <x:f>IF($AM147="","",IFERROR(INDEX('Weapons Database'!$C$2:$C$100,MATCH($AM147,'Weapons Database'!$A$2:$A$100,0))&amp;" "&amp;INDEX('Weapons Database'!$D$2:$D$100,MATCH($AM147,'Weapons Database'!$A$2:$A$100,0)),""))</x:f>
      </x:c>
      <x:c r="AW147" s="63" t="str">
        <x:f>IF($AO147="","",IFERROR(INDEX('Weapons Database'!$C$2:$C$100,MATCH($AO147,'Weapons Database'!$A$2:$A$100,0))&amp;" "&amp;INDEX('Weapons Database'!$D$2:$D$100,MATCH($AO147,'Weapons Database'!$A$2:$A$100,0)),""))</x:f>
      </x:c>
      <x:c r="AX147" s="63"/>
    </x:row>
    <x:row r="148">
      <x:c r="A148" s="63"/>
      <x:c r="B148" s="63"/>
      <x:c r="C148" s="63"/>
      <x:c r="D148" s="63"/>
      <x:c r="E148" s="63"/>
      <x:c r="F148" s="63"/>
      <x:c r="G148" s="63"/>
      <x:c r="H148" s="63"/>
      <x:c r="I148" s="63"/>
      <x:c r="J148" s="63" t="str">
        <x:f>IF($B148="","",IF($AT148&lt;&gt;"",$AT148,$AU148))</x:f>
      </x:c>
      <x:c r="K148" s="63"/>
      <x:c r="L148" s="63"/>
      <x:c r="M148" s="63"/>
      <x:c r="N148" s="63"/>
      <x:c r="O148" s="63"/>
      <x:c r="P148" s="63"/>
      <x:c r="Q148" s="63"/>
      <x:c r="R148" s="63"/>
      <x:c r="S148" s="63"/>
      <x:c r="T148" s="63"/>
      <x:c r="U148" s="63"/>
      <x:c r="V148" s="63"/>
      <x:c r="W148" s="63"/>
      <x:c r="X148" s="63"/>
      <x:c r="Y148" s="63"/>
      <x:c r="Z148" s="63"/>
      <x:c r="AA148" s="63"/>
      <x:c r="AB148" s="63"/>
      <x:c r="AC148" s="63"/>
      <x:c r="AD148" s="63"/>
      <x:c r="AE148" s="63"/>
      <x:c r="AF148" s="63"/>
      <x:c r="AG148" s="63"/>
      <x:c r="AH148" s="63"/>
      <x:c r="AI148" s="63"/>
      <x:c r="AJ148" s="63"/>
      <x:c r="AK148" s="63"/>
      <x:c r="AL148" s="63"/>
      <x:c r="AM148" s="63"/>
      <x:c r="AN148" s="63"/>
      <x:c r="AO148" s="63"/>
      <x:c r="AP148" s="63"/>
      <x:c r="AQ148" s="63"/>
      <x:c r="AR148" s="63"/>
      <x:c r="AS148" s="137"/>
      <x:c r="AT148" s="137"/>
      <x:c r="AU148" s="63" t="str">
        <x:f>IF($B148="","",IF($AK148="",10+$W148,IFERROR(INDEX('Armor Database'!$D$2:$D$100,MATCH($AK148,'Armor Database'!$A$2:$A$100,0))+IF(INDEX('Armor Database'!$E$2:$E$100,MATCH($AK148,'Armor Database'!$A$2:$A$100,0))="Full",$W148,IF(INDEX('Armor Database'!$E$2:$E$100,MATCH($AK148,'Armor Database'!$A$2:$A$100,0))="Max 2",MIN($W148,2),0))+IF($AL148="Shield",2,0)+N($AS148),10+$W148+IF($AL148="Shield",2,0)+N($AS148))))</x:f>
      </x:c>
      <x:c r="AV148" s="63" t="str">
        <x:f>IF($AM148="","",IFERROR(INDEX('Weapons Database'!$C$2:$C$100,MATCH($AM148,'Weapons Database'!$A$2:$A$100,0))&amp;" "&amp;INDEX('Weapons Database'!$D$2:$D$100,MATCH($AM148,'Weapons Database'!$A$2:$A$100,0)),""))</x:f>
      </x:c>
      <x:c r="AW148" s="63" t="str">
        <x:f>IF($AO148="","",IFERROR(INDEX('Weapons Database'!$C$2:$C$100,MATCH($AO148,'Weapons Database'!$A$2:$A$100,0))&amp;" "&amp;INDEX('Weapons Database'!$D$2:$D$100,MATCH($AO148,'Weapons Database'!$A$2:$A$100,0)),""))</x:f>
      </x:c>
      <x:c r="AX148" s="63"/>
    </x:row>
    <x:row r="149">
      <x:c r="A149" s="63"/>
      <x:c r="B149" s="63"/>
      <x:c r="C149" s="63"/>
      <x:c r="D149" s="63"/>
      <x:c r="E149" s="63"/>
      <x:c r="F149" s="63"/>
      <x:c r="G149" s="63"/>
      <x:c r="H149" s="63"/>
      <x:c r="I149" s="63"/>
      <x:c r="J149" s="63" t="str">
        <x:f>IF($B149="","",IF($AT149&lt;&gt;"",$AT149,$AU149))</x:f>
      </x:c>
      <x:c r="K149" s="63"/>
      <x:c r="L149" s="63"/>
      <x:c r="M149" s="63"/>
      <x:c r="N149" s="63"/>
      <x:c r="O149" s="63"/>
      <x:c r="P149" s="63"/>
      <x:c r="Q149" s="63"/>
      <x:c r="R149" s="63"/>
      <x:c r="S149" s="63"/>
      <x:c r="T149" s="63"/>
      <x:c r="U149" s="63"/>
      <x:c r="V149" s="63"/>
      <x:c r="W149" s="63"/>
      <x:c r="X149" s="63"/>
      <x:c r="Y149" s="63"/>
      <x:c r="Z149" s="63"/>
      <x:c r="AA149" s="63"/>
      <x:c r="AB149" s="63"/>
      <x:c r="AC149" s="63"/>
      <x:c r="AD149" s="63"/>
      <x:c r="AE149" s="63"/>
      <x:c r="AF149" s="63"/>
      <x:c r="AG149" s="63"/>
      <x:c r="AH149" s="63"/>
      <x:c r="AI149" s="63"/>
      <x:c r="AJ149" s="63"/>
      <x:c r="AK149" s="63"/>
      <x:c r="AL149" s="63"/>
      <x:c r="AM149" s="63"/>
      <x:c r="AN149" s="63"/>
      <x:c r="AO149" s="63"/>
      <x:c r="AP149" s="63"/>
      <x:c r="AQ149" s="63"/>
      <x:c r="AR149" s="63"/>
      <x:c r="AS149" s="137"/>
      <x:c r="AT149" s="137"/>
      <x:c r="AU149" s="63" t="str">
        <x:f>IF($B149="","",IF($AK149="",10+$W149,IFERROR(INDEX('Armor Database'!$D$2:$D$100,MATCH($AK149,'Armor Database'!$A$2:$A$100,0))+IF(INDEX('Armor Database'!$E$2:$E$100,MATCH($AK149,'Armor Database'!$A$2:$A$100,0))="Full",$W149,IF(INDEX('Armor Database'!$E$2:$E$100,MATCH($AK149,'Armor Database'!$A$2:$A$100,0))="Max 2",MIN($W149,2),0))+IF($AL149="Shield",2,0)+N($AS149),10+$W149+IF($AL149="Shield",2,0)+N($AS149))))</x:f>
      </x:c>
      <x:c r="AV149" s="63" t="str">
        <x:f>IF($AM149="","",IFERROR(INDEX('Weapons Database'!$C$2:$C$100,MATCH($AM149,'Weapons Database'!$A$2:$A$100,0))&amp;" "&amp;INDEX('Weapons Database'!$D$2:$D$100,MATCH($AM149,'Weapons Database'!$A$2:$A$100,0)),""))</x:f>
      </x:c>
      <x:c r="AW149" s="63" t="str">
        <x:f>IF($AO149="","",IFERROR(INDEX('Weapons Database'!$C$2:$C$100,MATCH($AO149,'Weapons Database'!$A$2:$A$100,0))&amp;" "&amp;INDEX('Weapons Database'!$D$2:$D$100,MATCH($AO149,'Weapons Database'!$A$2:$A$100,0)),""))</x:f>
      </x:c>
      <x:c r="AX149" s="63"/>
    </x:row>
    <x:row r="150">
      <x:c r="A150" s="63"/>
      <x:c r="B150" s="63"/>
      <x:c r="C150" s="63"/>
      <x:c r="D150" s="63"/>
      <x:c r="E150" s="63"/>
      <x:c r="F150" s="63"/>
      <x:c r="G150" s="63"/>
      <x:c r="H150" s="63"/>
      <x:c r="I150" s="63"/>
      <x:c r="J150" s="63" t="str">
        <x:f>IF($B150="","",IF($AT150&lt;&gt;"",$AT150,$AU150))</x:f>
      </x:c>
      <x:c r="K150" s="63"/>
      <x:c r="L150" s="63"/>
      <x:c r="M150" s="63"/>
      <x:c r="N150" s="63"/>
      <x:c r="O150" s="63"/>
      <x:c r="P150" s="63"/>
      <x:c r="Q150" s="63"/>
      <x:c r="R150" s="63"/>
      <x:c r="S150" s="63"/>
      <x:c r="T150" s="63"/>
      <x:c r="U150" s="63"/>
      <x:c r="V150" s="63"/>
      <x:c r="W150" s="63"/>
      <x:c r="X150" s="63"/>
      <x:c r="Y150" s="63"/>
      <x:c r="Z150" s="63"/>
      <x:c r="AA150" s="63"/>
      <x:c r="AB150" s="63"/>
      <x:c r="AC150" s="63"/>
      <x:c r="AD150" s="63"/>
      <x:c r="AE150" s="63"/>
      <x:c r="AF150" s="63"/>
      <x:c r="AG150" s="63"/>
      <x:c r="AH150" s="63"/>
      <x:c r="AI150" s="63"/>
      <x:c r="AJ150" s="63"/>
      <x:c r="AK150" s="63"/>
      <x:c r="AL150" s="63"/>
      <x:c r="AM150" s="63"/>
      <x:c r="AN150" s="63"/>
      <x:c r="AO150" s="63"/>
      <x:c r="AP150" s="63"/>
      <x:c r="AQ150" s="63"/>
      <x:c r="AR150" s="63"/>
      <x:c r="AS150" s="137"/>
      <x:c r="AT150" s="137"/>
      <x:c r="AU150" s="63" t="str">
        <x:f>IF($B150="","",IF($AK150="",10+$W150,IFERROR(INDEX('Armor Database'!$D$2:$D$100,MATCH($AK150,'Armor Database'!$A$2:$A$100,0))+IF(INDEX('Armor Database'!$E$2:$E$100,MATCH($AK150,'Armor Database'!$A$2:$A$100,0))="Full",$W150,IF(INDEX('Armor Database'!$E$2:$E$100,MATCH($AK150,'Armor Database'!$A$2:$A$100,0))="Max 2",MIN($W150,2),0))+IF($AL150="Shield",2,0)+N($AS150),10+$W150+IF($AL150="Shield",2,0)+N($AS150))))</x:f>
      </x:c>
      <x:c r="AV150" s="63" t="str">
        <x:f>IF($AM150="","",IFERROR(INDEX('Weapons Database'!$C$2:$C$100,MATCH($AM150,'Weapons Database'!$A$2:$A$100,0))&amp;" "&amp;INDEX('Weapons Database'!$D$2:$D$100,MATCH($AM150,'Weapons Database'!$A$2:$A$100,0)),""))</x:f>
      </x:c>
      <x:c r="AW150" s="63" t="str">
        <x:f>IF($AO150="","",IFERROR(INDEX('Weapons Database'!$C$2:$C$100,MATCH($AO150,'Weapons Database'!$A$2:$A$100,0))&amp;" "&amp;INDEX('Weapons Database'!$D$2:$D$100,MATCH($AO150,'Weapons Database'!$A$2:$A$100,0)),""))</x:f>
      </x:c>
      <x:c r="AX150" s="63"/>
    </x:row>
    <x:row r="151">
      <x:c r="A151" s="63"/>
      <x:c r="B151" s="63"/>
      <x:c r="C151" s="63"/>
      <x:c r="D151" s="63"/>
      <x:c r="E151" s="63"/>
      <x:c r="F151" s="63"/>
      <x:c r="G151" s="63"/>
      <x:c r="H151" s="63"/>
      <x:c r="I151" s="63"/>
      <x:c r="J151" s="63" t="str">
        <x:f>IF($B151="","",IF($AT151&lt;&gt;"",$AT151,$AU151))</x:f>
      </x:c>
      <x:c r="K151" s="63"/>
      <x:c r="L151" s="63"/>
      <x:c r="M151" s="63"/>
      <x:c r="N151" s="63"/>
      <x:c r="O151" s="63"/>
      <x:c r="P151" s="63"/>
      <x:c r="Q151" s="63"/>
      <x:c r="R151" s="63"/>
      <x:c r="S151" s="63"/>
      <x:c r="T151" s="63"/>
      <x:c r="U151" s="63"/>
      <x:c r="V151" s="63"/>
      <x:c r="W151" s="63"/>
      <x:c r="X151" s="63"/>
      <x:c r="Y151" s="63"/>
      <x:c r="Z151" s="63"/>
      <x:c r="AA151" s="63"/>
      <x:c r="AB151" s="63"/>
      <x:c r="AC151" s="63"/>
      <x:c r="AD151" s="63"/>
      <x:c r="AE151" s="63"/>
      <x:c r="AF151" s="63"/>
      <x:c r="AG151" s="63"/>
      <x:c r="AH151" s="63"/>
      <x:c r="AI151" s="63"/>
      <x:c r="AJ151" s="63"/>
      <x:c r="AK151" s="63"/>
      <x:c r="AL151" s="63"/>
      <x:c r="AM151" s="63"/>
      <x:c r="AN151" s="63"/>
      <x:c r="AO151" s="63"/>
      <x:c r="AP151" s="63"/>
      <x:c r="AQ151" s="63"/>
      <x:c r="AR151" s="63"/>
      <x:c r="AS151" s="137"/>
      <x:c r="AT151" s="137"/>
      <x:c r="AU151" s="63" t="str">
        <x:f>IF($B151="","",IF($AK151="",10+$W151,IFERROR(INDEX('Armor Database'!$D$2:$D$100,MATCH($AK151,'Armor Database'!$A$2:$A$100,0))+IF(INDEX('Armor Database'!$E$2:$E$100,MATCH($AK151,'Armor Database'!$A$2:$A$100,0))="Full",$W151,IF(INDEX('Armor Database'!$E$2:$E$100,MATCH($AK151,'Armor Database'!$A$2:$A$100,0))="Max 2",MIN($W151,2),0))+IF($AL151="Shield",2,0)+N($AS151),10+$W151+IF($AL151="Shield",2,0)+N($AS151))))</x:f>
      </x:c>
      <x:c r="AV151" s="63" t="str">
        <x:f>IF($AM151="","",IFERROR(INDEX('Weapons Database'!$C$2:$C$100,MATCH($AM151,'Weapons Database'!$A$2:$A$100,0))&amp;" "&amp;INDEX('Weapons Database'!$D$2:$D$100,MATCH($AM151,'Weapons Database'!$A$2:$A$100,0)),""))</x:f>
      </x:c>
      <x:c r="AW151" s="63" t="str">
        <x:f>IF($AO151="","",IFERROR(INDEX('Weapons Database'!$C$2:$C$100,MATCH($AO151,'Weapons Database'!$A$2:$A$100,0))&amp;" "&amp;INDEX('Weapons Database'!$D$2:$D$100,MATCH($AO151,'Weapons Database'!$A$2:$A$100,0)),""))</x:f>
      </x:c>
      <x:c r="AX151" s="63"/>
    </x:row>
    <x:row r="152">
      <x:c r="A152" s="63"/>
      <x:c r="B152" s="63"/>
      <x:c r="C152" s="63"/>
      <x:c r="D152" s="63"/>
      <x:c r="E152" s="63"/>
      <x:c r="F152" s="63"/>
      <x:c r="G152" s="63"/>
      <x:c r="H152" s="63"/>
      <x:c r="I152" s="63"/>
      <x:c r="J152" s="63" t="str">
        <x:f>IF($B152="","",IF($AT152&lt;&gt;"",$AT152,$AU152))</x:f>
      </x:c>
      <x:c r="K152" s="63"/>
      <x:c r="L152" s="63"/>
      <x:c r="M152" s="63"/>
      <x:c r="N152" s="63"/>
      <x:c r="O152" s="63"/>
      <x:c r="P152" s="63"/>
      <x:c r="Q152" s="63"/>
      <x:c r="R152" s="63"/>
      <x:c r="S152" s="63"/>
      <x:c r="T152" s="63"/>
      <x:c r="U152" s="63"/>
      <x:c r="V152" s="63"/>
      <x:c r="W152" s="63"/>
      <x:c r="X152" s="63"/>
      <x:c r="Y152" s="63"/>
      <x:c r="Z152" s="63"/>
      <x:c r="AA152" s="63"/>
      <x:c r="AB152" s="63"/>
      <x:c r="AC152" s="63"/>
      <x:c r="AD152" s="63"/>
      <x:c r="AE152" s="63"/>
      <x:c r="AF152" s="63"/>
      <x:c r="AG152" s="63"/>
      <x:c r="AH152" s="63"/>
      <x:c r="AI152" s="63"/>
      <x:c r="AJ152" s="63"/>
      <x:c r="AK152" s="63"/>
      <x:c r="AL152" s="63"/>
      <x:c r="AM152" s="63"/>
      <x:c r="AN152" s="63"/>
      <x:c r="AO152" s="63"/>
      <x:c r="AP152" s="63"/>
      <x:c r="AQ152" s="63"/>
      <x:c r="AR152" s="63"/>
      <x:c r="AS152" s="137"/>
      <x:c r="AT152" s="137"/>
      <x:c r="AU152" s="63" t="str">
        <x:f>IF($B152="","",IF($AK152="",10+$W152,IFERROR(INDEX('Armor Database'!$D$2:$D$100,MATCH($AK152,'Armor Database'!$A$2:$A$100,0))+IF(INDEX('Armor Database'!$E$2:$E$100,MATCH($AK152,'Armor Database'!$A$2:$A$100,0))="Full",$W152,IF(INDEX('Armor Database'!$E$2:$E$100,MATCH($AK152,'Armor Database'!$A$2:$A$100,0))="Max 2",MIN($W152,2),0))+IF($AL152="Shield",2,0)+N($AS152),10+$W152+IF($AL152="Shield",2,0)+N($AS152))))</x:f>
      </x:c>
      <x:c r="AV152" s="63" t="str">
        <x:f>IF($AM152="","",IFERROR(INDEX('Weapons Database'!$C$2:$C$100,MATCH($AM152,'Weapons Database'!$A$2:$A$100,0))&amp;" "&amp;INDEX('Weapons Database'!$D$2:$D$100,MATCH($AM152,'Weapons Database'!$A$2:$A$100,0)),""))</x:f>
      </x:c>
      <x:c r="AW152" s="63" t="str">
        <x:f>IF($AO152="","",IFERROR(INDEX('Weapons Database'!$C$2:$C$100,MATCH($AO152,'Weapons Database'!$A$2:$A$100,0))&amp;" "&amp;INDEX('Weapons Database'!$D$2:$D$100,MATCH($AO152,'Weapons Database'!$A$2:$A$100,0)),""))</x:f>
      </x:c>
      <x:c r="AX152" s="63"/>
    </x:row>
    <x:row r="153">
      <x:c r="A153" s="63"/>
      <x:c r="B153" s="63"/>
      <x:c r="C153" s="63"/>
      <x:c r="D153" s="63"/>
      <x:c r="E153" s="63"/>
      <x:c r="F153" s="63"/>
      <x:c r="G153" s="63"/>
      <x:c r="H153" s="63"/>
      <x:c r="I153" s="63"/>
      <x:c r="J153" s="63" t="str">
        <x:f>IF($B153="","",IF($AT153&lt;&gt;"",$AT153,$AU153))</x:f>
      </x:c>
      <x:c r="K153" s="63"/>
      <x:c r="L153" s="63"/>
      <x:c r="M153" s="63"/>
      <x:c r="N153" s="63"/>
      <x:c r="O153" s="63"/>
      <x:c r="P153" s="63"/>
      <x:c r="Q153" s="63"/>
      <x:c r="R153" s="63"/>
      <x:c r="S153" s="63"/>
      <x:c r="T153" s="63"/>
      <x:c r="U153" s="63"/>
      <x:c r="V153" s="63"/>
      <x:c r="W153" s="63"/>
      <x:c r="X153" s="63"/>
      <x:c r="Y153" s="63"/>
      <x:c r="Z153" s="63"/>
      <x:c r="AA153" s="63"/>
      <x:c r="AB153" s="63"/>
      <x:c r="AC153" s="63"/>
      <x:c r="AD153" s="63"/>
      <x:c r="AE153" s="63"/>
      <x:c r="AF153" s="63"/>
      <x:c r="AG153" s="63"/>
      <x:c r="AH153" s="63"/>
      <x:c r="AI153" s="63"/>
      <x:c r="AJ153" s="63"/>
      <x:c r="AK153" s="63"/>
      <x:c r="AL153" s="63"/>
      <x:c r="AM153" s="63"/>
      <x:c r="AN153" s="63"/>
      <x:c r="AO153" s="63"/>
      <x:c r="AP153" s="63"/>
      <x:c r="AQ153" s="63"/>
      <x:c r="AR153" s="63"/>
      <x:c r="AS153" s="137"/>
      <x:c r="AT153" s="137"/>
      <x:c r="AU153" s="63" t="str">
        <x:f>IF($B153="","",IF($AK153="",10+$W153,IFERROR(INDEX('Armor Database'!$D$2:$D$100,MATCH($AK153,'Armor Database'!$A$2:$A$100,0))+IF(INDEX('Armor Database'!$E$2:$E$100,MATCH($AK153,'Armor Database'!$A$2:$A$100,0))="Full",$W153,IF(INDEX('Armor Database'!$E$2:$E$100,MATCH($AK153,'Armor Database'!$A$2:$A$100,0))="Max 2",MIN($W153,2),0))+IF($AL153="Shield",2,0)+N($AS153),10+$W153+IF($AL153="Shield",2,0)+N($AS153))))</x:f>
      </x:c>
      <x:c r="AV153" s="63" t="str">
        <x:f>IF($AM153="","",IFERROR(INDEX('Weapons Database'!$C$2:$C$100,MATCH($AM153,'Weapons Database'!$A$2:$A$100,0))&amp;" "&amp;INDEX('Weapons Database'!$D$2:$D$100,MATCH($AM153,'Weapons Database'!$A$2:$A$100,0)),""))</x:f>
      </x:c>
      <x:c r="AW153" s="63" t="str">
        <x:f>IF($AO153="","",IFERROR(INDEX('Weapons Database'!$C$2:$C$100,MATCH($AO153,'Weapons Database'!$A$2:$A$100,0))&amp;" "&amp;INDEX('Weapons Database'!$D$2:$D$100,MATCH($AO153,'Weapons Database'!$A$2:$A$100,0)),""))</x:f>
      </x:c>
      <x:c r="AX153" s="63"/>
    </x:row>
    <x:row r="154">
      <x:c r="A154" s="63"/>
      <x:c r="B154" s="63"/>
      <x:c r="C154" s="63"/>
      <x:c r="D154" s="63"/>
      <x:c r="E154" s="63"/>
      <x:c r="F154" s="63"/>
      <x:c r="G154" s="63"/>
      <x:c r="H154" s="63"/>
      <x:c r="I154" s="63"/>
      <x:c r="J154" s="63" t="str">
        <x:f>IF($B154="","",IF($AT154&lt;&gt;"",$AT154,$AU154))</x:f>
      </x:c>
      <x:c r="K154" s="63"/>
      <x:c r="L154" s="63"/>
      <x:c r="M154" s="63"/>
      <x:c r="N154" s="63"/>
      <x:c r="O154" s="63"/>
      <x:c r="P154" s="63"/>
      <x:c r="Q154" s="63"/>
      <x:c r="R154" s="63"/>
      <x:c r="S154" s="63"/>
      <x:c r="T154" s="63"/>
      <x:c r="U154" s="63"/>
      <x:c r="V154" s="63"/>
      <x:c r="W154" s="63"/>
      <x:c r="X154" s="63"/>
      <x:c r="Y154" s="63"/>
      <x:c r="Z154" s="63"/>
      <x:c r="AA154" s="63"/>
      <x:c r="AB154" s="63"/>
      <x:c r="AC154" s="63"/>
      <x:c r="AD154" s="63"/>
      <x:c r="AE154" s="63"/>
      <x:c r="AF154" s="63"/>
      <x:c r="AG154" s="63"/>
      <x:c r="AH154" s="63"/>
      <x:c r="AI154" s="63"/>
      <x:c r="AJ154" s="63"/>
      <x:c r="AK154" s="63"/>
      <x:c r="AL154" s="63"/>
      <x:c r="AM154" s="63"/>
      <x:c r="AN154" s="63"/>
      <x:c r="AO154" s="63"/>
      <x:c r="AP154" s="63"/>
      <x:c r="AQ154" s="63"/>
      <x:c r="AR154" s="63"/>
      <x:c r="AS154" s="137"/>
      <x:c r="AT154" s="137"/>
      <x:c r="AU154" s="63" t="str">
        <x:f>IF($B154="","",IF($AK154="",10+$W154,IFERROR(INDEX('Armor Database'!$D$2:$D$100,MATCH($AK154,'Armor Database'!$A$2:$A$100,0))+IF(INDEX('Armor Database'!$E$2:$E$100,MATCH($AK154,'Armor Database'!$A$2:$A$100,0))="Full",$W154,IF(INDEX('Armor Database'!$E$2:$E$100,MATCH($AK154,'Armor Database'!$A$2:$A$100,0))="Max 2",MIN($W154,2),0))+IF($AL154="Shield",2,0)+N($AS154),10+$W154+IF($AL154="Shield",2,0)+N($AS154))))</x:f>
      </x:c>
      <x:c r="AV154" s="63" t="str">
        <x:f>IF($AM154="","",IFERROR(INDEX('Weapons Database'!$C$2:$C$100,MATCH($AM154,'Weapons Database'!$A$2:$A$100,0))&amp;" "&amp;INDEX('Weapons Database'!$D$2:$D$100,MATCH($AM154,'Weapons Database'!$A$2:$A$100,0)),""))</x:f>
      </x:c>
      <x:c r="AW154" s="63" t="str">
        <x:f>IF($AO154="","",IFERROR(INDEX('Weapons Database'!$C$2:$C$100,MATCH($AO154,'Weapons Database'!$A$2:$A$100,0))&amp;" "&amp;INDEX('Weapons Database'!$D$2:$D$100,MATCH($AO154,'Weapons Database'!$A$2:$A$100,0)),""))</x:f>
      </x:c>
      <x:c r="AX154" s="63"/>
    </x:row>
    <x:row r="155">
      <x:c r="A155" s="63"/>
      <x:c r="B155" s="63"/>
      <x:c r="C155" s="63"/>
      <x:c r="D155" s="63"/>
      <x:c r="E155" s="63"/>
      <x:c r="F155" s="63"/>
      <x:c r="G155" s="63"/>
      <x:c r="H155" s="63"/>
      <x:c r="I155" s="63"/>
      <x:c r="J155" s="63" t="str">
        <x:f>IF($B155="","",IF($AT155&lt;&gt;"",$AT155,$AU155))</x:f>
      </x:c>
      <x:c r="K155" s="63"/>
      <x:c r="L155" s="63"/>
      <x:c r="M155" s="63"/>
      <x:c r="N155" s="63"/>
      <x:c r="O155" s="63"/>
      <x:c r="P155" s="63"/>
      <x:c r="Q155" s="63"/>
      <x:c r="R155" s="63"/>
      <x:c r="S155" s="63"/>
      <x:c r="T155" s="63"/>
      <x:c r="U155" s="63"/>
      <x:c r="V155" s="63"/>
      <x:c r="W155" s="63"/>
      <x:c r="X155" s="63"/>
      <x:c r="Y155" s="63"/>
      <x:c r="Z155" s="63"/>
      <x:c r="AA155" s="63"/>
      <x:c r="AB155" s="63"/>
      <x:c r="AC155" s="63"/>
      <x:c r="AD155" s="63"/>
      <x:c r="AE155" s="63"/>
      <x:c r="AF155" s="63"/>
      <x:c r="AG155" s="63"/>
      <x:c r="AH155" s="63"/>
      <x:c r="AI155" s="63"/>
      <x:c r="AJ155" s="63"/>
      <x:c r="AK155" s="63"/>
      <x:c r="AL155" s="63"/>
      <x:c r="AM155" s="63"/>
      <x:c r="AN155" s="63"/>
      <x:c r="AO155" s="63"/>
      <x:c r="AP155" s="63"/>
      <x:c r="AQ155" s="63"/>
      <x:c r="AR155" s="63"/>
      <x:c r="AS155" s="137"/>
      <x:c r="AT155" s="137"/>
      <x:c r="AU155" s="63" t="str">
        <x:f>IF($B155="","",IF($AK155="",10+$W155,IFERROR(INDEX('Armor Database'!$D$2:$D$100,MATCH($AK155,'Armor Database'!$A$2:$A$100,0))+IF(INDEX('Armor Database'!$E$2:$E$100,MATCH($AK155,'Armor Database'!$A$2:$A$100,0))="Full",$W155,IF(INDEX('Armor Database'!$E$2:$E$100,MATCH($AK155,'Armor Database'!$A$2:$A$100,0))="Max 2",MIN($W155,2),0))+IF($AL155="Shield",2,0)+N($AS155),10+$W155+IF($AL155="Shield",2,0)+N($AS155))))</x:f>
      </x:c>
      <x:c r="AV155" s="63" t="str">
        <x:f>IF($AM155="","",IFERROR(INDEX('Weapons Database'!$C$2:$C$100,MATCH($AM155,'Weapons Database'!$A$2:$A$100,0))&amp;" "&amp;INDEX('Weapons Database'!$D$2:$D$100,MATCH($AM155,'Weapons Database'!$A$2:$A$100,0)),""))</x:f>
      </x:c>
      <x:c r="AW155" s="63" t="str">
        <x:f>IF($AO155="","",IFERROR(INDEX('Weapons Database'!$C$2:$C$100,MATCH($AO155,'Weapons Database'!$A$2:$A$100,0))&amp;" "&amp;INDEX('Weapons Database'!$D$2:$D$100,MATCH($AO155,'Weapons Database'!$A$2:$A$100,0)),""))</x:f>
      </x:c>
      <x:c r="AX155" s="63"/>
    </x:row>
    <x:row r="156">
      <x:c r="A156" s="63"/>
      <x:c r="B156" s="63"/>
      <x:c r="C156" s="63"/>
      <x:c r="D156" s="63"/>
      <x:c r="E156" s="63"/>
      <x:c r="F156" s="63"/>
      <x:c r="G156" s="63"/>
      <x:c r="H156" s="63"/>
      <x:c r="I156" s="63"/>
      <x:c r="J156" s="63" t="str">
        <x:f>IF($B156="","",IF($AT156&lt;&gt;"",$AT156,$AU156))</x:f>
      </x:c>
      <x:c r="K156" s="63"/>
      <x:c r="L156" s="63"/>
      <x:c r="M156" s="63"/>
      <x:c r="N156" s="63"/>
      <x:c r="O156" s="63"/>
      <x:c r="P156" s="63"/>
      <x:c r="Q156" s="63"/>
      <x:c r="R156" s="63"/>
      <x:c r="S156" s="63"/>
      <x:c r="T156" s="63"/>
      <x:c r="U156" s="63"/>
      <x:c r="V156" s="63"/>
      <x:c r="W156" s="63"/>
      <x:c r="X156" s="63"/>
      <x:c r="Y156" s="63"/>
      <x:c r="Z156" s="63"/>
      <x:c r="AA156" s="63"/>
      <x:c r="AB156" s="63"/>
      <x:c r="AC156" s="63"/>
      <x:c r="AD156" s="63"/>
      <x:c r="AE156" s="63"/>
      <x:c r="AF156" s="63"/>
      <x:c r="AG156" s="63"/>
      <x:c r="AH156" s="63"/>
      <x:c r="AI156" s="63"/>
      <x:c r="AJ156" s="63"/>
      <x:c r="AK156" s="63"/>
      <x:c r="AL156" s="63"/>
      <x:c r="AM156" s="63"/>
      <x:c r="AN156" s="63"/>
      <x:c r="AO156" s="63"/>
      <x:c r="AP156" s="63"/>
      <x:c r="AQ156" s="63"/>
      <x:c r="AR156" s="63"/>
      <x:c r="AS156" s="137"/>
      <x:c r="AT156" s="137"/>
      <x:c r="AU156" s="63" t="str">
        <x:f>IF($B156="","",IF($AK156="",10+$W156,IFERROR(INDEX('Armor Database'!$D$2:$D$100,MATCH($AK156,'Armor Database'!$A$2:$A$100,0))+IF(INDEX('Armor Database'!$E$2:$E$100,MATCH($AK156,'Armor Database'!$A$2:$A$100,0))="Full",$W156,IF(INDEX('Armor Database'!$E$2:$E$100,MATCH($AK156,'Armor Database'!$A$2:$A$100,0))="Max 2",MIN($W156,2),0))+IF($AL156="Shield",2,0)+N($AS156),10+$W156+IF($AL156="Shield",2,0)+N($AS156))))</x:f>
      </x:c>
      <x:c r="AV156" s="63" t="str">
        <x:f>IF($AM156="","",IFERROR(INDEX('Weapons Database'!$C$2:$C$100,MATCH($AM156,'Weapons Database'!$A$2:$A$100,0))&amp;" "&amp;INDEX('Weapons Database'!$D$2:$D$100,MATCH($AM156,'Weapons Database'!$A$2:$A$100,0)),""))</x:f>
      </x:c>
      <x:c r="AW156" s="63" t="str">
        <x:f>IF($AO156="","",IFERROR(INDEX('Weapons Database'!$C$2:$C$100,MATCH($AO156,'Weapons Database'!$A$2:$A$100,0))&amp;" "&amp;INDEX('Weapons Database'!$D$2:$D$100,MATCH($AO156,'Weapons Database'!$A$2:$A$100,0)),""))</x:f>
      </x:c>
      <x:c r="AX156" s="63"/>
    </x:row>
    <x:row r="157">
      <x:c r="A157" s="63"/>
      <x:c r="B157" s="63"/>
      <x:c r="C157" s="63"/>
      <x:c r="D157" s="63"/>
      <x:c r="E157" s="63"/>
      <x:c r="F157" s="63"/>
      <x:c r="G157" s="63"/>
      <x:c r="H157" s="63"/>
      <x:c r="I157" s="63"/>
      <x:c r="J157" s="63" t="str">
        <x:f>IF($B157="","",IF($AT157&lt;&gt;"",$AT157,$AU157))</x:f>
      </x:c>
      <x:c r="K157" s="63"/>
      <x:c r="L157" s="63"/>
      <x:c r="M157" s="63"/>
      <x:c r="N157" s="63"/>
      <x:c r="O157" s="63"/>
      <x:c r="P157" s="63"/>
      <x:c r="Q157" s="63"/>
      <x:c r="R157" s="63"/>
      <x:c r="S157" s="63"/>
      <x:c r="T157" s="63"/>
      <x:c r="U157" s="63"/>
      <x:c r="V157" s="63"/>
      <x:c r="W157" s="63"/>
      <x:c r="X157" s="63"/>
      <x:c r="Y157" s="63"/>
      <x:c r="Z157" s="63"/>
      <x:c r="AA157" s="63"/>
      <x:c r="AB157" s="63"/>
      <x:c r="AC157" s="63"/>
      <x:c r="AD157" s="63"/>
      <x:c r="AE157" s="63"/>
      <x:c r="AF157" s="63"/>
      <x:c r="AG157" s="63"/>
      <x:c r="AH157" s="63"/>
      <x:c r="AI157" s="63"/>
      <x:c r="AJ157" s="63"/>
      <x:c r="AK157" s="63"/>
      <x:c r="AL157" s="63"/>
      <x:c r="AM157" s="63"/>
      <x:c r="AN157" s="63"/>
      <x:c r="AO157" s="63"/>
      <x:c r="AP157" s="63"/>
      <x:c r="AQ157" s="63"/>
      <x:c r="AR157" s="63"/>
      <x:c r="AS157" s="137"/>
      <x:c r="AT157" s="137"/>
      <x:c r="AU157" s="63" t="str">
        <x:f>IF($B157="","",IF($AK157="",10+$W157,IFERROR(INDEX('Armor Database'!$D$2:$D$100,MATCH($AK157,'Armor Database'!$A$2:$A$100,0))+IF(INDEX('Armor Database'!$E$2:$E$100,MATCH($AK157,'Armor Database'!$A$2:$A$100,0))="Full",$W157,IF(INDEX('Armor Database'!$E$2:$E$100,MATCH($AK157,'Armor Database'!$A$2:$A$100,0))="Max 2",MIN($W157,2),0))+IF($AL157="Shield",2,0)+N($AS157),10+$W157+IF($AL157="Shield",2,0)+N($AS157))))</x:f>
      </x:c>
      <x:c r="AV157" s="63" t="str">
        <x:f>IF($AM157="","",IFERROR(INDEX('Weapons Database'!$C$2:$C$100,MATCH($AM157,'Weapons Database'!$A$2:$A$100,0))&amp;" "&amp;INDEX('Weapons Database'!$D$2:$D$100,MATCH($AM157,'Weapons Database'!$A$2:$A$100,0)),""))</x:f>
      </x:c>
      <x:c r="AW157" s="63" t="str">
        <x:f>IF($AO157="","",IFERROR(INDEX('Weapons Database'!$C$2:$C$100,MATCH($AO157,'Weapons Database'!$A$2:$A$100,0))&amp;" "&amp;INDEX('Weapons Database'!$D$2:$D$100,MATCH($AO157,'Weapons Database'!$A$2:$A$100,0)),""))</x:f>
      </x:c>
      <x:c r="AX157" s="63"/>
    </x:row>
    <x:row r="158">
      <x:c r="A158" s="63"/>
      <x:c r="B158" s="63"/>
      <x:c r="C158" s="63"/>
      <x:c r="D158" s="63"/>
      <x:c r="E158" s="63"/>
      <x:c r="F158" s="63"/>
      <x:c r="G158" s="63"/>
      <x:c r="H158" s="63"/>
      <x:c r="I158" s="63"/>
      <x:c r="J158" s="63" t="str">
        <x:f>IF($B158="","",IF($AT158&lt;&gt;"",$AT158,$AU158))</x:f>
      </x:c>
      <x:c r="K158" s="63"/>
      <x:c r="L158" s="63"/>
      <x:c r="M158" s="63"/>
      <x:c r="N158" s="63"/>
      <x:c r="O158" s="63"/>
      <x:c r="P158" s="63"/>
      <x:c r="Q158" s="63"/>
      <x:c r="R158" s="63"/>
      <x:c r="S158" s="63"/>
      <x:c r="T158" s="63"/>
      <x:c r="U158" s="63"/>
      <x:c r="V158" s="63"/>
      <x:c r="W158" s="63"/>
      <x:c r="X158" s="63"/>
      <x:c r="Y158" s="63"/>
      <x:c r="Z158" s="63"/>
      <x:c r="AA158" s="63"/>
      <x:c r="AB158" s="63"/>
      <x:c r="AC158" s="63"/>
      <x:c r="AD158" s="63"/>
      <x:c r="AE158" s="63"/>
      <x:c r="AF158" s="63"/>
      <x:c r="AG158" s="63"/>
      <x:c r="AH158" s="63"/>
      <x:c r="AI158" s="63"/>
      <x:c r="AJ158" s="63"/>
      <x:c r="AK158" s="63"/>
      <x:c r="AL158" s="63"/>
      <x:c r="AM158" s="63"/>
      <x:c r="AN158" s="63"/>
      <x:c r="AO158" s="63"/>
      <x:c r="AP158" s="63"/>
      <x:c r="AQ158" s="63"/>
      <x:c r="AR158" s="63"/>
      <x:c r="AS158" s="137"/>
      <x:c r="AT158" s="137"/>
      <x:c r="AU158" s="63" t="str">
        <x:f>IF($B158="","",IF($AK158="",10+$W158,IFERROR(INDEX('Armor Database'!$D$2:$D$100,MATCH($AK158,'Armor Database'!$A$2:$A$100,0))+IF(INDEX('Armor Database'!$E$2:$E$100,MATCH($AK158,'Armor Database'!$A$2:$A$100,0))="Full",$W158,IF(INDEX('Armor Database'!$E$2:$E$100,MATCH($AK158,'Armor Database'!$A$2:$A$100,0))="Max 2",MIN($W158,2),0))+IF($AL158="Shield",2,0)+N($AS158),10+$W158+IF($AL158="Shield",2,0)+N($AS158))))</x:f>
      </x:c>
      <x:c r="AV158" s="63" t="str">
        <x:f>IF($AM158="","",IFERROR(INDEX('Weapons Database'!$C$2:$C$100,MATCH($AM158,'Weapons Database'!$A$2:$A$100,0))&amp;" "&amp;INDEX('Weapons Database'!$D$2:$D$100,MATCH($AM158,'Weapons Database'!$A$2:$A$100,0)),""))</x:f>
      </x:c>
      <x:c r="AW158" s="63" t="str">
        <x:f>IF($AO158="","",IFERROR(INDEX('Weapons Database'!$C$2:$C$100,MATCH($AO158,'Weapons Database'!$A$2:$A$100,0))&amp;" "&amp;INDEX('Weapons Database'!$D$2:$D$100,MATCH($AO158,'Weapons Database'!$A$2:$A$100,0)),""))</x:f>
      </x:c>
      <x:c r="AX158" s="63"/>
    </x:row>
    <x:row r="159">
      <x:c r="A159" s="63"/>
      <x:c r="B159" s="63"/>
      <x:c r="C159" s="63"/>
      <x:c r="D159" s="63"/>
      <x:c r="E159" s="63"/>
      <x:c r="F159" s="63"/>
      <x:c r="G159" s="63"/>
      <x:c r="H159" s="63"/>
      <x:c r="I159" s="63"/>
      <x:c r="J159" s="63" t="str">
        <x:f>IF($B159="","",IF($AT159&lt;&gt;"",$AT159,$AU159))</x:f>
      </x:c>
      <x:c r="K159" s="63"/>
      <x:c r="L159" s="63"/>
      <x:c r="M159" s="63"/>
      <x:c r="N159" s="63"/>
      <x:c r="O159" s="63"/>
      <x:c r="P159" s="63"/>
      <x:c r="Q159" s="63"/>
      <x:c r="R159" s="63"/>
      <x:c r="S159" s="63"/>
      <x:c r="T159" s="63"/>
      <x:c r="U159" s="63"/>
      <x:c r="V159" s="63"/>
      <x:c r="W159" s="63"/>
      <x:c r="X159" s="63"/>
      <x:c r="Y159" s="63"/>
      <x:c r="Z159" s="63"/>
      <x:c r="AA159" s="63"/>
      <x:c r="AB159" s="63"/>
      <x:c r="AC159" s="63"/>
      <x:c r="AD159" s="63"/>
      <x:c r="AE159" s="63"/>
      <x:c r="AF159" s="63"/>
      <x:c r="AG159" s="63"/>
      <x:c r="AH159" s="63"/>
      <x:c r="AI159" s="63"/>
      <x:c r="AJ159" s="63"/>
      <x:c r="AK159" s="63"/>
      <x:c r="AL159" s="63"/>
      <x:c r="AM159" s="63"/>
      <x:c r="AN159" s="63"/>
      <x:c r="AO159" s="63"/>
      <x:c r="AP159" s="63"/>
      <x:c r="AQ159" s="63"/>
      <x:c r="AR159" s="63"/>
      <x:c r="AS159" s="137"/>
      <x:c r="AT159" s="137"/>
      <x:c r="AU159" s="63" t="str">
        <x:f>IF($B159="","",IF($AK159="",10+$W159,IFERROR(INDEX('Armor Database'!$D$2:$D$100,MATCH($AK159,'Armor Database'!$A$2:$A$100,0))+IF(INDEX('Armor Database'!$E$2:$E$100,MATCH($AK159,'Armor Database'!$A$2:$A$100,0))="Full",$W159,IF(INDEX('Armor Database'!$E$2:$E$100,MATCH($AK159,'Armor Database'!$A$2:$A$100,0))="Max 2",MIN($W159,2),0))+IF($AL159="Shield",2,0)+N($AS159),10+$W159+IF($AL159="Shield",2,0)+N($AS159))))</x:f>
      </x:c>
      <x:c r="AV159" s="63" t="str">
        <x:f>IF($AM159="","",IFERROR(INDEX('Weapons Database'!$C$2:$C$100,MATCH($AM159,'Weapons Database'!$A$2:$A$100,0))&amp;" "&amp;INDEX('Weapons Database'!$D$2:$D$100,MATCH($AM159,'Weapons Database'!$A$2:$A$100,0)),""))</x:f>
      </x:c>
      <x:c r="AW159" s="63" t="str">
        <x:f>IF($AO159="","",IFERROR(INDEX('Weapons Database'!$C$2:$C$100,MATCH($AO159,'Weapons Database'!$A$2:$A$100,0))&amp;" "&amp;INDEX('Weapons Database'!$D$2:$D$100,MATCH($AO159,'Weapons Database'!$A$2:$A$100,0)),""))</x:f>
      </x:c>
      <x:c r="AX159" s="63"/>
    </x:row>
    <x:row r="160">
      <x:c r="A160" s="63"/>
      <x:c r="B160" s="63"/>
      <x:c r="C160" s="63"/>
      <x:c r="D160" s="63"/>
      <x:c r="E160" s="63"/>
      <x:c r="F160" s="63"/>
      <x:c r="G160" s="63"/>
      <x:c r="H160" s="63"/>
      <x:c r="I160" s="63"/>
      <x:c r="J160" s="63" t="str">
        <x:f>IF($B160="","",IF($AT160&lt;&gt;"",$AT160,$AU160))</x:f>
      </x:c>
      <x:c r="K160" s="63"/>
      <x:c r="L160" s="63"/>
      <x:c r="M160" s="63"/>
      <x:c r="N160" s="63"/>
      <x:c r="O160" s="63"/>
      <x:c r="P160" s="63"/>
      <x:c r="Q160" s="63"/>
      <x:c r="R160" s="63"/>
      <x:c r="S160" s="63"/>
      <x:c r="T160" s="63"/>
      <x:c r="U160" s="63"/>
      <x:c r="V160" s="63"/>
      <x:c r="W160" s="63"/>
      <x:c r="X160" s="63"/>
      <x:c r="Y160" s="63"/>
      <x:c r="Z160" s="63"/>
      <x:c r="AA160" s="63"/>
      <x:c r="AB160" s="63"/>
      <x:c r="AC160" s="63"/>
      <x:c r="AD160" s="63"/>
      <x:c r="AE160" s="63"/>
      <x:c r="AF160" s="63"/>
      <x:c r="AG160" s="63"/>
      <x:c r="AH160" s="63"/>
      <x:c r="AI160" s="63"/>
      <x:c r="AJ160" s="63"/>
      <x:c r="AK160" s="63"/>
      <x:c r="AL160" s="63"/>
      <x:c r="AM160" s="63"/>
      <x:c r="AN160" s="63"/>
      <x:c r="AO160" s="63"/>
      <x:c r="AP160" s="63"/>
      <x:c r="AQ160" s="63"/>
      <x:c r="AR160" s="63"/>
      <x:c r="AS160" s="137"/>
      <x:c r="AT160" s="137"/>
      <x:c r="AU160" s="63" t="str">
        <x:f>IF($B160="","",IF($AK160="",10+$W160,IFERROR(INDEX('Armor Database'!$D$2:$D$100,MATCH($AK160,'Armor Database'!$A$2:$A$100,0))+IF(INDEX('Armor Database'!$E$2:$E$100,MATCH($AK160,'Armor Database'!$A$2:$A$100,0))="Full",$W160,IF(INDEX('Armor Database'!$E$2:$E$100,MATCH($AK160,'Armor Database'!$A$2:$A$100,0))="Max 2",MIN($W160,2),0))+IF($AL160="Shield",2,0)+N($AS160),10+$W160+IF($AL160="Shield",2,0)+N($AS160))))</x:f>
      </x:c>
      <x:c r="AV160" s="63" t="str">
        <x:f>IF($AM160="","",IFERROR(INDEX('Weapons Database'!$C$2:$C$100,MATCH($AM160,'Weapons Database'!$A$2:$A$100,0))&amp;" "&amp;INDEX('Weapons Database'!$D$2:$D$100,MATCH($AM160,'Weapons Database'!$A$2:$A$100,0)),""))</x:f>
      </x:c>
      <x:c r="AW160" s="63" t="str">
        <x:f>IF($AO160="","",IFERROR(INDEX('Weapons Database'!$C$2:$C$100,MATCH($AO160,'Weapons Database'!$A$2:$A$100,0))&amp;" "&amp;INDEX('Weapons Database'!$D$2:$D$100,MATCH($AO160,'Weapons Database'!$A$2:$A$100,0)),""))</x:f>
      </x:c>
      <x:c r="AX160" s="63"/>
    </x:row>
    <x:row r="161">
      <x:c r="A161" s="63"/>
      <x:c r="B161" s="63"/>
      <x:c r="C161" s="63"/>
      <x:c r="D161" s="63"/>
      <x:c r="E161" s="63"/>
      <x:c r="F161" s="63"/>
      <x:c r="G161" s="63"/>
      <x:c r="H161" s="63"/>
      <x:c r="I161" s="63"/>
      <x:c r="J161" s="63" t="str">
        <x:f>IF($B161="","",IF($AT161&lt;&gt;"",$AT161,$AU161))</x:f>
      </x:c>
      <x:c r="K161" s="63"/>
      <x:c r="L161" s="63"/>
      <x:c r="M161" s="63"/>
      <x:c r="N161" s="63"/>
      <x:c r="O161" s="63"/>
      <x:c r="P161" s="63"/>
      <x:c r="Q161" s="63"/>
      <x:c r="R161" s="63"/>
      <x:c r="S161" s="63"/>
      <x:c r="T161" s="63"/>
      <x:c r="U161" s="63"/>
      <x:c r="V161" s="63"/>
      <x:c r="W161" s="63"/>
      <x:c r="X161" s="63"/>
      <x:c r="Y161" s="63"/>
      <x:c r="Z161" s="63"/>
      <x:c r="AA161" s="63"/>
      <x:c r="AB161" s="63"/>
      <x:c r="AC161" s="63"/>
      <x:c r="AD161" s="63"/>
      <x:c r="AE161" s="63"/>
      <x:c r="AF161" s="63"/>
      <x:c r="AG161" s="63"/>
      <x:c r="AH161" s="63"/>
      <x:c r="AI161" s="63"/>
      <x:c r="AJ161" s="63"/>
      <x:c r="AK161" s="63"/>
      <x:c r="AL161" s="63"/>
      <x:c r="AM161" s="63"/>
      <x:c r="AN161" s="63"/>
      <x:c r="AO161" s="63"/>
      <x:c r="AP161" s="63"/>
      <x:c r="AQ161" s="63"/>
      <x:c r="AR161" s="63"/>
      <x:c r="AS161" s="137"/>
      <x:c r="AT161" s="137"/>
      <x:c r="AU161" s="63" t="str">
        <x:f>IF($B161="","",IF($AK161="",10+$W161,IFERROR(INDEX('Armor Database'!$D$2:$D$100,MATCH($AK161,'Armor Database'!$A$2:$A$100,0))+IF(INDEX('Armor Database'!$E$2:$E$100,MATCH($AK161,'Armor Database'!$A$2:$A$100,0))="Full",$W161,IF(INDEX('Armor Database'!$E$2:$E$100,MATCH($AK161,'Armor Database'!$A$2:$A$100,0))="Max 2",MIN($W161,2),0))+IF($AL161="Shield",2,0)+N($AS161),10+$W161+IF($AL161="Shield",2,0)+N($AS161))))</x:f>
      </x:c>
      <x:c r="AV161" s="63" t="str">
        <x:f>IF($AM161="","",IFERROR(INDEX('Weapons Database'!$C$2:$C$100,MATCH($AM161,'Weapons Database'!$A$2:$A$100,0))&amp;" "&amp;INDEX('Weapons Database'!$D$2:$D$100,MATCH($AM161,'Weapons Database'!$A$2:$A$100,0)),""))</x:f>
      </x:c>
      <x:c r="AW161" s="63" t="str">
        <x:f>IF($AO161="","",IFERROR(INDEX('Weapons Database'!$C$2:$C$100,MATCH($AO161,'Weapons Database'!$A$2:$A$100,0))&amp;" "&amp;INDEX('Weapons Database'!$D$2:$D$100,MATCH($AO161,'Weapons Database'!$A$2:$A$100,0)),""))</x:f>
      </x:c>
      <x:c r="AX161" s="63"/>
    </x:row>
    <x:row r="162">
      <x:c r="A162" s="63"/>
      <x:c r="B162" s="63"/>
      <x:c r="C162" s="63"/>
      <x:c r="D162" s="63"/>
      <x:c r="E162" s="63"/>
      <x:c r="F162" s="63"/>
      <x:c r="G162" s="63"/>
      <x:c r="H162" s="63"/>
      <x:c r="I162" s="63"/>
      <x:c r="J162" s="63" t="str">
        <x:f>IF($B162="","",IF($AT162&lt;&gt;"",$AT162,$AU162))</x:f>
      </x:c>
      <x:c r="K162" s="63"/>
      <x:c r="L162" s="63"/>
      <x:c r="M162" s="63"/>
      <x:c r="N162" s="63"/>
      <x:c r="O162" s="63"/>
      <x:c r="P162" s="63"/>
      <x:c r="Q162" s="63"/>
      <x:c r="R162" s="63"/>
      <x:c r="S162" s="63"/>
      <x:c r="T162" s="63"/>
      <x:c r="U162" s="63"/>
      <x:c r="V162" s="63"/>
      <x:c r="W162" s="63"/>
      <x:c r="X162" s="63"/>
      <x:c r="Y162" s="63"/>
      <x:c r="Z162" s="63"/>
      <x:c r="AA162" s="63"/>
      <x:c r="AB162" s="63"/>
      <x:c r="AC162" s="63"/>
      <x:c r="AD162" s="63"/>
      <x:c r="AE162" s="63"/>
      <x:c r="AF162" s="63"/>
      <x:c r="AG162" s="63"/>
      <x:c r="AH162" s="63"/>
      <x:c r="AI162" s="63"/>
      <x:c r="AJ162" s="63"/>
      <x:c r="AK162" s="63"/>
      <x:c r="AL162" s="63"/>
      <x:c r="AM162" s="63"/>
      <x:c r="AN162" s="63"/>
      <x:c r="AO162" s="63"/>
      <x:c r="AP162" s="63"/>
      <x:c r="AQ162" s="63"/>
      <x:c r="AR162" s="63"/>
      <x:c r="AS162" s="137"/>
      <x:c r="AT162" s="137"/>
      <x:c r="AU162" s="63" t="str">
        <x:f>IF($B162="","",IF($AK162="",10+$W162,IFERROR(INDEX('Armor Database'!$D$2:$D$100,MATCH($AK162,'Armor Database'!$A$2:$A$100,0))+IF(INDEX('Armor Database'!$E$2:$E$100,MATCH($AK162,'Armor Database'!$A$2:$A$100,0))="Full",$W162,IF(INDEX('Armor Database'!$E$2:$E$100,MATCH($AK162,'Armor Database'!$A$2:$A$100,0))="Max 2",MIN($W162,2),0))+IF($AL162="Shield",2,0)+N($AS162),10+$W162+IF($AL162="Shield",2,0)+N($AS162))))</x:f>
      </x:c>
      <x:c r="AV162" s="63" t="str">
        <x:f>IF($AM162="","",IFERROR(INDEX('Weapons Database'!$C$2:$C$100,MATCH($AM162,'Weapons Database'!$A$2:$A$100,0))&amp;" "&amp;INDEX('Weapons Database'!$D$2:$D$100,MATCH($AM162,'Weapons Database'!$A$2:$A$100,0)),""))</x:f>
      </x:c>
      <x:c r="AW162" s="63" t="str">
        <x:f>IF($AO162="","",IFERROR(INDEX('Weapons Database'!$C$2:$C$100,MATCH($AO162,'Weapons Database'!$A$2:$A$100,0))&amp;" "&amp;INDEX('Weapons Database'!$D$2:$D$100,MATCH($AO162,'Weapons Database'!$A$2:$A$100,0)),""))</x:f>
      </x:c>
      <x:c r="AX162" s="63"/>
    </x:row>
    <x:row r="163">
      <x:c r="A163" s="63"/>
      <x:c r="B163" s="63"/>
      <x:c r="C163" s="63"/>
      <x:c r="D163" s="63"/>
      <x:c r="E163" s="63"/>
      <x:c r="F163" s="63"/>
      <x:c r="G163" s="63"/>
      <x:c r="H163" s="63"/>
      <x:c r="I163" s="63"/>
      <x:c r="J163" s="63" t="str">
        <x:f>IF($B163="","",IF($AT163&lt;&gt;"",$AT163,$AU163))</x:f>
      </x:c>
      <x:c r="K163" s="63"/>
      <x:c r="L163" s="63"/>
      <x:c r="M163" s="63"/>
      <x:c r="N163" s="63"/>
      <x:c r="O163" s="63"/>
      <x:c r="P163" s="63"/>
      <x:c r="Q163" s="63"/>
      <x:c r="R163" s="63"/>
      <x:c r="S163" s="63"/>
      <x:c r="T163" s="63"/>
      <x:c r="U163" s="63"/>
      <x:c r="V163" s="63"/>
      <x:c r="W163" s="63"/>
      <x:c r="X163" s="63"/>
      <x:c r="Y163" s="63"/>
      <x:c r="Z163" s="63"/>
      <x:c r="AA163" s="63"/>
      <x:c r="AB163" s="63"/>
      <x:c r="AC163" s="63"/>
      <x:c r="AD163" s="63"/>
      <x:c r="AE163" s="63"/>
      <x:c r="AF163" s="63"/>
      <x:c r="AG163" s="63"/>
      <x:c r="AH163" s="63"/>
      <x:c r="AI163" s="63"/>
      <x:c r="AJ163" s="63"/>
      <x:c r="AK163" s="63"/>
      <x:c r="AL163" s="63"/>
      <x:c r="AM163" s="63"/>
      <x:c r="AN163" s="63"/>
      <x:c r="AO163" s="63"/>
      <x:c r="AP163" s="63"/>
      <x:c r="AQ163" s="63"/>
      <x:c r="AR163" s="63"/>
      <x:c r="AS163" s="137"/>
      <x:c r="AT163" s="137"/>
      <x:c r="AU163" s="63" t="str">
        <x:f>IF($B163="","",IF($AK163="",10+$W163,IFERROR(INDEX('Armor Database'!$D$2:$D$100,MATCH($AK163,'Armor Database'!$A$2:$A$100,0))+IF(INDEX('Armor Database'!$E$2:$E$100,MATCH($AK163,'Armor Database'!$A$2:$A$100,0))="Full",$W163,IF(INDEX('Armor Database'!$E$2:$E$100,MATCH($AK163,'Armor Database'!$A$2:$A$100,0))="Max 2",MIN($W163,2),0))+IF($AL163="Shield",2,0)+N($AS163),10+$W163+IF($AL163="Shield",2,0)+N($AS163))))</x:f>
      </x:c>
      <x:c r="AV163" s="63" t="str">
        <x:f>IF($AM163="","",IFERROR(INDEX('Weapons Database'!$C$2:$C$100,MATCH($AM163,'Weapons Database'!$A$2:$A$100,0))&amp;" "&amp;INDEX('Weapons Database'!$D$2:$D$100,MATCH($AM163,'Weapons Database'!$A$2:$A$100,0)),""))</x:f>
      </x:c>
      <x:c r="AW163" s="63" t="str">
        <x:f>IF($AO163="","",IFERROR(INDEX('Weapons Database'!$C$2:$C$100,MATCH($AO163,'Weapons Database'!$A$2:$A$100,0))&amp;" "&amp;INDEX('Weapons Database'!$D$2:$D$100,MATCH($AO163,'Weapons Database'!$A$2:$A$100,0)),""))</x:f>
      </x:c>
      <x:c r="AX163" s="63"/>
    </x:row>
    <x:row r="164">
      <x:c r="A164" s="63"/>
      <x:c r="B164" s="63"/>
      <x:c r="C164" s="63"/>
      <x:c r="D164" s="63"/>
      <x:c r="E164" s="63"/>
      <x:c r="F164" s="63"/>
      <x:c r="G164" s="63"/>
      <x:c r="H164" s="63"/>
      <x:c r="I164" s="63"/>
      <x:c r="J164" s="63" t="str">
        <x:f>IF($B164="","",IF($AT164&lt;&gt;"",$AT164,$AU164))</x:f>
      </x:c>
      <x:c r="K164" s="63"/>
      <x:c r="L164" s="63"/>
      <x:c r="M164" s="63"/>
      <x:c r="N164" s="63"/>
      <x:c r="O164" s="63"/>
      <x:c r="P164" s="63"/>
      <x:c r="Q164" s="63"/>
      <x:c r="R164" s="63"/>
      <x:c r="S164" s="63"/>
      <x:c r="T164" s="63"/>
      <x:c r="U164" s="63"/>
      <x:c r="V164" s="63"/>
      <x:c r="W164" s="63"/>
      <x:c r="X164" s="63"/>
      <x:c r="Y164" s="63"/>
      <x:c r="Z164" s="63"/>
      <x:c r="AA164" s="63"/>
      <x:c r="AB164" s="63"/>
      <x:c r="AC164" s="63"/>
      <x:c r="AD164" s="63"/>
      <x:c r="AE164" s="63"/>
      <x:c r="AF164" s="63"/>
      <x:c r="AG164" s="63"/>
      <x:c r="AH164" s="63"/>
      <x:c r="AI164" s="63"/>
      <x:c r="AJ164" s="63"/>
      <x:c r="AK164" s="63"/>
      <x:c r="AL164" s="63"/>
      <x:c r="AM164" s="63"/>
      <x:c r="AN164" s="63"/>
      <x:c r="AO164" s="63"/>
      <x:c r="AP164" s="63"/>
      <x:c r="AQ164" s="63"/>
      <x:c r="AR164" s="63"/>
      <x:c r="AS164" s="137"/>
      <x:c r="AT164" s="137"/>
      <x:c r="AU164" s="63" t="str">
        <x:f>IF($B164="","",IF($AK164="",10+$W164,IFERROR(INDEX('Armor Database'!$D$2:$D$100,MATCH($AK164,'Armor Database'!$A$2:$A$100,0))+IF(INDEX('Armor Database'!$E$2:$E$100,MATCH($AK164,'Armor Database'!$A$2:$A$100,0))="Full",$W164,IF(INDEX('Armor Database'!$E$2:$E$100,MATCH($AK164,'Armor Database'!$A$2:$A$100,0))="Max 2",MIN($W164,2),0))+IF($AL164="Shield",2,0)+N($AS164),10+$W164+IF($AL164="Shield",2,0)+N($AS164))))</x:f>
      </x:c>
      <x:c r="AV164" s="63" t="str">
        <x:f>IF($AM164="","",IFERROR(INDEX('Weapons Database'!$C$2:$C$100,MATCH($AM164,'Weapons Database'!$A$2:$A$100,0))&amp;" "&amp;INDEX('Weapons Database'!$D$2:$D$100,MATCH($AM164,'Weapons Database'!$A$2:$A$100,0)),""))</x:f>
      </x:c>
      <x:c r="AW164" s="63" t="str">
        <x:f>IF($AO164="","",IFERROR(INDEX('Weapons Database'!$C$2:$C$100,MATCH($AO164,'Weapons Database'!$A$2:$A$100,0))&amp;" "&amp;INDEX('Weapons Database'!$D$2:$D$100,MATCH($AO164,'Weapons Database'!$A$2:$A$100,0)),""))</x:f>
      </x:c>
      <x:c r="AX164" s="63"/>
    </x:row>
    <x:row r="165">
      <x:c r="A165" s="63"/>
      <x:c r="B165" s="63"/>
      <x:c r="C165" s="63"/>
      <x:c r="D165" s="63"/>
      <x:c r="E165" s="63"/>
      <x:c r="F165" s="63"/>
      <x:c r="G165" s="63"/>
      <x:c r="H165" s="63"/>
      <x:c r="I165" s="63"/>
      <x:c r="J165" s="63" t="str">
        <x:f>IF($B165="","",IF($AT165&lt;&gt;"",$AT165,$AU165))</x:f>
      </x:c>
      <x:c r="K165" s="63"/>
      <x:c r="L165" s="63"/>
      <x:c r="M165" s="63"/>
      <x:c r="N165" s="63"/>
      <x:c r="O165" s="63"/>
      <x:c r="P165" s="63"/>
      <x:c r="Q165" s="63"/>
      <x:c r="R165" s="63"/>
      <x:c r="S165" s="63"/>
      <x:c r="T165" s="63"/>
      <x:c r="U165" s="63"/>
      <x:c r="V165" s="63"/>
      <x:c r="W165" s="63"/>
      <x:c r="X165" s="63"/>
      <x:c r="Y165" s="63"/>
      <x:c r="Z165" s="63"/>
      <x:c r="AA165" s="63"/>
      <x:c r="AB165" s="63"/>
      <x:c r="AC165" s="63"/>
      <x:c r="AD165" s="63"/>
      <x:c r="AE165" s="63"/>
      <x:c r="AF165" s="63"/>
      <x:c r="AG165" s="63"/>
      <x:c r="AH165" s="63"/>
      <x:c r="AI165" s="63"/>
      <x:c r="AJ165" s="63"/>
      <x:c r="AK165" s="63"/>
      <x:c r="AL165" s="63"/>
      <x:c r="AM165" s="63"/>
      <x:c r="AN165" s="63"/>
      <x:c r="AO165" s="63"/>
      <x:c r="AP165" s="63"/>
      <x:c r="AQ165" s="63"/>
      <x:c r="AR165" s="63"/>
      <x:c r="AS165" s="137"/>
      <x:c r="AT165" s="137"/>
      <x:c r="AU165" s="63" t="str">
        <x:f>IF($B165="","",IF($AK165="",10+$W165,IFERROR(INDEX('Armor Database'!$D$2:$D$100,MATCH($AK165,'Armor Database'!$A$2:$A$100,0))+IF(INDEX('Armor Database'!$E$2:$E$100,MATCH($AK165,'Armor Database'!$A$2:$A$100,0))="Full",$W165,IF(INDEX('Armor Database'!$E$2:$E$100,MATCH($AK165,'Armor Database'!$A$2:$A$100,0))="Max 2",MIN($W165,2),0))+IF($AL165="Shield",2,0)+N($AS165),10+$W165+IF($AL165="Shield",2,0)+N($AS165))))</x:f>
      </x:c>
      <x:c r="AV165" s="63" t="str">
        <x:f>IF($AM165="","",IFERROR(INDEX('Weapons Database'!$C$2:$C$100,MATCH($AM165,'Weapons Database'!$A$2:$A$100,0))&amp;" "&amp;INDEX('Weapons Database'!$D$2:$D$100,MATCH($AM165,'Weapons Database'!$A$2:$A$100,0)),""))</x:f>
      </x:c>
      <x:c r="AW165" s="63" t="str">
        <x:f>IF($AO165="","",IFERROR(INDEX('Weapons Database'!$C$2:$C$100,MATCH($AO165,'Weapons Database'!$A$2:$A$100,0))&amp;" "&amp;INDEX('Weapons Database'!$D$2:$D$100,MATCH($AO165,'Weapons Database'!$A$2:$A$100,0)),""))</x:f>
      </x:c>
      <x:c r="AX165" s="63"/>
    </x:row>
    <x:row r="166">
      <x:c r="A166" s="63"/>
      <x:c r="B166" s="63"/>
      <x:c r="C166" s="63"/>
      <x:c r="D166" s="63"/>
      <x:c r="E166" s="63"/>
      <x:c r="F166" s="63"/>
      <x:c r="G166" s="63"/>
      <x:c r="H166" s="63"/>
      <x:c r="I166" s="63"/>
      <x:c r="J166" s="63" t="str">
        <x:f>IF($B166="","",IF($AT166&lt;&gt;"",$AT166,$AU166))</x:f>
      </x:c>
      <x:c r="K166" s="63"/>
      <x:c r="L166" s="63"/>
      <x:c r="M166" s="63"/>
      <x:c r="N166" s="63"/>
      <x:c r="O166" s="63"/>
      <x:c r="P166" s="63"/>
      <x:c r="Q166" s="63"/>
      <x:c r="R166" s="63"/>
      <x:c r="S166" s="63"/>
      <x:c r="T166" s="63"/>
      <x:c r="U166" s="63"/>
      <x:c r="V166" s="63"/>
      <x:c r="W166" s="63"/>
      <x:c r="X166" s="63"/>
      <x:c r="Y166" s="63"/>
      <x:c r="Z166" s="63"/>
      <x:c r="AA166" s="63"/>
      <x:c r="AB166" s="63"/>
      <x:c r="AC166" s="63"/>
      <x:c r="AD166" s="63"/>
      <x:c r="AE166" s="63"/>
      <x:c r="AF166" s="63"/>
      <x:c r="AG166" s="63"/>
      <x:c r="AH166" s="63"/>
      <x:c r="AI166" s="63"/>
      <x:c r="AJ166" s="63"/>
      <x:c r="AK166" s="63"/>
      <x:c r="AL166" s="63"/>
      <x:c r="AM166" s="63"/>
      <x:c r="AN166" s="63"/>
      <x:c r="AO166" s="63"/>
      <x:c r="AP166" s="63"/>
      <x:c r="AQ166" s="63"/>
      <x:c r="AR166" s="63"/>
      <x:c r="AS166" s="137"/>
      <x:c r="AT166" s="137"/>
      <x:c r="AU166" s="63" t="str">
        <x:f>IF($B166="","",IF($AK166="",10+$W166,IFERROR(INDEX('Armor Database'!$D$2:$D$100,MATCH($AK166,'Armor Database'!$A$2:$A$100,0))+IF(INDEX('Armor Database'!$E$2:$E$100,MATCH($AK166,'Armor Database'!$A$2:$A$100,0))="Full",$W166,IF(INDEX('Armor Database'!$E$2:$E$100,MATCH($AK166,'Armor Database'!$A$2:$A$100,0))="Max 2",MIN($W166,2),0))+IF($AL166="Shield",2,0)+N($AS166),10+$W166+IF($AL166="Shield",2,0)+N($AS166))))</x:f>
      </x:c>
      <x:c r="AV166" s="63" t="str">
        <x:f>IF($AM166="","",IFERROR(INDEX('Weapons Database'!$C$2:$C$100,MATCH($AM166,'Weapons Database'!$A$2:$A$100,0))&amp;" "&amp;INDEX('Weapons Database'!$D$2:$D$100,MATCH($AM166,'Weapons Database'!$A$2:$A$100,0)),""))</x:f>
      </x:c>
      <x:c r="AW166" s="63" t="str">
        <x:f>IF($AO166="","",IFERROR(INDEX('Weapons Database'!$C$2:$C$100,MATCH($AO166,'Weapons Database'!$A$2:$A$100,0))&amp;" "&amp;INDEX('Weapons Database'!$D$2:$D$100,MATCH($AO166,'Weapons Database'!$A$2:$A$100,0)),""))</x:f>
      </x:c>
      <x:c r="AX166" s="63"/>
    </x:row>
    <x:row r="167">
      <x:c r="A167" s="63"/>
      <x:c r="B167" s="63"/>
      <x:c r="C167" s="63"/>
      <x:c r="D167" s="63"/>
      <x:c r="E167" s="63"/>
      <x:c r="F167" s="63"/>
      <x:c r="G167" s="63"/>
      <x:c r="H167" s="63"/>
      <x:c r="I167" s="63"/>
      <x:c r="J167" s="63" t="str">
        <x:f>IF($B167="","",IF($AT167&lt;&gt;"",$AT167,$AU167))</x:f>
      </x:c>
      <x:c r="K167" s="63"/>
      <x:c r="L167" s="63"/>
      <x:c r="M167" s="63"/>
      <x:c r="N167" s="63"/>
      <x:c r="O167" s="63"/>
      <x:c r="P167" s="63"/>
      <x:c r="Q167" s="63"/>
      <x:c r="R167" s="63"/>
      <x:c r="S167" s="63"/>
      <x:c r="T167" s="63"/>
      <x:c r="U167" s="63"/>
      <x:c r="V167" s="63"/>
      <x:c r="W167" s="63"/>
      <x:c r="X167" s="63"/>
      <x:c r="Y167" s="63"/>
      <x:c r="Z167" s="63"/>
      <x:c r="AA167" s="63"/>
      <x:c r="AB167" s="63"/>
      <x:c r="AC167" s="63"/>
      <x:c r="AD167" s="63"/>
      <x:c r="AE167" s="63"/>
      <x:c r="AF167" s="63"/>
      <x:c r="AG167" s="63"/>
      <x:c r="AH167" s="63"/>
      <x:c r="AI167" s="63"/>
      <x:c r="AJ167" s="63"/>
      <x:c r="AK167" s="63"/>
      <x:c r="AL167" s="63"/>
      <x:c r="AM167" s="63"/>
      <x:c r="AN167" s="63"/>
      <x:c r="AO167" s="63"/>
      <x:c r="AP167" s="63"/>
      <x:c r="AQ167" s="63"/>
      <x:c r="AR167" s="63"/>
      <x:c r="AS167" s="137"/>
      <x:c r="AT167" s="137"/>
      <x:c r="AU167" s="63" t="str">
        <x:f>IF($B167="","",IF($AK167="",10+$W167,IFERROR(INDEX('Armor Database'!$D$2:$D$100,MATCH($AK167,'Armor Database'!$A$2:$A$100,0))+IF(INDEX('Armor Database'!$E$2:$E$100,MATCH($AK167,'Armor Database'!$A$2:$A$100,0))="Full",$W167,IF(INDEX('Armor Database'!$E$2:$E$100,MATCH($AK167,'Armor Database'!$A$2:$A$100,0))="Max 2",MIN($W167,2),0))+IF($AL167="Shield",2,0)+N($AS167),10+$W167+IF($AL167="Shield",2,0)+N($AS167))))</x:f>
      </x:c>
      <x:c r="AV167" s="63" t="str">
        <x:f>IF($AM167="","",IFERROR(INDEX('Weapons Database'!$C$2:$C$100,MATCH($AM167,'Weapons Database'!$A$2:$A$100,0))&amp;" "&amp;INDEX('Weapons Database'!$D$2:$D$100,MATCH($AM167,'Weapons Database'!$A$2:$A$100,0)),""))</x:f>
      </x:c>
      <x:c r="AW167" s="63" t="str">
        <x:f>IF($AO167="","",IFERROR(INDEX('Weapons Database'!$C$2:$C$100,MATCH($AO167,'Weapons Database'!$A$2:$A$100,0))&amp;" "&amp;INDEX('Weapons Database'!$D$2:$D$100,MATCH($AO167,'Weapons Database'!$A$2:$A$100,0)),""))</x:f>
      </x:c>
      <x:c r="AX167" s="63"/>
    </x:row>
    <x:row r="168">
      <x:c r="A168" s="63"/>
      <x:c r="B168" s="63"/>
      <x:c r="C168" s="63"/>
      <x:c r="D168" s="63"/>
      <x:c r="E168" s="63"/>
      <x:c r="F168" s="63"/>
      <x:c r="G168" s="63"/>
      <x:c r="H168" s="63"/>
      <x:c r="I168" s="63"/>
      <x:c r="J168" s="63" t="str">
        <x:f>IF($B168="","",IF($AT168&lt;&gt;"",$AT168,$AU168))</x:f>
      </x:c>
      <x:c r="K168" s="63"/>
      <x:c r="L168" s="63"/>
      <x:c r="M168" s="63"/>
      <x:c r="N168" s="63"/>
      <x:c r="O168" s="63"/>
      <x:c r="P168" s="63"/>
      <x:c r="Q168" s="63"/>
      <x:c r="R168" s="63"/>
      <x:c r="S168" s="63"/>
      <x:c r="T168" s="63"/>
      <x:c r="U168" s="63"/>
      <x:c r="V168" s="63"/>
      <x:c r="W168" s="63"/>
      <x:c r="X168" s="63"/>
      <x:c r="Y168" s="63"/>
      <x:c r="Z168" s="63"/>
      <x:c r="AA168" s="63"/>
      <x:c r="AB168" s="63"/>
      <x:c r="AC168" s="63"/>
      <x:c r="AD168" s="63"/>
      <x:c r="AE168" s="63"/>
      <x:c r="AF168" s="63"/>
      <x:c r="AG168" s="63"/>
      <x:c r="AH168" s="63"/>
      <x:c r="AI168" s="63"/>
      <x:c r="AJ168" s="63"/>
      <x:c r="AK168" s="63"/>
      <x:c r="AL168" s="63"/>
      <x:c r="AM168" s="63"/>
      <x:c r="AN168" s="63"/>
      <x:c r="AO168" s="63"/>
      <x:c r="AP168" s="63"/>
      <x:c r="AQ168" s="63"/>
      <x:c r="AR168" s="63"/>
      <x:c r="AS168" s="137"/>
      <x:c r="AT168" s="137"/>
      <x:c r="AU168" s="63" t="str">
        <x:f>IF($B168="","",IF($AK168="",10+$W168,IFERROR(INDEX('Armor Database'!$D$2:$D$100,MATCH($AK168,'Armor Database'!$A$2:$A$100,0))+IF(INDEX('Armor Database'!$E$2:$E$100,MATCH($AK168,'Armor Database'!$A$2:$A$100,0))="Full",$W168,IF(INDEX('Armor Database'!$E$2:$E$100,MATCH($AK168,'Armor Database'!$A$2:$A$100,0))="Max 2",MIN($W168,2),0))+IF($AL168="Shield",2,0)+N($AS168),10+$W168+IF($AL168="Shield",2,0)+N($AS168))))</x:f>
      </x:c>
      <x:c r="AV168" s="63" t="str">
        <x:f>IF($AM168="","",IFERROR(INDEX('Weapons Database'!$C$2:$C$100,MATCH($AM168,'Weapons Database'!$A$2:$A$100,0))&amp;" "&amp;INDEX('Weapons Database'!$D$2:$D$100,MATCH($AM168,'Weapons Database'!$A$2:$A$100,0)),""))</x:f>
      </x:c>
      <x:c r="AW168" s="63" t="str">
        <x:f>IF($AO168="","",IFERROR(INDEX('Weapons Database'!$C$2:$C$100,MATCH($AO168,'Weapons Database'!$A$2:$A$100,0))&amp;" "&amp;INDEX('Weapons Database'!$D$2:$D$100,MATCH($AO168,'Weapons Database'!$A$2:$A$100,0)),""))</x:f>
      </x:c>
      <x:c r="AX168" s="63"/>
    </x:row>
    <x:row r="169">
      <x:c r="A169" s="63"/>
      <x:c r="B169" s="63"/>
      <x:c r="C169" s="63"/>
      <x:c r="D169" s="63"/>
      <x:c r="E169" s="63"/>
      <x:c r="F169" s="63"/>
      <x:c r="G169" s="63"/>
      <x:c r="H169" s="63"/>
      <x:c r="I169" s="63"/>
      <x:c r="J169" s="63" t="str">
        <x:f>IF($B169="","",IF($AT169&lt;&gt;"",$AT169,$AU169))</x:f>
      </x:c>
      <x:c r="K169" s="63"/>
      <x:c r="L169" s="63"/>
      <x:c r="M169" s="63"/>
      <x:c r="N169" s="63"/>
      <x:c r="O169" s="63"/>
      <x:c r="P169" s="63"/>
      <x:c r="Q169" s="63"/>
      <x:c r="R169" s="63"/>
      <x:c r="S169" s="63"/>
      <x:c r="T169" s="63"/>
      <x:c r="U169" s="63"/>
      <x:c r="V169" s="63"/>
      <x:c r="W169" s="63"/>
      <x:c r="X169" s="63"/>
      <x:c r="Y169" s="63"/>
      <x:c r="Z169" s="63"/>
      <x:c r="AA169" s="63"/>
      <x:c r="AB169" s="63"/>
      <x:c r="AC169" s="63"/>
      <x:c r="AD169" s="63"/>
      <x:c r="AE169" s="63"/>
      <x:c r="AF169" s="63"/>
      <x:c r="AG169" s="63"/>
      <x:c r="AH169" s="63"/>
      <x:c r="AI169" s="63"/>
      <x:c r="AJ169" s="63"/>
      <x:c r="AK169" s="63"/>
      <x:c r="AL169" s="63"/>
      <x:c r="AM169" s="63"/>
      <x:c r="AN169" s="63"/>
      <x:c r="AO169" s="63"/>
      <x:c r="AP169" s="63"/>
      <x:c r="AQ169" s="63"/>
      <x:c r="AR169" s="63"/>
      <x:c r="AS169" s="137"/>
      <x:c r="AT169" s="137"/>
      <x:c r="AU169" s="63" t="str">
        <x:f>IF($B169="","",IF($AK169="",10+$W169,IFERROR(INDEX('Armor Database'!$D$2:$D$100,MATCH($AK169,'Armor Database'!$A$2:$A$100,0))+IF(INDEX('Armor Database'!$E$2:$E$100,MATCH($AK169,'Armor Database'!$A$2:$A$100,0))="Full",$W169,IF(INDEX('Armor Database'!$E$2:$E$100,MATCH($AK169,'Armor Database'!$A$2:$A$100,0))="Max 2",MIN($W169,2),0))+IF($AL169="Shield",2,0)+N($AS169),10+$W169+IF($AL169="Shield",2,0)+N($AS169))))</x:f>
      </x:c>
      <x:c r="AV169" s="63" t="str">
        <x:f>IF($AM169="","",IFERROR(INDEX('Weapons Database'!$C$2:$C$100,MATCH($AM169,'Weapons Database'!$A$2:$A$100,0))&amp;" "&amp;INDEX('Weapons Database'!$D$2:$D$100,MATCH($AM169,'Weapons Database'!$A$2:$A$100,0)),""))</x:f>
      </x:c>
      <x:c r="AW169" s="63" t="str">
        <x:f>IF($AO169="","",IFERROR(INDEX('Weapons Database'!$C$2:$C$100,MATCH($AO169,'Weapons Database'!$A$2:$A$100,0))&amp;" "&amp;INDEX('Weapons Database'!$D$2:$D$100,MATCH($AO169,'Weapons Database'!$A$2:$A$100,0)),""))</x:f>
      </x:c>
      <x:c r="AX169" s="63"/>
    </x:row>
    <x:row r="170">
      <x:c r="A170" s="63"/>
      <x:c r="B170" s="63"/>
      <x:c r="C170" s="63"/>
      <x:c r="D170" s="63"/>
      <x:c r="E170" s="63"/>
      <x:c r="F170" s="63"/>
      <x:c r="G170" s="63"/>
      <x:c r="H170" s="63"/>
      <x:c r="I170" s="63"/>
      <x:c r="J170" s="63" t="str">
        <x:f>IF($B170="","",IF($AT170&lt;&gt;"",$AT170,$AU170))</x:f>
      </x:c>
      <x:c r="K170" s="63"/>
      <x:c r="L170" s="63"/>
      <x:c r="M170" s="63"/>
      <x:c r="N170" s="63"/>
      <x:c r="O170" s="63"/>
      <x:c r="P170" s="63"/>
      <x:c r="Q170" s="63"/>
      <x:c r="R170" s="63"/>
      <x:c r="S170" s="63"/>
      <x:c r="T170" s="63"/>
      <x:c r="U170" s="63"/>
      <x:c r="V170" s="63"/>
      <x:c r="W170" s="63"/>
      <x:c r="X170" s="63"/>
      <x:c r="Y170" s="63"/>
      <x:c r="Z170" s="63"/>
      <x:c r="AA170" s="63"/>
      <x:c r="AB170" s="63"/>
      <x:c r="AC170" s="63"/>
      <x:c r="AD170" s="63"/>
      <x:c r="AE170" s="63"/>
      <x:c r="AF170" s="63"/>
      <x:c r="AG170" s="63"/>
      <x:c r="AH170" s="63"/>
      <x:c r="AI170" s="63"/>
      <x:c r="AJ170" s="63"/>
      <x:c r="AK170" s="63"/>
      <x:c r="AL170" s="63"/>
      <x:c r="AM170" s="63"/>
      <x:c r="AN170" s="63"/>
      <x:c r="AO170" s="63"/>
      <x:c r="AP170" s="63"/>
      <x:c r="AQ170" s="63"/>
      <x:c r="AR170" s="63"/>
      <x:c r="AS170" s="137"/>
      <x:c r="AT170" s="137"/>
      <x:c r="AU170" s="63" t="str">
        <x:f>IF($B170="","",IF($AK170="",10+$W170,IFERROR(INDEX('Armor Database'!$D$2:$D$100,MATCH($AK170,'Armor Database'!$A$2:$A$100,0))+IF(INDEX('Armor Database'!$E$2:$E$100,MATCH($AK170,'Armor Database'!$A$2:$A$100,0))="Full",$W170,IF(INDEX('Armor Database'!$E$2:$E$100,MATCH($AK170,'Armor Database'!$A$2:$A$100,0))="Max 2",MIN($W170,2),0))+IF($AL170="Shield",2,0)+N($AS170),10+$W170+IF($AL170="Shield",2,0)+N($AS170))))</x:f>
      </x:c>
      <x:c r="AV170" s="63" t="str">
        <x:f>IF($AM170="","",IFERROR(INDEX('Weapons Database'!$C$2:$C$100,MATCH($AM170,'Weapons Database'!$A$2:$A$100,0))&amp;" "&amp;INDEX('Weapons Database'!$D$2:$D$100,MATCH($AM170,'Weapons Database'!$A$2:$A$100,0)),""))</x:f>
      </x:c>
      <x:c r="AW170" s="63" t="str">
        <x:f>IF($AO170="","",IFERROR(INDEX('Weapons Database'!$C$2:$C$100,MATCH($AO170,'Weapons Database'!$A$2:$A$100,0))&amp;" "&amp;INDEX('Weapons Database'!$D$2:$D$100,MATCH($AO170,'Weapons Database'!$A$2:$A$100,0)),""))</x:f>
      </x:c>
      <x:c r="AX170" s="63"/>
    </x:row>
    <x:row r="171">
      <x:c r="A171" s="63"/>
      <x:c r="B171" s="63"/>
      <x:c r="C171" s="63"/>
      <x:c r="D171" s="63"/>
      <x:c r="E171" s="63"/>
      <x:c r="F171" s="63"/>
      <x:c r="G171" s="63"/>
      <x:c r="H171" s="63"/>
      <x:c r="I171" s="63"/>
      <x:c r="J171" s="63" t="str">
        <x:f>IF($B171="","",IF($AT171&lt;&gt;"",$AT171,$AU171))</x:f>
      </x:c>
      <x:c r="K171" s="63"/>
      <x:c r="L171" s="63"/>
      <x:c r="M171" s="63"/>
      <x:c r="N171" s="63"/>
      <x:c r="O171" s="63"/>
      <x:c r="P171" s="63"/>
      <x:c r="Q171" s="63"/>
      <x:c r="R171" s="63"/>
      <x:c r="S171" s="63"/>
      <x:c r="T171" s="63"/>
      <x:c r="U171" s="63"/>
      <x:c r="V171" s="63"/>
      <x:c r="W171" s="63"/>
      <x:c r="X171" s="63"/>
      <x:c r="Y171" s="63"/>
      <x:c r="Z171" s="63"/>
      <x:c r="AA171" s="63"/>
      <x:c r="AB171" s="63"/>
      <x:c r="AC171" s="63"/>
      <x:c r="AD171" s="63"/>
      <x:c r="AE171" s="63"/>
      <x:c r="AF171" s="63"/>
      <x:c r="AG171" s="63"/>
      <x:c r="AH171" s="63"/>
      <x:c r="AI171" s="63"/>
      <x:c r="AJ171" s="63"/>
      <x:c r="AK171" s="63"/>
      <x:c r="AL171" s="63"/>
      <x:c r="AM171" s="63"/>
      <x:c r="AN171" s="63"/>
      <x:c r="AO171" s="63"/>
      <x:c r="AP171" s="63"/>
      <x:c r="AQ171" s="63"/>
      <x:c r="AR171" s="63"/>
      <x:c r="AS171" s="137"/>
      <x:c r="AT171" s="137"/>
      <x:c r="AU171" s="63" t="str">
        <x:f>IF($B171="","",IF($AK171="",10+$W171,IFERROR(INDEX('Armor Database'!$D$2:$D$100,MATCH($AK171,'Armor Database'!$A$2:$A$100,0))+IF(INDEX('Armor Database'!$E$2:$E$100,MATCH($AK171,'Armor Database'!$A$2:$A$100,0))="Full",$W171,IF(INDEX('Armor Database'!$E$2:$E$100,MATCH($AK171,'Armor Database'!$A$2:$A$100,0))="Max 2",MIN($W171,2),0))+IF($AL171="Shield",2,0)+N($AS171),10+$W171+IF($AL171="Shield",2,0)+N($AS171))))</x:f>
      </x:c>
      <x:c r="AV171" s="63" t="str">
        <x:f>IF($AM171="","",IFERROR(INDEX('Weapons Database'!$C$2:$C$100,MATCH($AM171,'Weapons Database'!$A$2:$A$100,0))&amp;" "&amp;INDEX('Weapons Database'!$D$2:$D$100,MATCH($AM171,'Weapons Database'!$A$2:$A$100,0)),""))</x:f>
      </x:c>
      <x:c r="AW171" s="63" t="str">
        <x:f>IF($AO171="","",IFERROR(INDEX('Weapons Database'!$C$2:$C$100,MATCH($AO171,'Weapons Database'!$A$2:$A$100,0))&amp;" "&amp;INDEX('Weapons Database'!$D$2:$D$100,MATCH($AO171,'Weapons Database'!$A$2:$A$100,0)),""))</x:f>
      </x:c>
      <x:c r="AX171" s="63"/>
    </x:row>
    <x:row r="172">
      <x:c r="A172" s="63"/>
      <x:c r="B172" s="63"/>
      <x:c r="C172" s="63"/>
      <x:c r="D172" s="63"/>
      <x:c r="E172" s="63"/>
      <x:c r="F172" s="63"/>
      <x:c r="G172" s="63"/>
      <x:c r="H172" s="63"/>
      <x:c r="I172" s="63"/>
      <x:c r="J172" s="63" t="str">
        <x:f>IF($B172="","",IF($AT172&lt;&gt;"",$AT172,$AU172))</x:f>
      </x:c>
      <x:c r="K172" s="63"/>
      <x:c r="L172" s="63"/>
      <x:c r="M172" s="63"/>
      <x:c r="N172" s="63"/>
      <x:c r="O172" s="63"/>
      <x:c r="P172" s="63"/>
      <x:c r="Q172" s="63"/>
      <x:c r="R172" s="63"/>
      <x:c r="S172" s="63"/>
      <x:c r="T172" s="63"/>
      <x:c r="U172" s="63"/>
      <x:c r="V172" s="63"/>
      <x:c r="W172" s="63"/>
      <x:c r="X172" s="63"/>
      <x:c r="Y172" s="63"/>
      <x:c r="Z172" s="63"/>
      <x:c r="AA172" s="63"/>
      <x:c r="AB172" s="63"/>
      <x:c r="AC172" s="63"/>
      <x:c r="AD172" s="63"/>
      <x:c r="AE172" s="63"/>
      <x:c r="AF172" s="63"/>
      <x:c r="AG172" s="63"/>
      <x:c r="AH172" s="63"/>
      <x:c r="AI172" s="63"/>
      <x:c r="AJ172" s="63"/>
      <x:c r="AK172" s="63"/>
      <x:c r="AL172" s="63"/>
      <x:c r="AM172" s="63"/>
      <x:c r="AN172" s="63"/>
      <x:c r="AO172" s="63"/>
      <x:c r="AP172" s="63"/>
      <x:c r="AQ172" s="63"/>
      <x:c r="AR172" s="63"/>
      <x:c r="AS172" s="137"/>
      <x:c r="AT172" s="137"/>
      <x:c r="AU172" s="63" t="str">
        <x:f>IF($B172="","",IF($AK172="",10+$W172,IFERROR(INDEX('Armor Database'!$D$2:$D$100,MATCH($AK172,'Armor Database'!$A$2:$A$100,0))+IF(INDEX('Armor Database'!$E$2:$E$100,MATCH($AK172,'Armor Database'!$A$2:$A$100,0))="Full",$W172,IF(INDEX('Armor Database'!$E$2:$E$100,MATCH($AK172,'Armor Database'!$A$2:$A$100,0))="Max 2",MIN($W172,2),0))+IF($AL172="Shield",2,0)+N($AS172),10+$W172+IF($AL172="Shield",2,0)+N($AS172))))</x:f>
      </x:c>
      <x:c r="AV172" s="63" t="str">
        <x:f>IF($AM172="","",IFERROR(INDEX('Weapons Database'!$C$2:$C$100,MATCH($AM172,'Weapons Database'!$A$2:$A$100,0))&amp;" "&amp;INDEX('Weapons Database'!$D$2:$D$100,MATCH($AM172,'Weapons Database'!$A$2:$A$100,0)),""))</x:f>
      </x:c>
      <x:c r="AW172" s="63" t="str">
        <x:f>IF($AO172="","",IFERROR(INDEX('Weapons Database'!$C$2:$C$100,MATCH($AO172,'Weapons Database'!$A$2:$A$100,0))&amp;" "&amp;INDEX('Weapons Database'!$D$2:$D$100,MATCH($AO172,'Weapons Database'!$A$2:$A$100,0)),""))</x:f>
      </x:c>
      <x:c r="AX172" s="63"/>
    </x:row>
    <x:row r="173">
      <x:c r="A173" s="63"/>
      <x:c r="B173" s="63"/>
      <x:c r="C173" s="63"/>
      <x:c r="D173" s="63"/>
      <x:c r="E173" s="63"/>
      <x:c r="F173" s="63"/>
      <x:c r="G173" s="63"/>
      <x:c r="H173" s="63"/>
      <x:c r="I173" s="63"/>
      <x:c r="J173" s="63" t="str">
        <x:f>IF($B173="","",IF($AT173&lt;&gt;"",$AT173,$AU173))</x:f>
      </x:c>
      <x:c r="K173" s="63"/>
      <x:c r="L173" s="63"/>
      <x:c r="M173" s="63"/>
      <x:c r="N173" s="63"/>
      <x:c r="O173" s="63"/>
      <x:c r="P173" s="63"/>
      <x:c r="Q173" s="63"/>
      <x:c r="R173" s="63"/>
      <x:c r="S173" s="63"/>
      <x:c r="T173" s="63"/>
      <x:c r="U173" s="63"/>
      <x:c r="V173" s="63"/>
      <x:c r="W173" s="63"/>
      <x:c r="X173" s="63"/>
      <x:c r="Y173" s="63"/>
      <x:c r="Z173" s="63"/>
      <x:c r="AA173" s="63"/>
      <x:c r="AB173" s="63"/>
      <x:c r="AC173" s="63"/>
      <x:c r="AD173" s="63"/>
      <x:c r="AE173" s="63"/>
      <x:c r="AF173" s="63"/>
      <x:c r="AG173" s="63"/>
      <x:c r="AH173" s="63"/>
      <x:c r="AI173" s="63"/>
      <x:c r="AJ173" s="63"/>
      <x:c r="AK173" s="63"/>
      <x:c r="AL173" s="63"/>
      <x:c r="AM173" s="63"/>
      <x:c r="AN173" s="63"/>
      <x:c r="AO173" s="63"/>
      <x:c r="AP173" s="63"/>
      <x:c r="AQ173" s="63"/>
      <x:c r="AR173" s="63"/>
      <x:c r="AS173" s="137"/>
      <x:c r="AT173" s="137"/>
      <x:c r="AU173" s="63" t="str">
        <x:f>IF($B173="","",IF($AK173="",10+$W173,IFERROR(INDEX('Armor Database'!$D$2:$D$100,MATCH($AK173,'Armor Database'!$A$2:$A$100,0))+IF(INDEX('Armor Database'!$E$2:$E$100,MATCH($AK173,'Armor Database'!$A$2:$A$100,0))="Full",$W173,IF(INDEX('Armor Database'!$E$2:$E$100,MATCH($AK173,'Armor Database'!$A$2:$A$100,0))="Max 2",MIN($W173,2),0))+IF($AL173="Shield",2,0)+N($AS173),10+$W173+IF($AL173="Shield",2,0)+N($AS173))))</x:f>
      </x:c>
      <x:c r="AV173" s="63" t="str">
        <x:f>IF($AM173="","",IFERROR(INDEX('Weapons Database'!$C$2:$C$100,MATCH($AM173,'Weapons Database'!$A$2:$A$100,0))&amp;" "&amp;INDEX('Weapons Database'!$D$2:$D$100,MATCH($AM173,'Weapons Database'!$A$2:$A$100,0)),""))</x:f>
      </x:c>
      <x:c r="AW173" s="63" t="str">
        <x:f>IF($AO173="","",IFERROR(INDEX('Weapons Database'!$C$2:$C$100,MATCH($AO173,'Weapons Database'!$A$2:$A$100,0))&amp;" "&amp;INDEX('Weapons Database'!$D$2:$D$100,MATCH($AO173,'Weapons Database'!$A$2:$A$100,0)),""))</x:f>
      </x:c>
      <x:c r="AX173" s="63"/>
    </x:row>
    <x:row r="174">
      <x:c r="A174" s="63"/>
      <x:c r="B174" s="63"/>
      <x:c r="C174" s="63"/>
      <x:c r="D174" s="63"/>
      <x:c r="E174" s="63"/>
      <x:c r="F174" s="63"/>
      <x:c r="G174" s="63"/>
      <x:c r="H174" s="63"/>
      <x:c r="I174" s="63"/>
      <x:c r="J174" s="63" t="str">
        <x:f>IF($B174="","",IF($AT174&lt;&gt;"",$AT174,$AU174))</x:f>
      </x:c>
      <x:c r="K174" s="63"/>
      <x:c r="L174" s="63"/>
      <x:c r="M174" s="63"/>
      <x:c r="N174" s="63"/>
      <x:c r="O174" s="63"/>
      <x:c r="P174" s="63"/>
      <x:c r="Q174" s="63"/>
      <x:c r="R174" s="63"/>
      <x:c r="S174" s="63"/>
      <x:c r="T174" s="63"/>
      <x:c r="U174" s="63"/>
      <x:c r="V174" s="63"/>
      <x:c r="W174" s="63"/>
      <x:c r="X174" s="63"/>
      <x:c r="Y174" s="63"/>
      <x:c r="Z174" s="63"/>
      <x:c r="AA174" s="63"/>
      <x:c r="AB174" s="63"/>
      <x:c r="AC174" s="63"/>
      <x:c r="AD174" s="63"/>
      <x:c r="AE174" s="63"/>
      <x:c r="AF174" s="63"/>
      <x:c r="AG174" s="63"/>
      <x:c r="AH174" s="63"/>
      <x:c r="AI174" s="63"/>
      <x:c r="AJ174" s="63"/>
      <x:c r="AK174" s="63"/>
      <x:c r="AL174" s="63"/>
      <x:c r="AM174" s="63"/>
      <x:c r="AN174" s="63"/>
      <x:c r="AO174" s="63"/>
      <x:c r="AP174" s="63"/>
      <x:c r="AQ174" s="63"/>
      <x:c r="AR174" s="63"/>
      <x:c r="AS174" s="137"/>
      <x:c r="AT174" s="137"/>
      <x:c r="AU174" s="63" t="str">
        <x:f>IF($B174="","",IF($AK174="",10+$W174,IFERROR(INDEX('Armor Database'!$D$2:$D$100,MATCH($AK174,'Armor Database'!$A$2:$A$100,0))+IF(INDEX('Armor Database'!$E$2:$E$100,MATCH($AK174,'Armor Database'!$A$2:$A$100,0))="Full",$W174,IF(INDEX('Armor Database'!$E$2:$E$100,MATCH($AK174,'Armor Database'!$A$2:$A$100,0))="Max 2",MIN($W174,2),0))+IF($AL174="Shield",2,0)+N($AS174),10+$W174+IF($AL174="Shield",2,0)+N($AS174))))</x:f>
      </x:c>
      <x:c r="AV174" s="63" t="str">
        <x:f>IF($AM174="","",IFERROR(INDEX('Weapons Database'!$C$2:$C$100,MATCH($AM174,'Weapons Database'!$A$2:$A$100,0))&amp;" "&amp;INDEX('Weapons Database'!$D$2:$D$100,MATCH($AM174,'Weapons Database'!$A$2:$A$100,0)),""))</x:f>
      </x:c>
      <x:c r="AW174" s="63" t="str">
        <x:f>IF($AO174="","",IFERROR(INDEX('Weapons Database'!$C$2:$C$100,MATCH($AO174,'Weapons Database'!$A$2:$A$100,0))&amp;" "&amp;INDEX('Weapons Database'!$D$2:$D$100,MATCH($AO174,'Weapons Database'!$A$2:$A$100,0)),""))</x:f>
      </x:c>
      <x:c r="AX174" s="63"/>
    </x:row>
    <x:row r="175">
      <x:c r="A175" s="63"/>
      <x:c r="B175" s="63"/>
      <x:c r="C175" s="63"/>
      <x:c r="D175" s="63"/>
      <x:c r="E175" s="63"/>
      <x:c r="F175" s="63"/>
      <x:c r="G175" s="63"/>
      <x:c r="H175" s="63"/>
      <x:c r="I175" s="63"/>
      <x:c r="J175" s="63" t="str">
        <x:f>IF($B175="","",IF($AT175&lt;&gt;"",$AT175,$AU175))</x:f>
      </x:c>
      <x:c r="K175" s="63"/>
      <x:c r="L175" s="63"/>
      <x:c r="M175" s="63"/>
      <x:c r="N175" s="63"/>
      <x:c r="O175" s="63"/>
      <x:c r="P175" s="63"/>
      <x:c r="Q175" s="63"/>
      <x:c r="R175" s="63"/>
      <x:c r="S175" s="63"/>
      <x:c r="T175" s="63"/>
      <x:c r="U175" s="63"/>
      <x:c r="V175" s="63"/>
      <x:c r="W175" s="63"/>
      <x:c r="X175" s="63"/>
      <x:c r="Y175" s="63"/>
      <x:c r="Z175" s="63"/>
      <x:c r="AA175" s="63"/>
      <x:c r="AB175" s="63"/>
      <x:c r="AC175" s="63"/>
      <x:c r="AD175" s="63"/>
      <x:c r="AE175" s="63"/>
      <x:c r="AF175" s="63"/>
      <x:c r="AG175" s="63"/>
      <x:c r="AH175" s="63"/>
      <x:c r="AI175" s="63"/>
      <x:c r="AJ175" s="63"/>
      <x:c r="AK175" s="63"/>
      <x:c r="AL175" s="63"/>
      <x:c r="AM175" s="63"/>
      <x:c r="AN175" s="63"/>
      <x:c r="AO175" s="63"/>
      <x:c r="AP175" s="63"/>
      <x:c r="AQ175" s="63"/>
      <x:c r="AR175" s="63"/>
      <x:c r="AS175" s="137"/>
      <x:c r="AT175" s="137"/>
      <x:c r="AU175" s="63" t="str">
        <x:f>IF($B175="","",IF($AK175="",10+$W175,IFERROR(INDEX('Armor Database'!$D$2:$D$100,MATCH($AK175,'Armor Database'!$A$2:$A$100,0))+IF(INDEX('Armor Database'!$E$2:$E$100,MATCH($AK175,'Armor Database'!$A$2:$A$100,0))="Full",$W175,IF(INDEX('Armor Database'!$E$2:$E$100,MATCH($AK175,'Armor Database'!$A$2:$A$100,0))="Max 2",MIN($W175,2),0))+IF($AL175="Shield",2,0)+N($AS175),10+$W175+IF($AL175="Shield",2,0)+N($AS175))))</x:f>
      </x:c>
      <x:c r="AV175" s="63" t="str">
        <x:f>IF($AM175="","",IFERROR(INDEX('Weapons Database'!$C$2:$C$100,MATCH($AM175,'Weapons Database'!$A$2:$A$100,0))&amp;" "&amp;INDEX('Weapons Database'!$D$2:$D$100,MATCH($AM175,'Weapons Database'!$A$2:$A$100,0)),""))</x:f>
      </x:c>
      <x:c r="AW175" s="63" t="str">
        <x:f>IF($AO175="","",IFERROR(INDEX('Weapons Database'!$C$2:$C$100,MATCH($AO175,'Weapons Database'!$A$2:$A$100,0))&amp;" "&amp;INDEX('Weapons Database'!$D$2:$D$100,MATCH($AO175,'Weapons Database'!$A$2:$A$100,0)),""))</x:f>
      </x:c>
      <x:c r="AX175" s="63"/>
    </x:row>
    <x:row r="176">
      <x:c r="A176" s="63"/>
      <x:c r="B176" s="63"/>
      <x:c r="C176" s="63"/>
      <x:c r="D176" s="63"/>
      <x:c r="E176" s="63"/>
      <x:c r="F176" s="63"/>
      <x:c r="G176" s="63"/>
      <x:c r="H176" s="63"/>
      <x:c r="I176" s="63"/>
      <x:c r="J176" s="63" t="str">
        <x:f>IF($B176="","",IF($AT176&lt;&gt;"",$AT176,$AU176))</x:f>
      </x:c>
      <x:c r="K176" s="63"/>
      <x:c r="L176" s="63"/>
      <x:c r="M176" s="63"/>
      <x:c r="N176" s="63"/>
      <x:c r="O176" s="63"/>
      <x:c r="P176" s="63"/>
      <x:c r="Q176" s="63"/>
      <x:c r="R176" s="63"/>
      <x:c r="S176" s="63"/>
      <x:c r="T176" s="63"/>
      <x:c r="U176" s="63"/>
      <x:c r="V176" s="63"/>
      <x:c r="W176" s="63"/>
      <x:c r="X176" s="63"/>
      <x:c r="Y176" s="63"/>
      <x:c r="Z176" s="63"/>
      <x:c r="AA176" s="63"/>
      <x:c r="AB176" s="63"/>
      <x:c r="AC176" s="63"/>
      <x:c r="AD176" s="63"/>
      <x:c r="AE176" s="63"/>
      <x:c r="AF176" s="63"/>
      <x:c r="AG176" s="63"/>
      <x:c r="AH176" s="63"/>
      <x:c r="AI176" s="63"/>
      <x:c r="AJ176" s="63"/>
      <x:c r="AK176" s="63"/>
      <x:c r="AL176" s="63"/>
      <x:c r="AM176" s="63"/>
      <x:c r="AN176" s="63"/>
      <x:c r="AO176" s="63"/>
      <x:c r="AP176" s="63"/>
      <x:c r="AQ176" s="63"/>
      <x:c r="AR176" s="63"/>
      <x:c r="AS176" s="137"/>
      <x:c r="AT176" s="137"/>
      <x:c r="AU176" s="63" t="str">
        <x:f>IF($B176="","",IF($AK176="",10+$W176,IFERROR(INDEX('Armor Database'!$D$2:$D$100,MATCH($AK176,'Armor Database'!$A$2:$A$100,0))+IF(INDEX('Armor Database'!$E$2:$E$100,MATCH($AK176,'Armor Database'!$A$2:$A$100,0))="Full",$W176,IF(INDEX('Armor Database'!$E$2:$E$100,MATCH($AK176,'Armor Database'!$A$2:$A$100,0))="Max 2",MIN($W176,2),0))+IF($AL176="Shield",2,0)+N($AS176),10+$W176+IF($AL176="Shield",2,0)+N($AS176))))</x:f>
      </x:c>
      <x:c r="AV176" s="63" t="str">
        <x:f>IF($AM176="","",IFERROR(INDEX('Weapons Database'!$C$2:$C$100,MATCH($AM176,'Weapons Database'!$A$2:$A$100,0))&amp;" "&amp;INDEX('Weapons Database'!$D$2:$D$100,MATCH($AM176,'Weapons Database'!$A$2:$A$100,0)),""))</x:f>
      </x:c>
      <x:c r="AW176" s="63" t="str">
        <x:f>IF($AO176="","",IFERROR(INDEX('Weapons Database'!$C$2:$C$100,MATCH($AO176,'Weapons Database'!$A$2:$A$100,0))&amp;" "&amp;INDEX('Weapons Database'!$D$2:$D$100,MATCH($AO176,'Weapons Database'!$A$2:$A$100,0)),""))</x:f>
      </x:c>
      <x:c r="AX176" s="63"/>
    </x:row>
    <x:row r="177">
      <x:c r="A177" s="63"/>
      <x:c r="B177" s="63"/>
      <x:c r="C177" s="63"/>
      <x:c r="D177" s="63"/>
      <x:c r="E177" s="63"/>
      <x:c r="F177" s="63"/>
      <x:c r="G177" s="63"/>
      <x:c r="H177" s="63"/>
      <x:c r="I177" s="63"/>
      <x:c r="J177" s="63" t="str">
        <x:f>IF($B177="","",IF($AT177&lt;&gt;"",$AT177,$AU177))</x:f>
      </x:c>
      <x:c r="K177" s="63"/>
      <x:c r="L177" s="63"/>
      <x:c r="M177" s="63"/>
      <x:c r="N177" s="63"/>
      <x:c r="O177" s="63"/>
      <x:c r="P177" s="63"/>
      <x:c r="Q177" s="63"/>
      <x:c r="R177" s="63"/>
      <x:c r="S177" s="63"/>
      <x:c r="T177" s="63"/>
      <x:c r="U177" s="63"/>
      <x:c r="V177" s="63"/>
      <x:c r="W177" s="63"/>
      <x:c r="X177" s="63"/>
      <x:c r="Y177" s="63"/>
      <x:c r="Z177" s="63"/>
      <x:c r="AA177" s="63"/>
      <x:c r="AB177" s="63"/>
      <x:c r="AC177" s="63"/>
      <x:c r="AD177" s="63"/>
      <x:c r="AE177" s="63"/>
      <x:c r="AF177" s="63"/>
      <x:c r="AG177" s="63"/>
      <x:c r="AH177" s="63"/>
      <x:c r="AI177" s="63"/>
      <x:c r="AJ177" s="63"/>
      <x:c r="AK177" s="63"/>
      <x:c r="AL177" s="63"/>
      <x:c r="AM177" s="63"/>
      <x:c r="AN177" s="63"/>
      <x:c r="AO177" s="63"/>
      <x:c r="AP177" s="63"/>
      <x:c r="AQ177" s="63"/>
      <x:c r="AR177" s="63"/>
      <x:c r="AS177" s="137"/>
      <x:c r="AT177" s="137"/>
      <x:c r="AU177" s="63" t="str">
        <x:f>IF($B177="","",IF($AK177="",10+$W177,IFERROR(INDEX('Armor Database'!$D$2:$D$100,MATCH($AK177,'Armor Database'!$A$2:$A$100,0))+IF(INDEX('Armor Database'!$E$2:$E$100,MATCH($AK177,'Armor Database'!$A$2:$A$100,0))="Full",$W177,IF(INDEX('Armor Database'!$E$2:$E$100,MATCH($AK177,'Armor Database'!$A$2:$A$100,0))="Max 2",MIN($W177,2),0))+IF($AL177="Shield",2,0)+N($AS177),10+$W177+IF($AL177="Shield",2,0)+N($AS177))))</x:f>
      </x:c>
      <x:c r="AV177" s="63" t="str">
        <x:f>IF($AM177="","",IFERROR(INDEX('Weapons Database'!$C$2:$C$100,MATCH($AM177,'Weapons Database'!$A$2:$A$100,0))&amp;" "&amp;INDEX('Weapons Database'!$D$2:$D$100,MATCH($AM177,'Weapons Database'!$A$2:$A$100,0)),""))</x:f>
      </x:c>
      <x:c r="AW177" s="63" t="str">
        <x:f>IF($AO177="","",IFERROR(INDEX('Weapons Database'!$C$2:$C$100,MATCH($AO177,'Weapons Database'!$A$2:$A$100,0))&amp;" "&amp;INDEX('Weapons Database'!$D$2:$D$100,MATCH($AO177,'Weapons Database'!$A$2:$A$100,0)),""))</x:f>
      </x:c>
      <x:c r="AX177" s="63"/>
    </x:row>
    <x:row r="178">
      <x:c r="A178" s="63"/>
      <x:c r="B178" s="63"/>
      <x:c r="C178" s="63"/>
      <x:c r="D178" s="63"/>
      <x:c r="E178" s="63"/>
      <x:c r="F178" s="63"/>
      <x:c r="G178" s="63"/>
      <x:c r="H178" s="63"/>
      <x:c r="I178" s="63"/>
      <x:c r="J178" s="63" t="str">
        <x:f>IF($B178="","",IF($AT178&lt;&gt;"",$AT178,$AU178))</x:f>
      </x:c>
      <x:c r="K178" s="63"/>
      <x:c r="L178" s="63"/>
      <x:c r="M178" s="63"/>
      <x:c r="N178" s="63"/>
      <x:c r="O178" s="63"/>
      <x:c r="P178" s="63"/>
      <x:c r="Q178" s="63"/>
      <x:c r="R178" s="63"/>
      <x:c r="S178" s="63"/>
      <x:c r="T178" s="63"/>
      <x:c r="U178" s="63"/>
      <x:c r="V178" s="63"/>
      <x:c r="W178" s="63"/>
      <x:c r="X178" s="63"/>
      <x:c r="Y178" s="63"/>
      <x:c r="Z178" s="63"/>
      <x:c r="AA178" s="63"/>
      <x:c r="AB178" s="63"/>
      <x:c r="AC178" s="63"/>
      <x:c r="AD178" s="63"/>
      <x:c r="AE178" s="63"/>
      <x:c r="AF178" s="63"/>
      <x:c r="AG178" s="63"/>
      <x:c r="AH178" s="63"/>
      <x:c r="AI178" s="63"/>
      <x:c r="AJ178" s="63"/>
      <x:c r="AK178" s="63"/>
      <x:c r="AL178" s="63"/>
      <x:c r="AM178" s="63"/>
      <x:c r="AN178" s="63"/>
      <x:c r="AO178" s="63"/>
      <x:c r="AP178" s="63"/>
      <x:c r="AQ178" s="63"/>
      <x:c r="AR178" s="63"/>
      <x:c r="AS178" s="137"/>
      <x:c r="AT178" s="137"/>
      <x:c r="AU178" s="63" t="str">
        <x:f>IF($B178="","",IF($AK178="",10+$W178,IFERROR(INDEX('Armor Database'!$D$2:$D$100,MATCH($AK178,'Armor Database'!$A$2:$A$100,0))+IF(INDEX('Armor Database'!$E$2:$E$100,MATCH($AK178,'Armor Database'!$A$2:$A$100,0))="Full",$W178,IF(INDEX('Armor Database'!$E$2:$E$100,MATCH($AK178,'Armor Database'!$A$2:$A$100,0))="Max 2",MIN($W178,2),0))+IF($AL178="Shield",2,0)+N($AS178),10+$W178+IF($AL178="Shield",2,0)+N($AS178))))</x:f>
      </x:c>
      <x:c r="AV178" s="63" t="str">
        <x:f>IF($AM178="","",IFERROR(INDEX('Weapons Database'!$C$2:$C$100,MATCH($AM178,'Weapons Database'!$A$2:$A$100,0))&amp;" "&amp;INDEX('Weapons Database'!$D$2:$D$100,MATCH($AM178,'Weapons Database'!$A$2:$A$100,0)),""))</x:f>
      </x:c>
      <x:c r="AW178" s="63" t="str">
        <x:f>IF($AO178="","",IFERROR(INDEX('Weapons Database'!$C$2:$C$100,MATCH($AO178,'Weapons Database'!$A$2:$A$100,0))&amp;" "&amp;INDEX('Weapons Database'!$D$2:$D$100,MATCH($AO178,'Weapons Database'!$A$2:$A$100,0)),""))</x:f>
      </x:c>
      <x:c r="AX178" s="63"/>
    </x:row>
    <x:row r="179">
      <x:c r="A179" s="63"/>
      <x:c r="B179" s="63"/>
      <x:c r="C179" s="63"/>
      <x:c r="D179" s="63"/>
      <x:c r="E179" s="63"/>
      <x:c r="F179" s="63"/>
      <x:c r="G179" s="63"/>
      <x:c r="H179" s="63"/>
      <x:c r="I179" s="63"/>
      <x:c r="J179" s="63" t="str">
        <x:f>IF($B179="","",IF($AT179&lt;&gt;"",$AT179,$AU179))</x:f>
      </x:c>
      <x:c r="K179" s="63"/>
      <x:c r="L179" s="63"/>
      <x:c r="M179" s="63"/>
      <x:c r="N179" s="63"/>
      <x:c r="O179" s="63"/>
      <x:c r="P179" s="63"/>
      <x:c r="Q179" s="63"/>
      <x:c r="R179" s="63"/>
      <x:c r="S179" s="63"/>
      <x:c r="T179" s="63"/>
      <x:c r="U179" s="63"/>
      <x:c r="V179" s="63"/>
      <x:c r="W179" s="63"/>
      <x:c r="X179" s="63"/>
      <x:c r="Y179" s="63"/>
      <x:c r="Z179" s="63"/>
      <x:c r="AA179" s="63"/>
      <x:c r="AB179" s="63"/>
      <x:c r="AC179" s="63"/>
      <x:c r="AD179" s="63"/>
      <x:c r="AE179" s="63"/>
      <x:c r="AF179" s="63"/>
      <x:c r="AG179" s="63"/>
      <x:c r="AH179" s="63"/>
      <x:c r="AI179" s="63"/>
      <x:c r="AJ179" s="63"/>
      <x:c r="AK179" s="63"/>
      <x:c r="AL179" s="63"/>
      <x:c r="AM179" s="63"/>
      <x:c r="AN179" s="63"/>
      <x:c r="AO179" s="63"/>
      <x:c r="AP179" s="63"/>
      <x:c r="AQ179" s="63"/>
      <x:c r="AR179" s="63"/>
      <x:c r="AS179" s="137"/>
      <x:c r="AT179" s="137"/>
      <x:c r="AU179" s="63" t="str">
        <x:f>IF($B179="","",IF($AK179="",10+$W179,IFERROR(INDEX('Armor Database'!$D$2:$D$100,MATCH($AK179,'Armor Database'!$A$2:$A$100,0))+IF(INDEX('Armor Database'!$E$2:$E$100,MATCH($AK179,'Armor Database'!$A$2:$A$100,0))="Full",$W179,IF(INDEX('Armor Database'!$E$2:$E$100,MATCH($AK179,'Armor Database'!$A$2:$A$100,0))="Max 2",MIN($W179,2),0))+IF($AL179="Shield",2,0)+N($AS179),10+$W179+IF($AL179="Shield",2,0)+N($AS179))))</x:f>
      </x:c>
      <x:c r="AV179" s="63" t="str">
        <x:f>IF($AM179="","",IFERROR(INDEX('Weapons Database'!$C$2:$C$100,MATCH($AM179,'Weapons Database'!$A$2:$A$100,0))&amp;" "&amp;INDEX('Weapons Database'!$D$2:$D$100,MATCH($AM179,'Weapons Database'!$A$2:$A$100,0)),""))</x:f>
      </x:c>
      <x:c r="AW179" s="63" t="str">
        <x:f>IF($AO179="","",IFERROR(INDEX('Weapons Database'!$C$2:$C$100,MATCH($AO179,'Weapons Database'!$A$2:$A$100,0))&amp;" "&amp;INDEX('Weapons Database'!$D$2:$D$100,MATCH($AO179,'Weapons Database'!$A$2:$A$100,0)),""))</x:f>
      </x:c>
      <x:c r="AX179" s="63"/>
    </x:row>
    <x:row r="180">
      <x:c r="A180" s="63"/>
      <x:c r="B180" s="63"/>
      <x:c r="C180" s="63"/>
      <x:c r="D180" s="63"/>
      <x:c r="E180" s="63"/>
      <x:c r="F180" s="63"/>
      <x:c r="G180" s="63"/>
      <x:c r="H180" s="63"/>
      <x:c r="I180" s="63"/>
      <x:c r="J180" s="63" t="str">
        <x:f>IF($B180="","",IF($AT180&lt;&gt;"",$AT180,$AU180))</x:f>
      </x:c>
      <x:c r="K180" s="63"/>
      <x:c r="L180" s="63"/>
      <x:c r="M180" s="63"/>
      <x:c r="N180" s="63"/>
      <x:c r="O180" s="63"/>
      <x:c r="P180" s="63"/>
      <x:c r="Q180" s="63"/>
      <x:c r="R180" s="63"/>
      <x:c r="S180" s="63"/>
      <x:c r="T180" s="63"/>
      <x:c r="U180" s="63"/>
      <x:c r="V180" s="63"/>
      <x:c r="W180" s="63"/>
      <x:c r="X180" s="63"/>
      <x:c r="Y180" s="63"/>
      <x:c r="Z180" s="63"/>
      <x:c r="AA180" s="63"/>
      <x:c r="AB180" s="63"/>
      <x:c r="AC180" s="63"/>
      <x:c r="AD180" s="63"/>
      <x:c r="AE180" s="63"/>
      <x:c r="AF180" s="63"/>
      <x:c r="AG180" s="63"/>
      <x:c r="AH180" s="63"/>
      <x:c r="AI180" s="63"/>
      <x:c r="AJ180" s="63"/>
      <x:c r="AK180" s="63"/>
      <x:c r="AL180" s="63"/>
      <x:c r="AM180" s="63"/>
      <x:c r="AN180" s="63"/>
      <x:c r="AO180" s="63"/>
      <x:c r="AP180" s="63"/>
      <x:c r="AQ180" s="63"/>
      <x:c r="AR180" s="63"/>
      <x:c r="AS180" s="137"/>
      <x:c r="AT180" s="137"/>
      <x:c r="AU180" s="63" t="str">
        <x:f>IF($B180="","",IF($AK180="",10+$W180,IFERROR(INDEX('Armor Database'!$D$2:$D$100,MATCH($AK180,'Armor Database'!$A$2:$A$100,0))+IF(INDEX('Armor Database'!$E$2:$E$100,MATCH($AK180,'Armor Database'!$A$2:$A$100,0))="Full",$W180,IF(INDEX('Armor Database'!$E$2:$E$100,MATCH($AK180,'Armor Database'!$A$2:$A$100,0))="Max 2",MIN($W180,2),0))+IF($AL180="Shield",2,0)+N($AS180),10+$W180+IF($AL180="Shield",2,0)+N($AS180))))</x:f>
      </x:c>
      <x:c r="AV180" s="63" t="str">
        <x:f>IF($AM180="","",IFERROR(INDEX('Weapons Database'!$C$2:$C$100,MATCH($AM180,'Weapons Database'!$A$2:$A$100,0))&amp;" "&amp;INDEX('Weapons Database'!$D$2:$D$100,MATCH($AM180,'Weapons Database'!$A$2:$A$100,0)),""))</x:f>
      </x:c>
      <x:c r="AW180" s="63" t="str">
        <x:f>IF($AO180="","",IFERROR(INDEX('Weapons Database'!$C$2:$C$100,MATCH($AO180,'Weapons Database'!$A$2:$A$100,0))&amp;" "&amp;INDEX('Weapons Database'!$D$2:$D$100,MATCH($AO180,'Weapons Database'!$A$2:$A$100,0)),""))</x:f>
      </x:c>
      <x:c r="AX180" s="63"/>
    </x:row>
    <x:row r="181">
      <x:c r="A181" s="63"/>
      <x:c r="B181" s="63"/>
      <x:c r="C181" s="63"/>
      <x:c r="D181" s="63"/>
      <x:c r="E181" s="63"/>
      <x:c r="F181" s="63"/>
      <x:c r="G181" s="63"/>
      <x:c r="H181" s="63"/>
      <x:c r="I181" s="63"/>
      <x:c r="J181" s="63" t="str">
        <x:f>IF($B181="","",IF($AT181&lt;&gt;"",$AT181,$AU181))</x:f>
      </x:c>
      <x:c r="K181" s="63"/>
      <x:c r="L181" s="63"/>
      <x:c r="M181" s="63"/>
      <x:c r="N181" s="63"/>
      <x:c r="O181" s="63"/>
      <x:c r="P181" s="63"/>
      <x:c r="Q181" s="63"/>
      <x:c r="R181" s="63"/>
      <x:c r="S181" s="63"/>
      <x:c r="T181" s="63"/>
      <x:c r="U181" s="63"/>
      <x:c r="V181" s="63"/>
      <x:c r="W181" s="63"/>
      <x:c r="X181" s="63"/>
      <x:c r="Y181" s="63"/>
      <x:c r="Z181" s="63"/>
      <x:c r="AA181" s="63"/>
      <x:c r="AB181" s="63"/>
      <x:c r="AC181" s="63"/>
      <x:c r="AD181" s="63"/>
      <x:c r="AE181" s="63"/>
      <x:c r="AF181" s="63"/>
      <x:c r="AG181" s="63"/>
      <x:c r="AH181" s="63"/>
      <x:c r="AI181" s="63"/>
      <x:c r="AJ181" s="63"/>
      <x:c r="AK181" s="63"/>
      <x:c r="AL181" s="63"/>
      <x:c r="AM181" s="63"/>
      <x:c r="AN181" s="63"/>
      <x:c r="AO181" s="63"/>
      <x:c r="AP181" s="63"/>
      <x:c r="AQ181" s="63"/>
      <x:c r="AR181" s="63"/>
      <x:c r="AS181" s="137"/>
      <x:c r="AT181" s="137"/>
      <x:c r="AU181" s="63" t="str">
        <x:f>IF($B181="","",IF($AK181="",10+$W181,IFERROR(INDEX('Armor Database'!$D$2:$D$100,MATCH($AK181,'Armor Database'!$A$2:$A$100,0))+IF(INDEX('Armor Database'!$E$2:$E$100,MATCH($AK181,'Armor Database'!$A$2:$A$100,0))="Full",$W181,IF(INDEX('Armor Database'!$E$2:$E$100,MATCH($AK181,'Armor Database'!$A$2:$A$100,0))="Max 2",MIN($W181,2),0))+IF($AL181="Shield",2,0)+N($AS181),10+$W181+IF($AL181="Shield",2,0)+N($AS181))))</x:f>
      </x:c>
      <x:c r="AV181" s="63" t="str">
        <x:f>IF($AM181="","",IFERROR(INDEX('Weapons Database'!$C$2:$C$100,MATCH($AM181,'Weapons Database'!$A$2:$A$100,0))&amp;" "&amp;INDEX('Weapons Database'!$D$2:$D$100,MATCH($AM181,'Weapons Database'!$A$2:$A$100,0)),""))</x:f>
      </x:c>
      <x:c r="AW181" s="63" t="str">
        <x:f>IF($AO181="","",IFERROR(INDEX('Weapons Database'!$C$2:$C$100,MATCH($AO181,'Weapons Database'!$A$2:$A$100,0))&amp;" "&amp;INDEX('Weapons Database'!$D$2:$D$100,MATCH($AO181,'Weapons Database'!$A$2:$A$100,0)),""))</x:f>
      </x:c>
      <x:c r="AX181" s="63"/>
    </x:row>
    <x:row r="182">
      <x:c r="A182" s="63"/>
      <x:c r="B182" s="63"/>
      <x:c r="C182" s="63"/>
      <x:c r="D182" s="63"/>
      <x:c r="E182" s="63"/>
      <x:c r="F182" s="63"/>
      <x:c r="G182" s="63"/>
      <x:c r="H182" s="63"/>
      <x:c r="I182" s="63"/>
      <x:c r="J182" s="63" t="str">
        <x:f>IF($B182="","",IF($AT182&lt;&gt;"",$AT182,$AU182))</x:f>
      </x:c>
      <x:c r="K182" s="63"/>
      <x:c r="L182" s="63"/>
      <x:c r="M182" s="63"/>
      <x:c r="N182" s="63"/>
      <x:c r="O182" s="63"/>
      <x:c r="P182" s="63"/>
      <x:c r="Q182" s="63"/>
      <x:c r="R182" s="63"/>
      <x:c r="S182" s="63"/>
      <x:c r="T182" s="63"/>
      <x:c r="U182" s="63"/>
      <x:c r="V182" s="63"/>
      <x:c r="W182" s="63"/>
      <x:c r="X182" s="63"/>
      <x:c r="Y182" s="63"/>
      <x:c r="Z182" s="63"/>
      <x:c r="AA182" s="63"/>
      <x:c r="AB182" s="63"/>
      <x:c r="AC182" s="63"/>
      <x:c r="AD182" s="63"/>
      <x:c r="AE182" s="63"/>
      <x:c r="AF182" s="63"/>
      <x:c r="AG182" s="63"/>
      <x:c r="AH182" s="63"/>
      <x:c r="AI182" s="63"/>
      <x:c r="AJ182" s="63"/>
      <x:c r="AK182" s="63"/>
      <x:c r="AL182" s="63"/>
      <x:c r="AM182" s="63"/>
      <x:c r="AN182" s="63"/>
      <x:c r="AO182" s="63"/>
      <x:c r="AP182" s="63"/>
      <x:c r="AQ182" s="63"/>
      <x:c r="AR182" s="63"/>
      <x:c r="AS182" s="137"/>
      <x:c r="AT182" s="137"/>
      <x:c r="AU182" s="63" t="str">
        <x:f>IF($B182="","",IF($AK182="",10+$W182,IFERROR(INDEX('Armor Database'!$D$2:$D$100,MATCH($AK182,'Armor Database'!$A$2:$A$100,0))+IF(INDEX('Armor Database'!$E$2:$E$100,MATCH($AK182,'Armor Database'!$A$2:$A$100,0))="Full",$W182,IF(INDEX('Armor Database'!$E$2:$E$100,MATCH($AK182,'Armor Database'!$A$2:$A$100,0))="Max 2",MIN($W182,2),0))+IF($AL182="Shield",2,0)+N($AS182),10+$W182+IF($AL182="Shield",2,0)+N($AS182))))</x:f>
      </x:c>
      <x:c r="AV182" s="63" t="str">
        <x:f>IF($AM182="","",IFERROR(INDEX('Weapons Database'!$C$2:$C$100,MATCH($AM182,'Weapons Database'!$A$2:$A$100,0))&amp;" "&amp;INDEX('Weapons Database'!$D$2:$D$100,MATCH($AM182,'Weapons Database'!$A$2:$A$100,0)),""))</x:f>
      </x:c>
      <x:c r="AW182" s="63" t="str">
        <x:f>IF($AO182="","",IFERROR(INDEX('Weapons Database'!$C$2:$C$100,MATCH($AO182,'Weapons Database'!$A$2:$A$100,0))&amp;" "&amp;INDEX('Weapons Database'!$D$2:$D$100,MATCH($AO182,'Weapons Database'!$A$2:$A$100,0)),""))</x:f>
      </x:c>
      <x:c r="AX182" s="63"/>
    </x:row>
    <x:row r="183">
      <x:c r="A183" s="63"/>
      <x:c r="B183" s="63"/>
      <x:c r="C183" s="63"/>
      <x:c r="D183" s="63"/>
      <x:c r="E183" s="63"/>
      <x:c r="F183" s="63"/>
      <x:c r="G183" s="63"/>
      <x:c r="H183" s="63"/>
      <x:c r="I183" s="63"/>
      <x:c r="J183" s="63" t="str">
        <x:f>IF($B183="","",IF($AT183&lt;&gt;"",$AT183,$AU183))</x:f>
      </x:c>
      <x:c r="K183" s="63"/>
      <x:c r="L183" s="63"/>
      <x:c r="M183" s="63"/>
      <x:c r="N183" s="63"/>
      <x:c r="O183" s="63"/>
      <x:c r="P183" s="63"/>
      <x:c r="Q183" s="63"/>
      <x:c r="R183" s="63"/>
      <x:c r="S183" s="63"/>
      <x:c r="T183" s="63"/>
      <x:c r="U183" s="63"/>
      <x:c r="V183" s="63"/>
      <x:c r="W183" s="63"/>
      <x:c r="X183" s="63"/>
      <x:c r="Y183" s="63"/>
      <x:c r="Z183" s="63"/>
      <x:c r="AA183" s="63"/>
      <x:c r="AB183" s="63"/>
      <x:c r="AC183" s="63"/>
      <x:c r="AD183" s="63"/>
      <x:c r="AE183" s="63"/>
      <x:c r="AF183" s="63"/>
      <x:c r="AG183" s="63"/>
      <x:c r="AH183" s="63"/>
      <x:c r="AI183" s="63"/>
      <x:c r="AJ183" s="63"/>
      <x:c r="AK183" s="63"/>
      <x:c r="AL183" s="63"/>
      <x:c r="AM183" s="63"/>
      <x:c r="AN183" s="63"/>
      <x:c r="AO183" s="63"/>
      <x:c r="AP183" s="63"/>
      <x:c r="AQ183" s="63"/>
      <x:c r="AR183" s="63"/>
      <x:c r="AS183" s="137"/>
      <x:c r="AT183" s="137"/>
      <x:c r="AU183" s="63" t="str">
        <x:f>IF($B183="","",IF($AK183="",10+$W183,IFERROR(INDEX('Armor Database'!$D$2:$D$100,MATCH($AK183,'Armor Database'!$A$2:$A$100,0))+IF(INDEX('Armor Database'!$E$2:$E$100,MATCH($AK183,'Armor Database'!$A$2:$A$100,0))="Full",$W183,IF(INDEX('Armor Database'!$E$2:$E$100,MATCH($AK183,'Armor Database'!$A$2:$A$100,0))="Max 2",MIN($W183,2),0))+IF($AL183="Shield",2,0)+N($AS183),10+$W183+IF($AL183="Shield",2,0)+N($AS183))))</x:f>
      </x:c>
      <x:c r="AV183" s="63" t="str">
        <x:f>IF($AM183="","",IFERROR(INDEX('Weapons Database'!$C$2:$C$100,MATCH($AM183,'Weapons Database'!$A$2:$A$100,0))&amp;" "&amp;INDEX('Weapons Database'!$D$2:$D$100,MATCH($AM183,'Weapons Database'!$A$2:$A$100,0)),""))</x:f>
      </x:c>
      <x:c r="AW183" s="63" t="str">
        <x:f>IF($AO183="","",IFERROR(INDEX('Weapons Database'!$C$2:$C$100,MATCH($AO183,'Weapons Database'!$A$2:$A$100,0))&amp;" "&amp;INDEX('Weapons Database'!$D$2:$D$100,MATCH($AO183,'Weapons Database'!$A$2:$A$100,0)),""))</x:f>
      </x:c>
      <x:c r="AX183" s="63"/>
    </x:row>
    <x:row r="184">
      <x:c r="A184" s="63"/>
      <x:c r="B184" s="63"/>
      <x:c r="C184" s="63"/>
      <x:c r="D184" s="63"/>
      <x:c r="E184" s="63"/>
      <x:c r="F184" s="63"/>
      <x:c r="G184" s="63"/>
      <x:c r="H184" s="63"/>
      <x:c r="I184" s="63"/>
      <x:c r="J184" s="63" t="str">
        <x:f>IF($B184="","",IF($AT184&lt;&gt;"",$AT184,$AU184))</x:f>
      </x:c>
      <x:c r="K184" s="63"/>
      <x:c r="L184" s="63"/>
      <x:c r="M184" s="63"/>
      <x:c r="N184" s="63"/>
      <x:c r="O184" s="63"/>
      <x:c r="P184" s="63"/>
      <x:c r="Q184" s="63"/>
      <x:c r="R184" s="63"/>
      <x:c r="S184" s="63"/>
      <x:c r="T184" s="63"/>
      <x:c r="U184" s="63"/>
      <x:c r="V184" s="63"/>
      <x:c r="W184" s="63"/>
      <x:c r="X184" s="63"/>
      <x:c r="Y184" s="63"/>
      <x:c r="Z184" s="63"/>
      <x:c r="AA184" s="63"/>
      <x:c r="AB184" s="63"/>
      <x:c r="AC184" s="63"/>
      <x:c r="AD184" s="63"/>
      <x:c r="AE184" s="63"/>
      <x:c r="AF184" s="63"/>
      <x:c r="AG184" s="63"/>
      <x:c r="AH184" s="63"/>
      <x:c r="AI184" s="63"/>
      <x:c r="AJ184" s="63"/>
      <x:c r="AK184" s="63"/>
      <x:c r="AL184" s="63"/>
      <x:c r="AM184" s="63"/>
      <x:c r="AN184" s="63"/>
      <x:c r="AO184" s="63"/>
      <x:c r="AP184" s="63"/>
      <x:c r="AQ184" s="63"/>
      <x:c r="AR184" s="63"/>
      <x:c r="AS184" s="137"/>
      <x:c r="AT184" s="137"/>
      <x:c r="AU184" s="63" t="str">
        <x:f>IF($B184="","",IF($AK184="",10+$W184,IFERROR(INDEX('Armor Database'!$D$2:$D$100,MATCH($AK184,'Armor Database'!$A$2:$A$100,0))+IF(INDEX('Armor Database'!$E$2:$E$100,MATCH($AK184,'Armor Database'!$A$2:$A$100,0))="Full",$W184,IF(INDEX('Armor Database'!$E$2:$E$100,MATCH($AK184,'Armor Database'!$A$2:$A$100,0))="Max 2",MIN($W184,2),0))+IF($AL184="Shield",2,0)+N($AS184),10+$W184+IF($AL184="Shield",2,0)+N($AS184))))</x:f>
      </x:c>
      <x:c r="AV184" s="63" t="str">
        <x:f>IF($AM184="","",IFERROR(INDEX('Weapons Database'!$C$2:$C$100,MATCH($AM184,'Weapons Database'!$A$2:$A$100,0))&amp;" "&amp;INDEX('Weapons Database'!$D$2:$D$100,MATCH($AM184,'Weapons Database'!$A$2:$A$100,0)),""))</x:f>
      </x:c>
      <x:c r="AW184" s="63" t="str">
        <x:f>IF($AO184="","",IFERROR(INDEX('Weapons Database'!$C$2:$C$100,MATCH($AO184,'Weapons Database'!$A$2:$A$100,0))&amp;" "&amp;INDEX('Weapons Database'!$D$2:$D$100,MATCH($AO184,'Weapons Database'!$A$2:$A$100,0)),""))</x:f>
      </x:c>
      <x:c r="AX184" s="63"/>
    </x:row>
    <x:row r="185">
      <x:c r="A185" s="63"/>
      <x:c r="B185" s="63"/>
      <x:c r="C185" s="63"/>
      <x:c r="D185" s="63"/>
      <x:c r="E185" s="63"/>
      <x:c r="F185" s="63"/>
      <x:c r="G185" s="63"/>
      <x:c r="H185" s="63"/>
      <x:c r="I185" s="63"/>
      <x:c r="J185" s="63" t="str">
        <x:f>IF($B185="","",IF($AT185&lt;&gt;"",$AT185,$AU185))</x:f>
      </x:c>
      <x:c r="K185" s="63"/>
      <x:c r="L185" s="63"/>
      <x:c r="M185" s="63"/>
      <x:c r="N185" s="63"/>
      <x:c r="O185" s="63"/>
      <x:c r="P185" s="63"/>
      <x:c r="Q185" s="63"/>
      <x:c r="R185" s="63"/>
      <x:c r="S185" s="63"/>
      <x:c r="T185" s="63"/>
      <x:c r="U185" s="63"/>
      <x:c r="V185" s="63"/>
      <x:c r="W185" s="63"/>
      <x:c r="X185" s="63"/>
      <x:c r="Y185" s="63"/>
      <x:c r="Z185" s="63"/>
      <x:c r="AA185" s="63"/>
      <x:c r="AB185" s="63"/>
      <x:c r="AC185" s="63"/>
      <x:c r="AD185" s="63"/>
      <x:c r="AE185" s="63"/>
      <x:c r="AF185" s="63"/>
      <x:c r="AG185" s="63"/>
      <x:c r="AH185" s="63"/>
      <x:c r="AI185" s="63"/>
      <x:c r="AJ185" s="63"/>
      <x:c r="AK185" s="63"/>
      <x:c r="AL185" s="63"/>
      <x:c r="AM185" s="63"/>
      <x:c r="AN185" s="63"/>
      <x:c r="AO185" s="63"/>
      <x:c r="AP185" s="63"/>
      <x:c r="AQ185" s="63"/>
      <x:c r="AR185" s="63"/>
      <x:c r="AS185" s="137"/>
      <x:c r="AT185" s="137"/>
      <x:c r="AU185" s="63" t="str">
        <x:f>IF($B185="","",IF($AK185="",10+$W185,IFERROR(INDEX('Armor Database'!$D$2:$D$100,MATCH($AK185,'Armor Database'!$A$2:$A$100,0))+IF(INDEX('Armor Database'!$E$2:$E$100,MATCH($AK185,'Armor Database'!$A$2:$A$100,0))="Full",$W185,IF(INDEX('Armor Database'!$E$2:$E$100,MATCH($AK185,'Armor Database'!$A$2:$A$100,0))="Max 2",MIN($W185,2),0))+IF($AL185="Shield",2,0)+N($AS185),10+$W185+IF($AL185="Shield",2,0)+N($AS185))))</x:f>
      </x:c>
      <x:c r="AV185" s="63" t="str">
        <x:f>IF($AM185="","",IFERROR(INDEX('Weapons Database'!$C$2:$C$100,MATCH($AM185,'Weapons Database'!$A$2:$A$100,0))&amp;" "&amp;INDEX('Weapons Database'!$D$2:$D$100,MATCH($AM185,'Weapons Database'!$A$2:$A$100,0)),""))</x:f>
      </x:c>
      <x:c r="AW185" s="63" t="str">
        <x:f>IF($AO185="","",IFERROR(INDEX('Weapons Database'!$C$2:$C$100,MATCH($AO185,'Weapons Database'!$A$2:$A$100,0))&amp;" "&amp;INDEX('Weapons Database'!$D$2:$D$100,MATCH($AO185,'Weapons Database'!$A$2:$A$100,0)),""))</x:f>
      </x:c>
      <x:c r="AX185" s="63"/>
    </x:row>
    <x:row r="186">
      <x:c r="A186" s="63"/>
      <x:c r="B186" s="63"/>
      <x:c r="C186" s="63"/>
      <x:c r="D186" s="63"/>
      <x:c r="E186" s="63"/>
      <x:c r="F186" s="63"/>
      <x:c r="G186" s="63"/>
      <x:c r="H186" s="63"/>
      <x:c r="I186" s="63"/>
      <x:c r="J186" s="63" t="str">
        <x:f>IF($B186="","",IF($AT186&lt;&gt;"",$AT186,$AU186))</x:f>
      </x:c>
      <x:c r="K186" s="63"/>
      <x:c r="L186" s="63"/>
      <x:c r="M186" s="63"/>
      <x:c r="N186" s="63"/>
      <x:c r="O186" s="63"/>
      <x:c r="P186" s="63"/>
      <x:c r="Q186" s="63"/>
      <x:c r="R186" s="63"/>
      <x:c r="S186" s="63"/>
      <x:c r="T186" s="63"/>
      <x:c r="U186" s="63"/>
      <x:c r="V186" s="63"/>
      <x:c r="W186" s="63"/>
      <x:c r="X186" s="63"/>
      <x:c r="Y186" s="63"/>
      <x:c r="Z186" s="63"/>
      <x:c r="AA186" s="63"/>
      <x:c r="AB186" s="63"/>
      <x:c r="AC186" s="63"/>
      <x:c r="AD186" s="63"/>
      <x:c r="AE186" s="63"/>
      <x:c r="AF186" s="63"/>
      <x:c r="AG186" s="63"/>
      <x:c r="AH186" s="63"/>
      <x:c r="AI186" s="63"/>
      <x:c r="AJ186" s="63"/>
      <x:c r="AK186" s="63"/>
      <x:c r="AL186" s="63"/>
      <x:c r="AM186" s="63"/>
      <x:c r="AN186" s="63"/>
      <x:c r="AO186" s="63"/>
      <x:c r="AP186" s="63"/>
      <x:c r="AQ186" s="63"/>
      <x:c r="AR186" s="63"/>
      <x:c r="AS186" s="137"/>
      <x:c r="AT186" s="137"/>
      <x:c r="AU186" s="63" t="str">
        <x:f>IF($B186="","",IF($AK186="",10+$W186,IFERROR(INDEX('Armor Database'!$D$2:$D$100,MATCH($AK186,'Armor Database'!$A$2:$A$100,0))+IF(INDEX('Armor Database'!$E$2:$E$100,MATCH($AK186,'Armor Database'!$A$2:$A$100,0))="Full",$W186,IF(INDEX('Armor Database'!$E$2:$E$100,MATCH($AK186,'Armor Database'!$A$2:$A$100,0))="Max 2",MIN($W186,2),0))+IF($AL186="Shield",2,0)+N($AS186),10+$W186+IF($AL186="Shield",2,0)+N($AS186))))</x:f>
      </x:c>
      <x:c r="AV186" s="63" t="str">
        <x:f>IF($AM186="","",IFERROR(INDEX('Weapons Database'!$C$2:$C$100,MATCH($AM186,'Weapons Database'!$A$2:$A$100,0))&amp;" "&amp;INDEX('Weapons Database'!$D$2:$D$100,MATCH($AM186,'Weapons Database'!$A$2:$A$100,0)),""))</x:f>
      </x:c>
      <x:c r="AW186" s="63" t="str">
        <x:f>IF($AO186="","",IFERROR(INDEX('Weapons Database'!$C$2:$C$100,MATCH($AO186,'Weapons Database'!$A$2:$A$100,0))&amp;" "&amp;INDEX('Weapons Database'!$D$2:$D$100,MATCH($AO186,'Weapons Database'!$A$2:$A$100,0)),""))</x:f>
      </x:c>
      <x:c r="AX186" s="63"/>
    </x:row>
    <x:row r="187">
      <x:c r="A187" s="63"/>
      <x:c r="B187" s="63"/>
      <x:c r="C187" s="63"/>
      <x:c r="D187" s="63"/>
      <x:c r="E187" s="63"/>
      <x:c r="F187" s="63"/>
      <x:c r="G187" s="63"/>
      <x:c r="H187" s="63"/>
      <x:c r="I187" s="63"/>
      <x:c r="J187" s="63" t="str">
        <x:f>IF($B187="","",IF($AT187&lt;&gt;"",$AT187,$AU187))</x:f>
      </x:c>
      <x:c r="K187" s="63"/>
      <x:c r="L187" s="63"/>
      <x:c r="M187" s="63"/>
      <x:c r="N187" s="63"/>
      <x:c r="O187" s="63"/>
      <x:c r="P187" s="63"/>
      <x:c r="Q187" s="63"/>
      <x:c r="R187" s="63"/>
      <x:c r="S187" s="63"/>
      <x:c r="T187" s="63"/>
      <x:c r="U187" s="63"/>
      <x:c r="V187" s="63"/>
      <x:c r="W187" s="63"/>
      <x:c r="X187" s="63"/>
      <x:c r="Y187" s="63"/>
      <x:c r="Z187" s="63"/>
      <x:c r="AA187" s="63"/>
      <x:c r="AB187" s="63"/>
      <x:c r="AC187" s="63"/>
      <x:c r="AD187" s="63"/>
      <x:c r="AE187" s="63"/>
      <x:c r="AF187" s="63"/>
      <x:c r="AG187" s="63"/>
      <x:c r="AH187" s="63"/>
      <x:c r="AI187" s="63"/>
      <x:c r="AJ187" s="63"/>
      <x:c r="AK187" s="63"/>
      <x:c r="AL187" s="63"/>
      <x:c r="AM187" s="63"/>
      <x:c r="AN187" s="63"/>
      <x:c r="AO187" s="63"/>
      <x:c r="AP187" s="63"/>
      <x:c r="AQ187" s="63"/>
      <x:c r="AR187" s="63"/>
      <x:c r="AS187" s="137"/>
      <x:c r="AT187" s="137"/>
      <x:c r="AU187" s="63" t="str">
        <x:f>IF($B187="","",IF($AK187="",10+$W187,IFERROR(INDEX('Armor Database'!$D$2:$D$100,MATCH($AK187,'Armor Database'!$A$2:$A$100,0))+IF(INDEX('Armor Database'!$E$2:$E$100,MATCH($AK187,'Armor Database'!$A$2:$A$100,0))="Full",$W187,IF(INDEX('Armor Database'!$E$2:$E$100,MATCH($AK187,'Armor Database'!$A$2:$A$100,0))="Max 2",MIN($W187,2),0))+IF($AL187="Shield",2,0)+N($AS187),10+$W187+IF($AL187="Shield",2,0)+N($AS187))))</x:f>
      </x:c>
      <x:c r="AV187" s="63" t="str">
        <x:f>IF($AM187="","",IFERROR(INDEX('Weapons Database'!$C$2:$C$100,MATCH($AM187,'Weapons Database'!$A$2:$A$100,0))&amp;" "&amp;INDEX('Weapons Database'!$D$2:$D$100,MATCH($AM187,'Weapons Database'!$A$2:$A$100,0)),""))</x:f>
      </x:c>
      <x:c r="AW187" s="63" t="str">
        <x:f>IF($AO187="","",IFERROR(INDEX('Weapons Database'!$C$2:$C$100,MATCH($AO187,'Weapons Database'!$A$2:$A$100,0))&amp;" "&amp;INDEX('Weapons Database'!$D$2:$D$100,MATCH($AO187,'Weapons Database'!$A$2:$A$100,0)),""))</x:f>
      </x:c>
      <x:c r="AX187" s="63"/>
    </x:row>
    <x:row r="188">
      <x:c r="A188" s="63"/>
      <x:c r="B188" s="63"/>
      <x:c r="C188" s="63"/>
      <x:c r="D188" s="63"/>
      <x:c r="E188" s="63"/>
      <x:c r="F188" s="63"/>
      <x:c r="G188" s="63"/>
      <x:c r="H188" s="63"/>
      <x:c r="I188" s="63"/>
      <x:c r="J188" s="63" t="str">
        <x:f>IF($B188="","",IF($AT188&lt;&gt;"",$AT188,$AU188))</x:f>
      </x:c>
      <x:c r="K188" s="63"/>
      <x:c r="L188" s="63"/>
      <x:c r="M188" s="63"/>
      <x:c r="N188" s="63"/>
      <x:c r="O188" s="63"/>
      <x:c r="P188" s="63"/>
      <x:c r="Q188" s="63"/>
      <x:c r="R188" s="63"/>
      <x:c r="S188" s="63"/>
      <x:c r="T188" s="63"/>
      <x:c r="U188" s="63"/>
      <x:c r="V188" s="63"/>
      <x:c r="W188" s="63"/>
      <x:c r="X188" s="63"/>
      <x:c r="Y188" s="63"/>
      <x:c r="Z188" s="63"/>
      <x:c r="AA188" s="63"/>
      <x:c r="AB188" s="63"/>
      <x:c r="AC188" s="63"/>
      <x:c r="AD188" s="63"/>
      <x:c r="AE188" s="63"/>
      <x:c r="AF188" s="63"/>
      <x:c r="AG188" s="63"/>
      <x:c r="AH188" s="63"/>
      <x:c r="AI188" s="63"/>
      <x:c r="AJ188" s="63"/>
      <x:c r="AK188" s="63"/>
      <x:c r="AL188" s="63"/>
      <x:c r="AM188" s="63"/>
      <x:c r="AN188" s="63"/>
      <x:c r="AO188" s="63"/>
      <x:c r="AP188" s="63"/>
      <x:c r="AQ188" s="63"/>
      <x:c r="AR188" s="63"/>
      <x:c r="AS188" s="137"/>
      <x:c r="AT188" s="137"/>
      <x:c r="AU188" s="63" t="str">
        <x:f>IF($B188="","",IF($AK188="",10+$W188,IFERROR(INDEX('Armor Database'!$D$2:$D$100,MATCH($AK188,'Armor Database'!$A$2:$A$100,0))+IF(INDEX('Armor Database'!$E$2:$E$100,MATCH($AK188,'Armor Database'!$A$2:$A$100,0))="Full",$W188,IF(INDEX('Armor Database'!$E$2:$E$100,MATCH($AK188,'Armor Database'!$A$2:$A$100,0))="Max 2",MIN($W188,2),0))+IF($AL188="Shield",2,0)+N($AS188),10+$W188+IF($AL188="Shield",2,0)+N($AS188))))</x:f>
      </x:c>
      <x:c r="AV188" s="63" t="str">
        <x:f>IF($AM188="","",IFERROR(INDEX('Weapons Database'!$C$2:$C$100,MATCH($AM188,'Weapons Database'!$A$2:$A$100,0))&amp;" "&amp;INDEX('Weapons Database'!$D$2:$D$100,MATCH($AM188,'Weapons Database'!$A$2:$A$100,0)),""))</x:f>
      </x:c>
      <x:c r="AW188" s="63" t="str">
        <x:f>IF($AO188="","",IFERROR(INDEX('Weapons Database'!$C$2:$C$100,MATCH($AO188,'Weapons Database'!$A$2:$A$100,0))&amp;" "&amp;INDEX('Weapons Database'!$D$2:$D$100,MATCH($AO188,'Weapons Database'!$A$2:$A$100,0)),""))</x:f>
      </x:c>
      <x:c r="AX188" s="63"/>
    </x:row>
    <x:row r="189">
      <x:c r="A189" s="63"/>
      <x:c r="B189" s="63"/>
      <x:c r="C189" s="63"/>
      <x:c r="D189" s="63"/>
      <x:c r="E189" s="63"/>
      <x:c r="F189" s="63"/>
      <x:c r="G189" s="63"/>
      <x:c r="H189" s="63"/>
      <x:c r="I189" s="63"/>
      <x:c r="J189" s="63" t="str">
        <x:f>IF($B189="","",IF($AT189&lt;&gt;"",$AT189,$AU189))</x:f>
      </x:c>
      <x:c r="K189" s="63"/>
      <x:c r="L189" s="63"/>
      <x:c r="M189" s="63"/>
      <x:c r="N189" s="63"/>
      <x:c r="O189" s="63"/>
      <x:c r="P189" s="63"/>
      <x:c r="Q189" s="63"/>
      <x:c r="R189" s="63"/>
      <x:c r="S189" s="63"/>
      <x:c r="T189" s="63"/>
      <x:c r="U189" s="63"/>
      <x:c r="V189" s="63"/>
      <x:c r="W189" s="63"/>
      <x:c r="X189" s="63"/>
      <x:c r="Y189" s="63"/>
      <x:c r="Z189" s="63"/>
      <x:c r="AA189" s="63"/>
      <x:c r="AB189" s="63"/>
      <x:c r="AC189" s="63"/>
      <x:c r="AD189" s="63"/>
      <x:c r="AE189" s="63"/>
      <x:c r="AF189" s="63"/>
      <x:c r="AG189" s="63"/>
      <x:c r="AH189" s="63"/>
      <x:c r="AI189" s="63"/>
      <x:c r="AJ189" s="63"/>
      <x:c r="AK189" s="63"/>
      <x:c r="AL189" s="63"/>
      <x:c r="AM189" s="63"/>
      <x:c r="AN189" s="63"/>
      <x:c r="AO189" s="63"/>
      <x:c r="AP189" s="63"/>
      <x:c r="AQ189" s="63"/>
      <x:c r="AR189" s="63"/>
      <x:c r="AS189" s="137"/>
      <x:c r="AT189" s="137"/>
      <x:c r="AU189" s="63" t="str">
        <x:f>IF($B189="","",IF($AK189="",10+$W189,IFERROR(INDEX('Armor Database'!$D$2:$D$100,MATCH($AK189,'Armor Database'!$A$2:$A$100,0))+IF(INDEX('Armor Database'!$E$2:$E$100,MATCH($AK189,'Armor Database'!$A$2:$A$100,0))="Full",$W189,IF(INDEX('Armor Database'!$E$2:$E$100,MATCH($AK189,'Armor Database'!$A$2:$A$100,0))="Max 2",MIN($W189,2),0))+IF($AL189="Shield",2,0)+N($AS189),10+$W189+IF($AL189="Shield",2,0)+N($AS189))))</x:f>
      </x:c>
      <x:c r="AV189" s="63" t="str">
        <x:f>IF($AM189="","",IFERROR(INDEX('Weapons Database'!$C$2:$C$100,MATCH($AM189,'Weapons Database'!$A$2:$A$100,0))&amp;" "&amp;INDEX('Weapons Database'!$D$2:$D$100,MATCH($AM189,'Weapons Database'!$A$2:$A$100,0)),""))</x:f>
      </x:c>
      <x:c r="AW189" s="63" t="str">
        <x:f>IF($AO189="","",IFERROR(INDEX('Weapons Database'!$C$2:$C$100,MATCH($AO189,'Weapons Database'!$A$2:$A$100,0))&amp;" "&amp;INDEX('Weapons Database'!$D$2:$D$100,MATCH($AO189,'Weapons Database'!$A$2:$A$100,0)),""))</x:f>
      </x:c>
      <x:c r="AX189" s="63"/>
    </x:row>
    <x:row r="190">
      <x:c r="A190" s="63"/>
      <x:c r="B190" s="63"/>
      <x:c r="C190" s="63"/>
      <x:c r="D190" s="63"/>
      <x:c r="E190" s="63"/>
      <x:c r="F190" s="63"/>
      <x:c r="G190" s="63"/>
      <x:c r="H190" s="63"/>
      <x:c r="I190" s="63"/>
      <x:c r="J190" s="63" t="str">
        <x:f>IF($B190="","",IF($AT190&lt;&gt;"",$AT190,$AU190))</x:f>
      </x:c>
      <x:c r="K190" s="63"/>
      <x:c r="L190" s="63"/>
      <x:c r="M190" s="63"/>
      <x:c r="N190" s="63"/>
      <x:c r="O190" s="63"/>
      <x:c r="P190" s="63"/>
      <x:c r="Q190" s="63"/>
      <x:c r="R190" s="63"/>
      <x:c r="S190" s="63"/>
      <x:c r="T190" s="63"/>
      <x:c r="U190" s="63"/>
      <x:c r="V190" s="63"/>
      <x:c r="W190" s="63"/>
      <x:c r="X190" s="63"/>
      <x:c r="Y190" s="63"/>
      <x:c r="Z190" s="63"/>
      <x:c r="AA190" s="63"/>
      <x:c r="AB190" s="63"/>
      <x:c r="AC190" s="63"/>
      <x:c r="AD190" s="63"/>
      <x:c r="AE190" s="63"/>
      <x:c r="AF190" s="63"/>
      <x:c r="AG190" s="63"/>
      <x:c r="AH190" s="63"/>
      <x:c r="AI190" s="63"/>
      <x:c r="AJ190" s="63"/>
      <x:c r="AK190" s="63"/>
      <x:c r="AL190" s="63"/>
      <x:c r="AM190" s="63"/>
      <x:c r="AN190" s="63"/>
      <x:c r="AO190" s="63"/>
      <x:c r="AP190" s="63"/>
      <x:c r="AQ190" s="63"/>
      <x:c r="AR190" s="63"/>
      <x:c r="AS190" s="137"/>
      <x:c r="AT190" s="137"/>
      <x:c r="AU190" s="63" t="str">
        <x:f>IF($B190="","",IF($AK190="",10+$W190,IFERROR(INDEX('Armor Database'!$D$2:$D$100,MATCH($AK190,'Armor Database'!$A$2:$A$100,0))+IF(INDEX('Armor Database'!$E$2:$E$100,MATCH($AK190,'Armor Database'!$A$2:$A$100,0))="Full",$W190,IF(INDEX('Armor Database'!$E$2:$E$100,MATCH($AK190,'Armor Database'!$A$2:$A$100,0))="Max 2",MIN($W190,2),0))+IF($AL190="Shield",2,0)+N($AS190),10+$W190+IF($AL190="Shield",2,0)+N($AS190))))</x:f>
      </x:c>
      <x:c r="AV190" s="63" t="str">
        <x:f>IF($AM190="","",IFERROR(INDEX('Weapons Database'!$C$2:$C$100,MATCH($AM190,'Weapons Database'!$A$2:$A$100,0))&amp;" "&amp;INDEX('Weapons Database'!$D$2:$D$100,MATCH($AM190,'Weapons Database'!$A$2:$A$100,0)),""))</x:f>
      </x:c>
      <x:c r="AW190" s="63" t="str">
        <x:f>IF($AO190="","",IFERROR(INDEX('Weapons Database'!$C$2:$C$100,MATCH($AO190,'Weapons Database'!$A$2:$A$100,0))&amp;" "&amp;INDEX('Weapons Database'!$D$2:$D$100,MATCH($AO190,'Weapons Database'!$A$2:$A$100,0)),""))</x:f>
      </x:c>
      <x:c r="AX190" s="63"/>
    </x:row>
    <x:row r="191">
      <x:c r="A191" s="63"/>
      <x:c r="B191" s="63"/>
      <x:c r="C191" s="63"/>
      <x:c r="D191" s="63"/>
      <x:c r="E191" s="63"/>
      <x:c r="F191" s="63"/>
      <x:c r="G191" s="63"/>
      <x:c r="H191" s="63"/>
      <x:c r="I191" s="63"/>
      <x:c r="J191" s="63" t="str">
        <x:f>IF($B191="","",IF($AT191&lt;&gt;"",$AT191,$AU191))</x:f>
      </x:c>
      <x:c r="K191" s="63"/>
      <x:c r="L191" s="63"/>
      <x:c r="M191" s="63"/>
      <x:c r="N191" s="63"/>
      <x:c r="O191" s="63"/>
      <x:c r="P191" s="63"/>
      <x:c r="Q191" s="63"/>
      <x:c r="R191" s="63"/>
      <x:c r="S191" s="63"/>
      <x:c r="T191" s="63"/>
      <x:c r="U191" s="63"/>
      <x:c r="V191" s="63"/>
      <x:c r="W191" s="63"/>
      <x:c r="X191" s="63"/>
      <x:c r="Y191" s="63"/>
      <x:c r="Z191" s="63"/>
      <x:c r="AA191" s="63"/>
      <x:c r="AB191" s="63"/>
      <x:c r="AC191" s="63"/>
      <x:c r="AD191" s="63"/>
      <x:c r="AE191" s="63"/>
      <x:c r="AF191" s="63"/>
      <x:c r="AG191" s="63"/>
      <x:c r="AH191" s="63"/>
      <x:c r="AI191" s="63"/>
      <x:c r="AJ191" s="63"/>
      <x:c r="AK191" s="63"/>
      <x:c r="AL191" s="63"/>
      <x:c r="AM191" s="63"/>
      <x:c r="AN191" s="63"/>
      <x:c r="AO191" s="63"/>
      <x:c r="AP191" s="63"/>
      <x:c r="AQ191" s="63"/>
      <x:c r="AR191" s="63"/>
      <x:c r="AS191" s="137"/>
      <x:c r="AT191" s="137"/>
      <x:c r="AU191" s="63" t="str">
        <x:f>IF($B191="","",IF($AK191="",10+$W191,IFERROR(INDEX('Armor Database'!$D$2:$D$100,MATCH($AK191,'Armor Database'!$A$2:$A$100,0))+IF(INDEX('Armor Database'!$E$2:$E$100,MATCH($AK191,'Armor Database'!$A$2:$A$100,0))="Full",$W191,IF(INDEX('Armor Database'!$E$2:$E$100,MATCH($AK191,'Armor Database'!$A$2:$A$100,0))="Max 2",MIN($W191,2),0))+IF($AL191="Shield",2,0)+N($AS191),10+$W191+IF($AL191="Shield",2,0)+N($AS191))))</x:f>
      </x:c>
      <x:c r="AV191" s="63" t="str">
        <x:f>IF($AM191="","",IFERROR(INDEX('Weapons Database'!$C$2:$C$100,MATCH($AM191,'Weapons Database'!$A$2:$A$100,0))&amp;" "&amp;INDEX('Weapons Database'!$D$2:$D$100,MATCH($AM191,'Weapons Database'!$A$2:$A$100,0)),""))</x:f>
      </x:c>
      <x:c r="AW191" s="63" t="str">
        <x:f>IF($AO191="","",IFERROR(INDEX('Weapons Database'!$C$2:$C$100,MATCH($AO191,'Weapons Database'!$A$2:$A$100,0))&amp;" "&amp;INDEX('Weapons Database'!$D$2:$D$100,MATCH($AO191,'Weapons Database'!$A$2:$A$100,0)),""))</x:f>
      </x:c>
      <x:c r="AX191" s="63"/>
    </x:row>
    <x:row r="192">
      <x:c r="A192" s="63"/>
      <x:c r="B192" s="63"/>
      <x:c r="C192" s="63"/>
      <x:c r="D192" s="63"/>
      <x:c r="E192" s="63"/>
      <x:c r="F192" s="63"/>
      <x:c r="G192" s="63"/>
      <x:c r="H192" s="63"/>
      <x:c r="I192" s="63"/>
      <x:c r="J192" s="63" t="str">
        <x:f>IF($B192="","",IF($AT192&lt;&gt;"",$AT192,$AU192))</x:f>
      </x:c>
      <x:c r="K192" s="63"/>
      <x:c r="L192" s="63"/>
      <x:c r="M192" s="63"/>
      <x:c r="N192" s="63"/>
      <x:c r="O192" s="63"/>
      <x:c r="P192" s="63"/>
      <x:c r="Q192" s="63"/>
      <x:c r="R192" s="63"/>
      <x:c r="S192" s="63"/>
      <x:c r="T192" s="63"/>
      <x:c r="U192" s="63"/>
      <x:c r="V192" s="63"/>
      <x:c r="W192" s="63"/>
      <x:c r="X192" s="63"/>
      <x:c r="Y192" s="63"/>
      <x:c r="Z192" s="63"/>
      <x:c r="AA192" s="63"/>
      <x:c r="AB192" s="63"/>
      <x:c r="AC192" s="63"/>
      <x:c r="AD192" s="63"/>
      <x:c r="AE192" s="63"/>
      <x:c r="AF192" s="63"/>
      <x:c r="AG192" s="63"/>
      <x:c r="AH192" s="63"/>
      <x:c r="AI192" s="63"/>
      <x:c r="AJ192" s="63"/>
      <x:c r="AK192" s="63"/>
      <x:c r="AL192" s="63"/>
      <x:c r="AM192" s="63"/>
      <x:c r="AN192" s="63"/>
      <x:c r="AO192" s="63"/>
      <x:c r="AP192" s="63"/>
      <x:c r="AQ192" s="63"/>
      <x:c r="AR192" s="63"/>
      <x:c r="AS192" s="137"/>
      <x:c r="AT192" s="137"/>
      <x:c r="AU192" s="63" t="str">
        <x:f>IF($B192="","",IF($AK192="",10+$W192,IFERROR(INDEX('Armor Database'!$D$2:$D$100,MATCH($AK192,'Armor Database'!$A$2:$A$100,0))+IF(INDEX('Armor Database'!$E$2:$E$100,MATCH($AK192,'Armor Database'!$A$2:$A$100,0))="Full",$W192,IF(INDEX('Armor Database'!$E$2:$E$100,MATCH($AK192,'Armor Database'!$A$2:$A$100,0))="Max 2",MIN($W192,2),0))+IF($AL192="Shield",2,0)+N($AS192),10+$W192+IF($AL192="Shield",2,0)+N($AS192))))</x:f>
      </x:c>
      <x:c r="AV192" s="63" t="str">
        <x:f>IF($AM192="","",IFERROR(INDEX('Weapons Database'!$C$2:$C$100,MATCH($AM192,'Weapons Database'!$A$2:$A$100,0))&amp;" "&amp;INDEX('Weapons Database'!$D$2:$D$100,MATCH($AM192,'Weapons Database'!$A$2:$A$100,0)),""))</x:f>
      </x:c>
      <x:c r="AW192" s="63" t="str">
        <x:f>IF($AO192="","",IFERROR(INDEX('Weapons Database'!$C$2:$C$100,MATCH($AO192,'Weapons Database'!$A$2:$A$100,0))&amp;" "&amp;INDEX('Weapons Database'!$D$2:$D$100,MATCH($AO192,'Weapons Database'!$A$2:$A$100,0)),""))</x:f>
      </x:c>
      <x:c r="AX192" s="63"/>
    </x:row>
    <x:row r="193">
      <x:c r="A193" s="63"/>
      <x:c r="B193" s="63"/>
      <x:c r="C193" s="63"/>
      <x:c r="D193" s="63"/>
      <x:c r="E193" s="63"/>
      <x:c r="F193" s="63"/>
      <x:c r="G193" s="63"/>
      <x:c r="H193" s="63"/>
      <x:c r="I193" s="63"/>
      <x:c r="J193" s="63" t="str">
        <x:f>IF($B193="","",IF($AT193&lt;&gt;"",$AT193,$AU193))</x:f>
      </x:c>
      <x:c r="K193" s="63"/>
      <x:c r="L193" s="63"/>
      <x:c r="M193" s="63"/>
      <x:c r="N193" s="63"/>
      <x:c r="O193" s="63"/>
      <x:c r="P193" s="63"/>
      <x:c r="Q193" s="63"/>
      <x:c r="R193" s="63"/>
      <x:c r="S193" s="63"/>
      <x:c r="T193" s="63"/>
      <x:c r="U193" s="63"/>
      <x:c r="V193" s="63"/>
      <x:c r="W193" s="63"/>
      <x:c r="X193" s="63"/>
      <x:c r="Y193" s="63"/>
      <x:c r="Z193" s="63"/>
      <x:c r="AA193" s="63"/>
      <x:c r="AB193" s="63"/>
      <x:c r="AC193" s="63"/>
      <x:c r="AD193" s="63"/>
      <x:c r="AE193" s="63"/>
      <x:c r="AF193" s="63"/>
      <x:c r="AG193" s="63"/>
      <x:c r="AH193" s="63"/>
      <x:c r="AI193" s="63"/>
      <x:c r="AJ193" s="63"/>
      <x:c r="AK193" s="63"/>
      <x:c r="AL193" s="63"/>
      <x:c r="AM193" s="63"/>
      <x:c r="AN193" s="63"/>
      <x:c r="AO193" s="63"/>
      <x:c r="AP193" s="63"/>
      <x:c r="AQ193" s="63"/>
      <x:c r="AR193" s="63"/>
      <x:c r="AS193" s="137"/>
      <x:c r="AT193" s="137"/>
      <x:c r="AU193" s="63" t="str">
        <x:f>IF($B193="","",IF($AK193="",10+$W193,IFERROR(INDEX('Armor Database'!$D$2:$D$100,MATCH($AK193,'Armor Database'!$A$2:$A$100,0))+IF(INDEX('Armor Database'!$E$2:$E$100,MATCH($AK193,'Armor Database'!$A$2:$A$100,0))="Full",$W193,IF(INDEX('Armor Database'!$E$2:$E$100,MATCH($AK193,'Armor Database'!$A$2:$A$100,0))="Max 2",MIN($W193,2),0))+IF($AL193="Shield",2,0)+N($AS193),10+$W193+IF($AL193="Shield",2,0)+N($AS193))))</x:f>
      </x:c>
      <x:c r="AV193" s="63" t="str">
        <x:f>IF($AM193="","",IFERROR(INDEX('Weapons Database'!$C$2:$C$100,MATCH($AM193,'Weapons Database'!$A$2:$A$100,0))&amp;" "&amp;INDEX('Weapons Database'!$D$2:$D$100,MATCH($AM193,'Weapons Database'!$A$2:$A$100,0)),""))</x:f>
      </x:c>
      <x:c r="AW193" s="63" t="str">
        <x:f>IF($AO193="","",IFERROR(INDEX('Weapons Database'!$C$2:$C$100,MATCH($AO193,'Weapons Database'!$A$2:$A$100,0))&amp;" "&amp;INDEX('Weapons Database'!$D$2:$D$100,MATCH($AO193,'Weapons Database'!$A$2:$A$100,0)),""))</x:f>
      </x:c>
      <x:c r="AX193" s="63"/>
    </x:row>
    <x:row r="194">
      <x:c r="A194" s="63"/>
      <x:c r="B194" s="63"/>
      <x:c r="C194" s="63"/>
      <x:c r="D194" s="63"/>
      <x:c r="E194" s="63"/>
      <x:c r="F194" s="63"/>
      <x:c r="G194" s="63"/>
      <x:c r="H194" s="63"/>
      <x:c r="I194" s="63"/>
      <x:c r="J194" s="63" t="str">
        <x:f>IF($B194="","",IF($AT194&lt;&gt;"",$AT194,$AU194))</x:f>
      </x:c>
      <x:c r="K194" s="63"/>
      <x:c r="L194" s="63"/>
      <x:c r="M194" s="63"/>
      <x:c r="N194" s="63"/>
      <x:c r="O194" s="63"/>
      <x:c r="P194" s="63"/>
      <x:c r="Q194" s="63"/>
      <x:c r="R194" s="63"/>
      <x:c r="S194" s="63"/>
      <x:c r="T194" s="63"/>
      <x:c r="U194" s="63"/>
      <x:c r="V194" s="63"/>
      <x:c r="W194" s="63"/>
      <x:c r="X194" s="63"/>
      <x:c r="Y194" s="63"/>
      <x:c r="Z194" s="63"/>
      <x:c r="AA194" s="63"/>
      <x:c r="AB194" s="63"/>
      <x:c r="AC194" s="63"/>
      <x:c r="AD194" s="63"/>
      <x:c r="AE194" s="63"/>
      <x:c r="AF194" s="63"/>
      <x:c r="AG194" s="63"/>
      <x:c r="AH194" s="63"/>
      <x:c r="AI194" s="63"/>
      <x:c r="AJ194" s="63"/>
      <x:c r="AK194" s="63"/>
      <x:c r="AL194" s="63"/>
      <x:c r="AM194" s="63"/>
      <x:c r="AN194" s="63"/>
      <x:c r="AO194" s="63"/>
      <x:c r="AP194" s="63"/>
      <x:c r="AQ194" s="63"/>
      <x:c r="AR194" s="63"/>
      <x:c r="AS194" s="137"/>
      <x:c r="AT194" s="137"/>
      <x:c r="AU194" s="63" t="str">
        <x:f>IF($B194="","",IF($AK194="",10+$W194,IFERROR(INDEX('Armor Database'!$D$2:$D$100,MATCH($AK194,'Armor Database'!$A$2:$A$100,0))+IF(INDEX('Armor Database'!$E$2:$E$100,MATCH($AK194,'Armor Database'!$A$2:$A$100,0))="Full",$W194,IF(INDEX('Armor Database'!$E$2:$E$100,MATCH($AK194,'Armor Database'!$A$2:$A$100,0))="Max 2",MIN($W194,2),0))+IF($AL194="Shield",2,0)+N($AS194),10+$W194+IF($AL194="Shield",2,0)+N($AS194))))</x:f>
      </x:c>
      <x:c r="AV194" s="63" t="str">
        <x:f>IF($AM194="","",IFERROR(INDEX('Weapons Database'!$C$2:$C$100,MATCH($AM194,'Weapons Database'!$A$2:$A$100,0))&amp;" "&amp;INDEX('Weapons Database'!$D$2:$D$100,MATCH($AM194,'Weapons Database'!$A$2:$A$100,0)),""))</x:f>
      </x:c>
      <x:c r="AW194" s="63" t="str">
        <x:f>IF($AO194="","",IFERROR(INDEX('Weapons Database'!$C$2:$C$100,MATCH($AO194,'Weapons Database'!$A$2:$A$100,0))&amp;" "&amp;INDEX('Weapons Database'!$D$2:$D$100,MATCH($AO194,'Weapons Database'!$A$2:$A$100,0)),""))</x:f>
      </x:c>
      <x:c r="AX194" s="63"/>
    </x:row>
    <x:row r="195">
      <x:c r="A195" s="63"/>
      <x:c r="B195" s="63"/>
      <x:c r="C195" s="63"/>
      <x:c r="D195" s="63"/>
      <x:c r="E195" s="63"/>
      <x:c r="F195" s="63"/>
      <x:c r="G195" s="63"/>
      <x:c r="H195" s="63"/>
      <x:c r="I195" s="63"/>
      <x:c r="J195" s="63" t="str">
        <x:f>IF($B195="","",IF($AT195&lt;&gt;"",$AT195,$AU195))</x:f>
      </x:c>
      <x:c r="K195" s="63"/>
      <x:c r="L195" s="63"/>
      <x:c r="M195" s="63"/>
      <x:c r="N195" s="63"/>
      <x:c r="O195" s="63"/>
      <x:c r="P195" s="63"/>
      <x:c r="Q195" s="63"/>
      <x:c r="R195" s="63"/>
      <x:c r="S195" s="63"/>
      <x:c r="T195" s="63"/>
      <x:c r="U195" s="63"/>
      <x:c r="V195" s="63"/>
      <x:c r="W195" s="63"/>
      <x:c r="X195" s="63"/>
      <x:c r="Y195" s="63"/>
      <x:c r="Z195" s="63"/>
      <x:c r="AA195" s="63"/>
      <x:c r="AB195" s="63"/>
      <x:c r="AC195" s="63"/>
      <x:c r="AD195" s="63"/>
      <x:c r="AE195" s="63"/>
      <x:c r="AF195" s="63"/>
      <x:c r="AG195" s="63"/>
      <x:c r="AH195" s="63"/>
      <x:c r="AI195" s="63"/>
      <x:c r="AJ195" s="63"/>
      <x:c r="AK195" s="63"/>
      <x:c r="AL195" s="63"/>
      <x:c r="AM195" s="63"/>
      <x:c r="AN195" s="63"/>
      <x:c r="AO195" s="63"/>
      <x:c r="AP195" s="63"/>
      <x:c r="AQ195" s="63"/>
      <x:c r="AR195" s="63"/>
      <x:c r="AS195" s="137"/>
      <x:c r="AT195" s="137"/>
      <x:c r="AU195" s="63" t="str">
        <x:f>IF($B195="","",IF($AK195="",10+$W195,IFERROR(INDEX('Armor Database'!$D$2:$D$100,MATCH($AK195,'Armor Database'!$A$2:$A$100,0))+IF(INDEX('Armor Database'!$E$2:$E$100,MATCH($AK195,'Armor Database'!$A$2:$A$100,0))="Full",$W195,IF(INDEX('Armor Database'!$E$2:$E$100,MATCH($AK195,'Armor Database'!$A$2:$A$100,0))="Max 2",MIN($W195,2),0))+IF($AL195="Shield",2,0)+N($AS195),10+$W195+IF($AL195="Shield",2,0)+N($AS195))))</x:f>
      </x:c>
      <x:c r="AV195" s="63" t="str">
        <x:f>IF($AM195="","",IFERROR(INDEX('Weapons Database'!$C$2:$C$100,MATCH($AM195,'Weapons Database'!$A$2:$A$100,0))&amp;" "&amp;INDEX('Weapons Database'!$D$2:$D$100,MATCH($AM195,'Weapons Database'!$A$2:$A$100,0)),""))</x:f>
      </x:c>
      <x:c r="AW195" s="63" t="str">
        <x:f>IF($AO195="","",IFERROR(INDEX('Weapons Database'!$C$2:$C$100,MATCH($AO195,'Weapons Database'!$A$2:$A$100,0))&amp;" "&amp;INDEX('Weapons Database'!$D$2:$D$100,MATCH($AO195,'Weapons Database'!$A$2:$A$100,0)),""))</x:f>
      </x:c>
      <x:c r="AX195" s="63"/>
    </x:row>
    <x:row r="196">
      <x:c r="A196" s="63"/>
      <x:c r="B196" s="63"/>
      <x:c r="C196" s="63"/>
      <x:c r="D196" s="63"/>
      <x:c r="E196" s="63"/>
      <x:c r="F196" s="63"/>
      <x:c r="G196" s="63"/>
      <x:c r="H196" s="63"/>
      <x:c r="I196" s="63"/>
      <x:c r="J196" s="63" t="str">
        <x:f>IF($B196="","",IF($AT196&lt;&gt;"",$AT196,$AU196))</x:f>
      </x:c>
      <x:c r="K196" s="63"/>
      <x:c r="L196" s="63"/>
      <x:c r="M196" s="63"/>
      <x:c r="N196" s="63"/>
      <x:c r="O196" s="63"/>
      <x:c r="P196" s="63"/>
      <x:c r="Q196" s="63"/>
      <x:c r="R196" s="63"/>
      <x:c r="S196" s="63"/>
      <x:c r="T196" s="63"/>
      <x:c r="U196" s="63"/>
      <x:c r="V196" s="63"/>
      <x:c r="W196" s="63"/>
      <x:c r="X196" s="63"/>
      <x:c r="Y196" s="63"/>
      <x:c r="Z196" s="63"/>
      <x:c r="AA196" s="63"/>
      <x:c r="AB196" s="63"/>
      <x:c r="AC196" s="63"/>
      <x:c r="AD196" s="63"/>
      <x:c r="AE196" s="63"/>
      <x:c r="AF196" s="63"/>
      <x:c r="AG196" s="63"/>
      <x:c r="AH196" s="63"/>
      <x:c r="AI196" s="63"/>
      <x:c r="AJ196" s="63"/>
      <x:c r="AK196" s="63"/>
      <x:c r="AL196" s="63"/>
      <x:c r="AM196" s="63"/>
      <x:c r="AN196" s="63"/>
      <x:c r="AO196" s="63"/>
      <x:c r="AP196" s="63"/>
      <x:c r="AQ196" s="63"/>
      <x:c r="AR196" s="63"/>
      <x:c r="AS196" s="137"/>
      <x:c r="AT196" s="137"/>
      <x:c r="AU196" s="63" t="str">
        <x:f>IF($B196="","",IF($AK196="",10+$W196,IFERROR(INDEX('Armor Database'!$D$2:$D$100,MATCH($AK196,'Armor Database'!$A$2:$A$100,0))+IF(INDEX('Armor Database'!$E$2:$E$100,MATCH($AK196,'Armor Database'!$A$2:$A$100,0))="Full",$W196,IF(INDEX('Armor Database'!$E$2:$E$100,MATCH($AK196,'Armor Database'!$A$2:$A$100,0))="Max 2",MIN($W196,2),0))+IF($AL196="Shield",2,0)+N($AS196),10+$W196+IF($AL196="Shield",2,0)+N($AS196))))</x:f>
      </x:c>
      <x:c r="AV196" s="63" t="str">
        <x:f>IF($AM196="","",IFERROR(INDEX('Weapons Database'!$C$2:$C$100,MATCH($AM196,'Weapons Database'!$A$2:$A$100,0))&amp;" "&amp;INDEX('Weapons Database'!$D$2:$D$100,MATCH($AM196,'Weapons Database'!$A$2:$A$100,0)),""))</x:f>
      </x:c>
      <x:c r="AW196" s="63" t="str">
        <x:f>IF($AO196="","",IFERROR(INDEX('Weapons Database'!$C$2:$C$100,MATCH($AO196,'Weapons Database'!$A$2:$A$100,0))&amp;" "&amp;INDEX('Weapons Database'!$D$2:$D$100,MATCH($AO196,'Weapons Database'!$A$2:$A$100,0)),""))</x:f>
      </x:c>
      <x:c r="AX196" s="63"/>
    </x:row>
    <x:row r="197">
      <x:c r="A197" s="63"/>
      <x:c r="B197" s="63"/>
      <x:c r="C197" s="63"/>
      <x:c r="D197" s="63"/>
      <x:c r="E197" s="63"/>
      <x:c r="F197" s="63"/>
      <x:c r="G197" s="63"/>
      <x:c r="H197" s="63"/>
      <x:c r="I197" s="63"/>
      <x:c r="J197" s="63" t="str">
        <x:f>IF($B197="","",IF($AT197&lt;&gt;"",$AT197,$AU197))</x:f>
      </x:c>
      <x:c r="K197" s="63"/>
      <x:c r="L197" s="63"/>
      <x:c r="M197" s="63"/>
      <x:c r="N197" s="63"/>
      <x:c r="O197" s="63"/>
      <x:c r="P197" s="63"/>
      <x:c r="Q197" s="63"/>
      <x:c r="R197" s="63"/>
      <x:c r="S197" s="63"/>
      <x:c r="T197" s="63"/>
      <x:c r="U197" s="63"/>
      <x:c r="V197" s="63"/>
      <x:c r="W197" s="63"/>
      <x:c r="X197" s="63"/>
      <x:c r="Y197" s="63"/>
      <x:c r="Z197" s="63"/>
      <x:c r="AA197" s="63"/>
      <x:c r="AB197" s="63"/>
      <x:c r="AC197" s="63"/>
      <x:c r="AD197" s="63"/>
      <x:c r="AE197" s="63"/>
      <x:c r="AF197" s="63"/>
      <x:c r="AG197" s="63"/>
      <x:c r="AH197" s="63"/>
      <x:c r="AI197" s="63"/>
      <x:c r="AJ197" s="63"/>
      <x:c r="AK197" s="63"/>
      <x:c r="AL197" s="63"/>
      <x:c r="AM197" s="63"/>
      <x:c r="AN197" s="63"/>
      <x:c r="AO197" s="63"/>
      <x:c r="AP197" s="63"/>
      <x:c r="AQ197" s="63"/>
      <x:c r="AR197" s="63"/>
      <x:c r="AS197" s="137"/>
      <x:c r="AT197" s="137"/>
      <x:c r="AU197" s="63" t="str">
        <x:f>IF($B197="","",IF($AK197="",10+$W197,IFERROR(INDEX('Armor Database'!$D$2:$D$100,MATCH($AK197,'Armor Database'!$A$2:$A$100,0))+IF(INDEX('Armor Database'!$E$2:$E$100,MATCH($AK197,'Armor Database'!$A$2:$A$100,0))="Full",$W197,IF(INDEX('Armor Database'!$E$2:$E$100,MATCH($AK197,'Armor Database'!$A$2:$A$100,0))="Max 2",MIN($W197,2),0))+IF($AL197="Shield",2,0)+N($AS197),10+$W197+IF($AL197="Shield",2,0)+N($AS197))))</x:f>
      </x:c>
      <x:c r="AV197" s="63" t="str">
        <x:f>IF($AM197="","",IFERROR(INDEX('Weapons Database'!$C$2:$C$100,MATCH($AM197,'Weapons Database'!$A$2:$A$100,0))&amp;" "&amp;INDEX('Weapons Database'!$D$2:$D$100,MATCH($AM197,'Weapons Database'!$A$2:$A$100,0)),""))</x:f>
      </x:c>
      <x:c r="AW197" s="63" t="str">
        <x:f>IF($AO197="","",IFERROR(INDEX('Weapons Database'!$C$2:$C$100,MATCH($AO197,'Weapons Database'!$A$2:$A$100,0))&amp;" "&amp;INDEX('Weapons Database'!$D$2:$D$100,MATCH($AO197,'Weapons Database'!$A$2:$A$100,0)),""))</x:f>
      </x:c>
      <x:c r="AX197" s="63"/>
    </x:row>
    <x:row r="198">
      <x:c r="A198" s="63"/>
      <x:c r="B198" s="63"/>
      <x:c r="C198" s="63"/>
      <x:c r="D198" s="63"/>
      <x:c r="E198" s="63"/>
      <x:c r="F198" s="63"/>
      <x:c r="G198" s="63"/>
      <x:c r="H198" s="63"/>
      <x:c r="I198" s="63"/>
      <x:c r="J198" s="63" t="str">
        <x:f>IF($B198="","",IF($AT198&lt;&gt;"",$AT198,$AU198))</x:f>
      </x:c>
      <x:c r="K198" s="63"/>
      <x:c r="L198" s="63"/>
      <x:c r="M198" s="63"/>
      <x:c r="N198" s="63"/>
      <x:c r="O198" s="63"/>
      <x:c r="P198" s="63"/>
      <x:c r="Q198" s="63"/>
      <x:c r="R198" s="63"/>
      <x:c r="S198" s="63"/>
      <x:c r="T198" s="63"/>
      <x:c r="U198" s="63"/>
      <x:c r="V198" s="63"/>
      <x:c r="W198" s="63"/>
      <x:c r="X198" s="63"/>
      <x:c r="Y198" s="63"/>
      <x:c r="Z198" s="63"/>
      <x:c r="AA198" s="63"/>
      <x:c r="AB198" s="63"/>
      <x:c r="AC198" s="63"/>
      <x:c r="AD198" s="63"/>
      <x:c r="AE198" s="63"/>
      <x:c r="AF198" s="63"/>
      <x:c r="AG198" s="63"/>
      <x:c r="AH198" s="63"/>
      <x:c r="AI198" s="63"/>
      <x:c r="AJ198" s="63"/>
      <x:c r="AK198" s="63"/>
      <x:c r="AL198" s="63"/>
      <x:c r="AM198" s="63"/>
      <x:c r="AN198" s="63"/>
      <x:c r="AO198" s="63"/>
      <x:c r="AP198" s="63"/>
      <x:c r="AQ198" s="63"/>
      <x:c r="AR198" s="63"/>
      <x:c r="AS198" s="137"/>
      <x:c r="AT198" s="137"/>
      <x:c r="AU198" s="63" t="str">
        <x:f>IF($B198="","",IF($AK198="",10+$W198,IFERROR(INDEX('Armor Database'!$D$2:$D$100,MATCH($AK198,'Armor Database'!$A$2:$A$100,0))+IF(INDEX('Armor Database'!$E$2:$E$100,MATCH($AK198,'Armor Database'!$A$2:$A$100,0))="Full",$W198,IF(INDEX('Armor Database'!$E$2:$E$100,MATCH($AK198,'Armor Database'!$A$2:$A$100,0))="Max 2",MIN($W198,2),0))+IF($AL198="Shield",2,0)+N($AS198),10+$W198+IF($AL198="Shield",2,0)+N($AS198))))</x:f>
      </x:c>
      <x:c r="AV198" s="63" t="str">
        <x:f>IF($AM198="","",IFERROR(INDEX('Weapons Database'!$C$2:$C$100,MATCH($AM198,'Weapons Database'!$A$2:$A$100,0))&amp;" "&amp;INDEX('Weapons Database'!$D$2:$D$100,MATCH($AM198,'Weapons Database'!$A$2:$A$100,0)),""))</x:f>
      </x:c>
      <x:c r="AW198" s="63" t="str">
        <x:f>IF($AO198="","",IFERROR(INDEX('Weapons Database'!$C$2:$C$100,MATCH($AO198,'Weapons Database'!$A$2:$A$100,0))&amp;" "&amp;INDEX('Weapons Database'!$D$2:$D$100,MATCH($AO198,'Weapons Database'!$A$2:$A$100,0)),""))</x:f>
      </x:c>
      <x:c r="AX198" s="63"/>
    </x:row>
    <x:row r="199">
      <x:c r="A199" s="63"/>
      <x:c r="B199" s="63"/>
      <x:c r="C199" s="63"/>
      <x:c r="D199" s="63"/>
      <x:c r="E199" s="63"/>
      <x:c r="F199" s="63"/>
      <x:c r="G199" s="63"/>
      <x:c r="H199" s="63"/>
      <x:c r="I199" s="63"/>
      <x:c r="J199" s="63" t="str">
        <x:f>IF($B199="","",IF($AT199&lt;&gt;"",$AT199,$AU199))</x:f>
      </x:c>
      <x:c r="K199" s="63"/>
      <x:c r="L199" s="63"/>
      <x:c r="M199" s="63"/>
      <x:c r="N199" s="63"/>
      <x:c r="O199" s="63"/>
      <x:c r="P199" s="63"/>
      <x:c r="Q199" s="63"/>
      <x:c r="R199" s="63"/>
      <x:c r="S199" s="63"/>
      <x:c r="T199" s="63"/>
      <x:c r="U199" s="63"/>
      <x:c r="V199" s="63"/>
      <x:c r="W199" s="63"/>
      <x:c r="X199" s="63"/>
      <x:c r="Y199" s="63"/>
      <x:c r="Z199" s="63"/>
      <x:c r="AA199" s="63"/>
      <x:c r="AB199" s="63"/>
      <x:c r="AC199" s="63"/>
      <x:c r="AD199" s="63"/>
      <x:c r="AE199" s="63"/>
      <x:c r="AF199" s="63"/>
      <x:c r="AG199" s="63"/>
      <x:c r="AH199" s="63"/>
      <x:c r="AI199" s="63"/>
      <x:c r="AJ199" s="63"/>
      <x:c r="AK199" s="63"/>
      <x:c r="AL199" s="63"/>
      <x:c r="AM199" s="63"/>
      <x:c r="AN199" s="63"/>
      <x:c r="AO199" s="63"/>
      <x:c r="AP199" s="63"/>
      <x:c r="AQ199" s="63"/>
      <x:c r="AR199" s="63"/>
      <x:c r="AS199" s="137"/>
      <x:c r="AT199" s="137"/>
      <x:c r="AU199" s="63" t="str">
        <x:f>IF($B199="","",IF($AK199="",10+$W199,IFERROR(INDEX('Armor Database'!$D$2:$D$100,MATCH($AK199,'Armor Database'!$A$2:$A$100,0))+IF(INDEX('Armor Database'!$E$2:$E$100,MATCH($AK199,'Armor Database'!$A$2:$A$100,0))="Full",$W199,IF(INDEX('Armor Database'!$E$2:$E$100,MATCH($AK199,'Armor Database'!$A$2:$A$100,0))="Max 2",MIN($W199,2),0))+IF($AL199="Shield",2,0)+N($AS199),10+$W199+IF($AL199="Shield",2,0)+N($AS199))))</x:f>
      </x:c>
      <x:c r="AV199" s="63" t="str">
        <x:f>IF($AM199="","",IFERROR(INDEX('Weapons Database'!$C$2:$C$100,MATCH($AM199,'Weapons Database'!$A$2:$A$100,0))&amp;" "&amp;INDEX('Weapons Database'!$D$2:$D$100,MATCH($AM199,'Weapons Database'!$A$2:$A$100,0)),""))</x:f>
      </x:c>
      <x:c r="AW199" s="63" t="str">
        <x:f>IF($AO199="","",IFERROR(INDEX('Weapons Database'!$C$2:$C$100,MATCH($AO199,'Weapons Database'!$A$2:$A$100,0))&amp;" "&amp;INDEX('Weapons Database'!$D$2:$D$100,MATCH($AO199,'Weapons Database'!$A$2:$A$100,0)),""))</x:f>
      </x:c>
      <x:c r="AX199" s="63"/>
    </x:row>
    <x:row r="200">
      <x:c r="A200" s="63"/>
      <x:c r="B200" s="63"/>
      <x:c r="C200" s="63"/>
      <x:c r="D200" s="63"/>
      <x:c r="E200" s="63"/>
      <x:c r="F200" s="63"/>
      <x:c r="G200" s="63"/>
      <x:c r="H200" s="63"/>
      <x:c r="I200" s="63"/>
      <x:c r="J200" s="63" t="str">
        <x:f>IF($B200="","",IF($AT200&lt;&gt;"",$AT200,$AU200))</x:f>
      </x:c>
      <x:c r="K200" s="63"/>
      <x:c r="L200" s="63"/>
      <x:c r="M200" s="63"/>
      <x:c r="N200" s="63"/>
      <x:c r="O200" s="63"/>
      <x:c r="P200" s="63"/>
      <x:c r="Q200" s="63"/>
      <x:c r="R200" s="63"/>
      <x:c r="S200" s="63"/>
      <x:c r="T200" s="63"/>
      <x:c r="U200" s="63"/>
      <x:c r="V200" s="63"/>
      <x:c r="W200" s="63"/>
      <x:c r="X200" s="63"/>
      <x:c r="Y200" s="63"/>
      <x:c r="Z200" s="63"/>
      <x:c r="AA200" s="63"/>
      <x:c r="AB200" s="63"/>
      <x:c r="AC200" s="63"/>
      <x:c r="AD200" s="63"/>
      <x:c r="AE200" s="63"/>
      <x:c r="AF200" s="63"/>
      <x:c r="AG200" s="63"/>
      <x:c r="AH200" s="63"/>
      <x:c r="AI200" s="63"/>
      <x:c r="AJ200" s="63"/>
      <x:c r="AK200" s="63"/>
      <x:c r="AL200" s="63"/>
      <x:c r="AM200" s="63"/>
      <x:c r="AN200" s="63"/>
      <x:c r="AO200" s="63"/>
      <x:c r="AP200" s="63"/>
      <x:c r="AQ200" s="63"/>
      <x:c r="AR200" s="63"/>
      <x:c r="AS200" s="137"/>
      <x:c r="AT200" s="137"/>
      <x:c r="AU200" s="63" t="str">
        <x:f>IF($B200="","",IF($AK200="",10+$W200,IFERROR(INDEX('Armor Database'!$D$2:$D$100,MATCH($AK200,'Armor Database'!$A$2:$A$100,0))+IF(INDEX('Armor Database'!$E$2:$E$100,MATCH($AK200,'Armor Database'!$A$2:$A$100,0))="Full",$W200,IF(INDEX('Armor Database'!$E$2:$E$100,MATCH($AK200,'Armor Database'!$A$2:$A$100,0))="Max 2",MIN($W200,2),0))+IF($AL200="Shield",2,0)+N($AS200),10+$W200+IF($AL200="Shield",2,0)+N($AS200))))</x:f>
      </x:c>
      <x:c r="AV200" s="63" t="str">
        <x:f>IF($AM200="","",IFERROR(INDEX('Weapons Database'!$C$2:$C$100,MATCH($AM200,'Weapons Database'!$A$2:$A$100,0))&amp;" "&amp;INDEX('Weapons Database'!$D$2:$D$100,MATCH($AM200,'Weapons Database'!$A$2:$A$100,0)),""))</x:f>
      </x:c>
      <x:c r="AW200" s="63" t="str">
        <x:f>IF($AO200="","",IFERROR(INDEX('Weapons Database'!$C$2:$C$100,MATCH($AO200,'Weapons Database'!$A$2:$A$100,0))&amp;" "&amp;INDEX('Weapons Database'!$D$2:$D$100,MATCH($AO200,'Weapons Database'!$A$2:$A$100,0)),""))</x:f>
      </x:c>
      <x:c r="AX200" s="63"/>
    </x:row>
  </x:sheetData>
  <x:dataValidations count="4">
    <x:dataValidation type="list" sqref="AK3:AK200">
      <x:formula1>'Armor Database'!$A$2:$A$14</x:formula1>
    </x:dataValidation>
    <x:dataValidation type="list" sqref="AL3:AL200">
      <x:formula1>",Shield"</x:formula1>
    </x:dataValidation>
    <x:dataValidation type="list" sqref="AM3:AO200">
      <x:formula1>'Weapons Database'!$A$2:$A$38</x:formula1>
    </x:dataValidation>
    <x:dataValidation type="list" sqref="AP3:AR200">
      <x:formula1>'Magic Item Database'!$A$2:$A$300</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baseColWidth="8" defaultRowHeight="15"/>
  <x:cols>
    <x:col min="1" max="1" width="22" customWidth="1"/>
    <x:col min="2" max="2" width="16" customWidth="1"/>
    <x:col min="3" max="3" width="21" customWidth="1"/>
    <x:col min="4" max="4" width="10" customWidth="1"/>
    <x:col min="5" max="5" width="19" customWidth="1"/>
    <x:col min="6" max="6" width="10" customWidth="1"/>
    <x:col min="7" max="7" width="10" customWidth="1"/>
    <x:col min="8" max="8" width="12" customWidth="1"/>
    <x:col min="9" max="9" width="10" customWidth="1"/>
    <x:col min="10" max="10" width="20" customWidth="1"/>
    <x:col min="11" max="11" width="12" customWidth="1"/>
    <x:col min="12" max="12" width="20" customWidth="1"/>
    <x:col min="13" max="13" width="15" customWidth="1"/>
    <x:col min="14" max="14" width="14" customWidth="1"/>
    <x:col min="15" max="15" width="16" customWidth="1"/>
    <x:col min="16" max="16" width="18" customWidth="1"/>
    <x:col min="17" max="17" width="41" customWidth="1"/>
    <x:col min="18" max="18" width="13" customWidth="1"/>
    <x:col min="19" max="19" width="17" customWidth="1"/>
    <x:col min="20" max="20" width="21" customWidth="1"/>
    <x:col min="21" max="21" width="18" customWidth="1"/>
    <x:col min="22" max="22" width="16" customWidth="1"/>
    <x:col min="23" max="23" width="21" customWidth="1"/>
    <x:col min="24" max="24" width="29" customWidth="1"/>
    <x:col min="25" max="25" width="24" customWidth="1"/>
    <x:col min="26" max="26" width="23" customWidth="1"/>
    <x:col min="27" max="27" width="25" customWidth="1"/>
    <x:col min="28" max="28" width="16" customWidth="1"/>
    <x:col min="29" max="29" width="23" customWidth="1"/>
  </x:cols>
  <x:sheetData>
    <x:row r="1" ht="18" customHeight="1">
      <x:c r="A1" s="5" t="inlineStr">
        <x:is>
          <x:t xml:space="preserve">Encounter Combatants</x:t>
        </x:is>
      </x:c>
    </x:row>
    <x:row r="2" ht="18" customHeight="1">
      <x:c r="A2" s="4" t="inlineStr">
        <x:is>
          <x:t xml:space="preserve">Combatant ID</x:t>
        </x:is>
      </x:c>
      <x:c r="B2" s="4" t="inlineStr">
        <x:is>
          <x:t xml:space="preserve">Combatant Type</x:t>
        </x:is>
      </x:c>
      <x:c r="C2" s="4" t="inlineStr">
        <x:is>
          <x:t xml:space="preserve">Combatant Name</x:t>
        </x:is>
      </x:c>
      <x:c r="D2" s="4" t="inlineStr">
        <x:is>
          <x:t xml:space="preserve">Status</x:t>
        </x:is>
      </x:c>
      <x:c r="E2" s="4" t="inlineStr">
        <x:is>
          <x:t xml:space="preserve">Player/Controller</x:t>
        </x:is>
      </x:c>
      <x:c r="F2" s="4" t="inlineStr">
        <x:is>
          <x:t xml:space="preserve">AC</x:t>
        </x:is>
      </x:c>
      <x:c r="G2" s="4" t="inlineStr">
        <x:is>
          <x:t xml:space="preserve">Max HP</x:t>
        </x:is>
      </x:c>
      <x:c r="H2" s="4" t="inlineStr">
        <x:is>
          <x:t xml:space="preserve">Current HP</x:t>
        </x:is>
      </x:c>
      <x:c r="I2" s="4" t="inlineStr">
        <x:is>
          <x:t xml:space="preserve">Temp HP</x:t>
        </x:is>
      </x:c>
      <x:c r="J2" s="4" t="inlineStr">
        <x:is>
          <x:t xml:space="preserve">Speed</x:t>
        </x:is>
      </x:c>
      <x:c r="K2" s="4" t="inlineStr">
        <x:is>
          <x:t xml:space="preserve">Prof Bonus</x:t>
        </x:is>
      </x:c>
      <x:c r="L2" s="4" t="inlineStr">
        <x:is>
          <x:t xml:space="preserve">Passive Perception</x:t>
        </x:is>
      </x:c>
      <x:c r="M2" s="4" t="inlineStr">
        <x:is>
          <x:t xml:space="preserve">Spell Save DC</x:t>
        </x:is>
      </x:c>
      <x:c r="N2" s="4" t="inlineStr">
        <x:is>
          <x:t xml:space="preserve">Attack Bonus</x:t>
        </x:is>
      </x:c>
      <x:c r="O2" s="4" t="inlineStr">
        <x:is>
          <x:t xml:space="preserve">Initiative Mod</x:t>
        </x:is>
      </x:c>
      <x:c r="P2" s="4" t="inlineStr">
        <x:is>
          <x:t xml:space="preserve">Source</x:t>
        </x:is>
      </x:c>
      <x:c r="Q2" s="4" t="inlineStr">
        <x:is>
          <x:t xml:space="preserve">Notes</x:t>
        </x:is>
      </x:c>
      <x:c r="R2" s="4" t="inlineStr">
        <x:is>
          <x:t xml:space="preserve">Override AC</x:t>
        </x:is>
      </x:c>
      <x:c r="S2" s="4" t="inlineStr">
        <x:is>
          <x:t xml:space="preserve">Override Max HP</x:t>
        </x:is>
      </x:c>
      <x:c r="T2" s="4" t="inlineStr">
        <x:is>
          <x:t xml:space="preserve">Override Current HP</x:t>
        </x:is>
      </x:c>
      <x:c r="U2" s="4" t="inlineStr">
        <x:is>
          <x:t xml:space="preserve">Override Temp HP</x:t>
        </x:is>
      </x:c>
      <x:c r="V2" s="4" t="inlineStr">
        <x:is>
          <x:t xml:space="preserve">Override Speed</x:t>
        </x:is>
      </x:c>
      <x:c r="W2" s="4" t="inlineStr">
        <x:is>
          <x:t xml:space="preserve">Override Prof Bonus</x:t>
        </x:is>
      </x:c>
      <x:c r="X2" s="4" t="inlineStr">
        <x:is>
          <x:t xml:space="preserve">Override Passive Perception</x:t>
        </x:is>
      </x:c>
      <x:c r="Y2" s="4" t="inlineStr">
        <x:is>
          <x:t xml:space="preserve">Override Spell Save DC</x:t>
        </x:is>
      </x:c>
      <x:c r="Z2" s="4" t="inlineStr">
        <x:is>
          <x:t xml:space="preserve">Override Attack Bonus</x:t>
        </x:is>
      </x:c>
      <x:c r="AA2" s="4" t="inlineStr">
        <x:is>
          <x:t xml:space="preserve">Override Initiative Mod</x:t>
        </x:is>
      </x:c>
      <x:c r="AB2" s="4" t="inlineStr">
        <x:is>
          <x:t xml:space="preserve">Override Notes</x:t>
        </x:is>
      </x:c>
      <x:c r="AC2" s="4" t="inlineStr">
        <x:is>
          <x:t xml:space="preserve">Database Match Status</x:t>
        </x:is>
      </x:c>
    </x:row>
    <x:row r="3" ht="18"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row>
    <x:row r="4" ht="18" customHeight="1">
      <x:c r="A4" s="2"/>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row>
    <x:row r="5" ht="18" customHeight="1">
      <x:c r="A5" s="2"/>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row>
    <x:row r="6" ht="18" customHeight="1">
      <x:c r="A6" s="2"/>
      <x:c r="B6" s="2"/>
      <x:c r="C6" s="2"/>
      <x:c r="D6" s="2"/>
      <x:c r="E6" s="2"/>
      <x:c r="F6" s="2"/>
      <x:c r="G6" s="2"/>
      <x:c r="H6" s="2"/>
      <x:c r="I6" s="2"/>
      <x:c r="J6" s="2"/>
      <x:c r="K6" s="2"/>
      <x:c r="L6" s="2"/>
      <x:c r="M6" s="2"/>
      <x:c r="N6" s="2"/>
      <x:c r="O6" s="2"/>
      <x:c r="P6" s="2"/>
      <x:c r="Q6" s="2"/>
      <x:c r="R6" s="2"/>
      <x:c r="S6" s="2"/>
      <x:c r="T6" s="2"/>
      <x:c r="U6" s="2"/>
      <x:c r="V6" s="2"/>
      <x:c r="W6" s="2"/>
      <x:c r="X6" s="2"/>
      <x:c r="Y6" s="2"/>
      <x:c r="Z6" s="2"/>
      <x:c r="AA6" s="2"/>
      <x:c r="AB6" s="2"/>
      <x:c r="AC6" s="2"/>
    </x:row>
    <x:row r="7" ht="18" customHeight="1">
      <x:c r="A7" s="2"/>
      <x:c r="B7" s="2"/>
      <x:c r="C7" s="2"/>
      <x:c r="D7" s="2"/>
      <x:c r="E7" s="2"/>
      <x:c r="F7" s="2"/>
      <x:c r="G7" s="2"/>
      <x:c r="H7" s="2"/>
      <x:c r="I7" s="2"/>
      <x:c r="J7" s="2"/>
      <x:c r="K7" s="2"/>
      <x:c r="L7" s="2"/>
      <x:c r="M7" s="2"/>
      <x:c r="N7" s="2"/>
      <x:c r="O7" s="2"/>
      <x:c r="P7" s="2"/>
      <x:c r="Q7" s="2"/>
      <x:c r="R7" s="2"/>
      <x:c r="S7" s="2"/>
      <x:c r="T7" s="2"/>
      <x:c r="U7" s="2"/>
      <x:c r="V7" s="2"/>
      <x:c r="W7" s="2"/>
      <x:c r="X7" s="2"/>
      <x:c r="Y7" s="2"/>
      <x:c r="Z7" s="2"/>
      <x:c r="AA7" s="2"/>
      <x:c r="AB7" s="2"/>
      <x:c r="AC7" s="2"/>
    </x:row>
    <x:row r="8" ht="18" customHeight="1">
      <x:c r="A8" s="2"/>
      <x:c r="B8" s="2"/>
      <x:c r="C8" s="2"/>
      <x:c r="D8" s="2"/>
      <x:c r="E8" s="2"/>
      <x:c r="F8" s="2"/>
      <x:c r="G8" s="2"/>
      <x:c r="H8" s="2"/>
      <x:c r="I8" s="2"/>
      <x:c r="J8" s="2"/>
      <x:c r="K8" s="2"/>
      <x:c r="L8" s="2"/>
      <x:c r="M8" s="2"/>
      <x:c r="N8" s="2"/>
      <x:c r="O8" s="2"/>
      <x:c r="P8" s="2"/>
      <x:c r="Q8" s="2"/>
      <x:c r="R8" s="2"/>
      <x:c r="S8" s="2"/>
      <x:c r="T8" s="2"/>
      <x:c r="U8" s="2"/>
      <x:c r="V8" s="2"/>
      <x:c r="W8" s="2"/>
      <x:c r="X8" s="2"/>
      <x:c r="Y8" s="2"/>
      <x:c r="Z8" s="2"/>
      <x:c r="AA8" s="2"/>
      <x:c r="AB8" s="2"/>
      <x:c r="AC8" s="2"/>
    </x:row>
    <x:row r="9" ht="18" customHeight="1">
      <x:c r="A9" s="2"/>
      <x:c r="B9" s="2"/>
      <x:c r="C9" s="2"/>
      <x:c r="D9" s="2"/>
      <x:c r="E9" s="2"/>
      <x:c r="F9" s="2"/>
      <x:c r="G9" s="2"/>
      <x:c r="H9" s="2"/>
      <x:c r="I9" s="2"/>
      <x:c r="J9" s="2"/>
      <x:c r="K9" s="2"/>
      <x:c r="L9" s="2"/>
      <x:c r="M9" s="2"/>
      <x:c r="N9" s="2"/>
      <x:c r="O9" s="2"/>
      <x:c r="P9" s="2"/>
      <x:c r="Q9" s="2"/>
      <x:c r="R9" s="2"/>
      <x:c r="S9" s="2"/>
      <x:c r="T9" s="2"/>
      <x:c r="U9" s="2"/>
      <x:c r="V9" s="2"/>
      <x:c r="W9" s="2"/>
      <x:c r="X9" s="2"/>
      <x:c r="Y9" s="2"/>
      <x:c r="Z9" s="2"/>
      <x:c r="AA9" s="2"/>
      <x:c r="AB9" s="2"/>
      <x:c r="AC9" s="2"/>
    </x:row>
    <x:row r="10" ht="18" customHeight="1">
      <x:c r="A10" s="2"/>
      <x:c r="B10" s="2"/>
      <x:c r="C10" s="2"/>
      <x:c r="D10" s="2"/>
      <x:c r="E10" s="2"/>
      <x:c r="F10" s="2"/>
      <x:c r="G10" s="2"/>
      <x:c r="H10" s="2"/>
      <x:c r="I10" s="2"/>
      <x:c r="J10" s="2"/>
      <x:c r="K10" s="2"/>
      <x:c r="L10" s="2"/>
      <x:c r="M10" s="2"/>
      <x:c r="N10" s="2"/>
      <x:c r="O10" s="2"/>
      <x:c r="P10" s="2"/>
      <x:c r="Q10" s="2"/>
      <x:c r="R10" s="2"/>
      <x:c r="S10" s="2"/>
      <x:c r="T10" s="2"/>
      <x:c r="U10" s="2"/>
      <x:c r="V10" s="2"/>
      <x:c r="W10" s="2"/>
      <x:c r="X10" s="2"/>
      <x:c r="Y10" s="2"/>
      <x:c r="Z10" s="2"/>
      <x:c r="AA10" s="2"/>
      <x:c r="AB10" s="2"/>
      <x:c r="AC10" s="2"/>
    </x:row>
    <x:row r="11" ht="18" customHeight="1">
      <x:c r="A11" s="2"/>
      <x:c r="B11" s="2"/>
      <x:c r="C11" s="2"/>
      <x:c r="D11" s="2"/>
      <x:c r="E11" s="2"/>
      <x:c r="F11" s="2"/>
      <x:c r="G11" s="2"/>
      <x:c r="H11" s="2"/>
      <x:c r="I11" s="2"/>
      <x:c r="J11" s="2"/>
      <x:c r="K11" s="2"/>
      <x:c r="L11" s="2"/>
      <x:c r="M11" s="2"/>
      <x:c r="N11" s="2"/>
      <x:c r="O11" s="2"/>
      <x:c r="P11" s="2"/>
      <x:c r="Q11" s="2"/>
      <x:c r="R11" s="2"/>
      <x:c r="S11" s="2"/>
      <x:c r="T11" s="2"/>
      <x:c r="U11" s="2"/>
      <x:c r="V11" s="2"/>
      <x:c r="W11" s="2"/>
      <x:c r="X11" s="2"/>
      <x:c r="Y11" s="2"/>
      <x:c r="Z11" s="2"/>
      <x:c r="AA11" s="2"/>
      <x:c r="AB11" s="2"/>
      <x:c r="AC11" s="2"/>
    </x:row>
    <x:row r="12" ht="18" customHeight="1">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c r="AA12" s="2"/>
      <x:c r="AB12" s="2"/>
      <x:c r="AC12" s="2"/>
    </x:row>
    <x:row r="13" ht="18" customHeight="1">
      <x:c r="A13" s="2"/>
      <x:c r="B13" s="2"/>
      <x:c r="C13" s="2"/>
      <x:c r="D13" s="2"/>
      <x:c r="E13" s="2"/>
      <x:c r="F13" s="2"/>
      <x:c r="G13" s="2"/>
      <x:c r="H13" s="2"/>
      <x:c r="I13" s="2"/>
      <x:c r="J13" s="2"/>
      <x:c r="K13" s="2"/>
      <x:c r="L13" s="2"/>
      <x:c r="M13" s="2"/>
      <x:c r="N13" s="2"/>
      <x:c r="O13" s="2"/>
      <x:c r="P13" s="2"/>
      <x:c r="Q13" s="2"/>
      <x:c r="R13" s="2"/>
      <x:c r="S13" s="2"/>
      <x:c r="T13" s="2"/>
      <x:c r="U13" s="2"/>
      <x:c r="V13" s="2"/>
      <x:c r="W13" s="2"/>
      <x:c r="X13" s="2"/>
      <x:c r="Y13" s="2"/>
      <x:c r="Z13" s="2"/>
      <x:c r="AA13" s="2"/>
      <x:c r="AB13" s="2"/>
      <x:c r="AC13" s="2"/>
    </x:row>
    <x:row r="14" ht="18" customHeight="1">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c r="AA14" s="2"/>
      <x:c r="AB14" s="2"/>
      <x:c r="AC14" s="2"/>
    </x:row>
  </x:sheetData>
  <x:conditionalFormatting sqref="H3:H200">
    <x:cfRule type="cellIs" dxfId="0" priority="1" operator="lessThanOrEqual">
      <x:formula>0</x:formula>
    </x:cfRule>
    <x:cfRule type="cellIs" dxfId="0" priority="2" operator="lessThanOrEqual">
      <x:formula>0</x:formula>
    </x:cfRule>
  </x:conditionalFormatting>
  <x:conditionalFormatting sqref="D3:D200">
    <x:cfRule type="expression" dxfId="0" priority="3">
      <x:formula>$D3="Defeated"</x:formula>
    </x:cfRule>
  </x:conditionalFormatting>
  <x:dataValidations count="2">
    <x:dataValidation type="list" allowBlank="1" showDropDown="0" showInputMessage="0" showErrorMessage="0" sqref="B3:B200">
      <x:formula1>"Player,Monster"</x:formula1>
    </x:dataValidation>
    <x:dataValidation type="list" allowBlank="1" showDropDown="0" showInputMessage="0" showErrorMessage="0" sqref="D3:D200">
      <x:formula1>"Active,Inactive,Defeated,Unconscious"</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baseColWidth="8" defaultRowHeight="15"/>
  <x:cols>
    <x:col min="1" max="1" width="38" customWidth="1"/>
    <x:col min="2" max="2" width="16" customWidth="1"/>
    <x:col min="3" max="3" width="21" customWidth="1"/>
    <x:col min="4" max="4" width="10" customWidth="1"/>
    <x:col min="5" max="5" width="10" customWidth="1"/>
    <x:col min="6" max="6" width="10" customWidth="1"/>
    <x:col min="7" max="7" width="10" customWidth="1"/>
    <x:col min="8" max="8" width="10" customWidth="1"/>
    <x:col min="9" max="9" width="12" customWidth="1"/>
    <x:col min="10" max="10" width="10" customWidth="1"/>
    <x:col min="11" max="11" width="41" customWidth="1"/>
  </x:cols>
  <x:sheetData>
    <x:row r="1" ht="18" customHeight="1">
      <x:c r="A1" s="5" t="inlineStr">
        <x:is>
          <x:t xml:space="preserve">Encounter Builder — Generated Roster</x:t>
        </x:is>
      </x:c>
    </x:row>
    <x:row r="2" ht="18" customHeight="1">
      <x:c r="A2" s="4" t="inlineStr">
        <x:is>
          <x:t xml:space="preserve">Encounter Item</x:t>
        </x:is>
      </x:c>
      <x:c r="B2" s="4" t="inlineStr">
        <x:is>
          <x:t xml:space="preserve">Combatant Type</x:t>
        </x:is>
      </x:c>
      <x:c r="C2" s="4" t="inlineStr">
        <x:is>
          <x:t xml:space="preserve">Name</x:t>
        </x:is>
      </x:c>
      <x:c r="D2" s="4" t="inlineStr">
        <x:is>
          <x:t xml:space="preserve">Count</x:t>
        </x:is>
      </x:c>
      <x:c r="E2" s="4" t="inlineStr">
        <x:is>
          <x:t xml:space="preserve">CR/Level</x:t>
        </x:is>
      </x:c>
      <x:c r="F2" s="4" t="inlineStr">
        <x:is>
          <x:t xml:space="preserve">XP</x:t>
        </x:is>
      </x:c>
      <x:c r="G2" s="4" t="inlineStr">
        <x:is>
          <x:t xml:space="preserve">AC</x:t>
        </x:is>
      </x:c>
      <x:c r="H2" s="4" t="inlineStr">
        <x:is>
          <x:t xml:space="preserve">Max HP</x:t>
        </x:is>
      </x:c>
      <x:c r="I2" s="4" t="inlineStr">
        <x:is>
          <x:t xml:space="preserve">Current HP</x:t>
        </x:is>
      </x:c>
      <x:c r="J2" s="4" t="inlineStr">
        <x:is>
          <x:t xml:space="preserve">Status</x:t>
        </x:is>
      </x:c>
      <x:c r="K2" s="4" t="inlineStr">
        <x:is>
          <x:t xml:space="preserve">Notes</x:t>
        </x:is>
      </x:c>
    </x:row>
    <x:row r="3" ht="18" customHeight="1">
      <x:c r="A3" s="2"/>
      <x:c r="B3" s="2"/>
      <x:c r="C3" s="2"/>
      <x:c r="D3" s="2"/>
      <x:c r="E3" s="2"/>
      <x:c r="F3" s="2"/>
      <x:c r="G3" s="2"/>
      <x:c r="H3" s="2"/>
      <x:c r="I3" s="2"/>
      <x:c r="J3" s="2"/>
      <x:c r="K3" s="2"/>
    </x:row>
    <x:row r="4" ht="18" customHeight="1">
      <x:c r="A4" s="2"/>
      <x:c r="B4" s="2"/>
      <x:c r="C4" s="2"/>
      <x:c r="D4" s="2"/>
      <x:c r="E4" s="2"/>
      <x:c r="F4" s="2"/>
      <x:c r="G4" s="2"/>
      <x:c r="H4" s="2"/>
      <x:c r="I4" s="2"/>
      <x:c r="J4" s="2"/>
      <x:c r="K4" s="2"/>
    </x:row>
    <x:row r="5" ht="18" customHeight="1">
      <x:c r="A5" s="2"/>
      <x:c r="B5" s="2"/>
      <x:c r="C5" s="2"/>
      <x:c r="D5" s="2"/>
      <x:c r="E5" s="2"/>
      <x:c r="F5" s="2"/>
      <x:c r="G5" s="2"/>
      <x:c r="H5" s="2"/>
      <x:c r="I5" s="2"/>
      <x:c r="J5" s="2"/>
      <x:c r="K5" s="2"/>
    </x:row>
    <x:row r="6" ht="18" customHeight="1">
      <x:c r="A6" s="2"/>
      <x:c r="B6" s="2"/>
      <x:c r="C6" s="2"/>
      <x:c r="D6" s="2"/>
      <x:c r="E6" s="2"/>
      <x:c r="F6" s="2"/>
      <x:c r="G6" s="2"/>
      <x:c r="H6" s="2"/>
      <x:c r="I6" s="2"/>
      <x:c r="J6" s="2"/>
      <x:c r="K6" s="2"/>
    </x:row>
    <x:row r="7" ht="18" customHeight="1">
      <x:c r="A7" s="2"/>
      <x:c r="B7" s="2"/>
      <x:c r="C7" s="2"/>
      <x:c r="D7" s="2"/>
      <x:c r="E7" s="2"/>
      <x:c r="F7" s="2"/>
      <x:c r="G7" s="2"/>
      <x:c r="H7" s="2"/>
      <x:c r="I7" s="2"/>
      <x:c r="J7" s="2"/>
      <x:c r="K7" s="2"/>
    </x:row>
    <x:row r="8" ht="18" customHeight="1">
      <x:c r="A8" s="2"/>
      <x:c r="B8" s="2"/>
      <x:c r="C8" s="2"/>
      <x:c r="D8" s="2"/>
      <x:c r="E8" s="2"/>
      <x:c r="F8" s="2"/>
      <x:c r="G8" s="2"/>
      <x:c r="H8" s="2"/>
      <x:c r="I8" s="2"/>
      <x:c r="J8" s="2"/>
      <x:c r="K8" s="2"/>
    </x:row>
    <x:row r="9" ht="18" customHeight="1">
      <x:c r="A9" s="2"/>
      <x:c r="B9" s="2"/>
      <x:c r="C9" s="2"/>
      <x:c r="D9" s="2"/>
      <x:c r="E9" s="2"/>
      <x:c r="F9" s="2"/>
      <x:c r="G9" s="2"/>
      <x:c r="H9" s="2"/>
      <x:c r="I9" s="2"/>
      <x:c r="J9" s="2"/>
      <x:c r="K9" s="2"/>
    </x:row>
    <x:row r="10" ht="18" customHeight="1">
      <x:c r="A10" s="2"/>
      <x:c r="B10" s="2"/>
      <x:c r="C10" s="2"/>
      <x:c r="D10" s="2"/>
      <x:c r="E10" s="2"/>
      <x:c r="F10" s="2"/>
      <x:c r="G10" s="2"/>
      <x:c r="H10" s="2"/>
      <x:c r="I10" s="2"/>
      <x:c r="J10" s="2"/>
      <x:c r="K10" s="2"/>
    </x:row>
    <x:row r="11" ht="18" customHeight="1">
      <x:c r="A11" s="2"/>
      <x:c r="B11" s="2"/>
      <x:c r="C11" s="2"/>
      <x:c r="D11" s="2"/>
      <x:c r="E11" s="2"/>
      <x:c r="F11" s="2"/>
      <x:c r="G11" s="2"/>
      <x:c r="H11" s="2"/>
      <x:c r="I11" s="2"/>
      <x:c r="J11" s="2"/>
      <x:c r="K11" s="2"/>
    </x:row>
    <x:row r="12" ht="18" customHeight="1">
      <x:c r="A12" s="2"/>
      <x:c r="B12" s="2"/>
      <x:c r="C12" s="2"/>
      <x:c r="D12" s="2"/>
      <x:c r="E12" s="2"/>
      <x:c r="F12" s="2"/>
      <x:c r="G12" s="2"/>
      <x:c r="H12" s="2"/>
      <x:c r="I12" s="2"/>
      <x:c r="J12" s="2"/>
      <x:c r="K12" s="2"/>
    </x:row>
    <x:row r="13" ht="18" customHeight="1">
      <x:c r="A13" s="2"/>
      <x:c r="B13" s="2"/>
      <x:c r="C13" s="2"/>
      <x:c r="D13" s="2"/>
      <x:c r="E13" s="2"/>
      <x:c r="F13" s="2"/>
      <x:c r="G13" s="2"/>
      <x:c r="H13" s="2"/>
      <x:c r="I13" s="2"/>
      <x:c r="J13" s="2"/>
      <x:c r="K13" s="2"/>
    </x:row>
    <x:row r="14" ht="18" customHeight="1">
      <x:c r="A14" s="2"/>
      <x:c r="B14" s="2"/>
      <x:c r="C14" s="2"/>
      <x:c r="D14" s="2"/>
      <x:c r="E14" s="2"/>
      <x:c r="F14" s="2"/>
      <x:c r="G14" s="2"/>
      <x:c r="H14" s="2"/>
      <x:c r="I14" s="2"/>
      <x:c r="J14" s="2"/>
      <x:c r="K14" s="2"/>
    </x:row>
  </x:sheetData>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baseColWidth="8" defaultRowHeight="15"/>
  <x:cols>
    <x:col min="1" max="1" width="28" customWidth="1"/>
    <x:col min="2" max="2" width="14" customWidth="1"/>
    <x:col min="3" max="3" width="21" customWidth="1"/>
    <x:col min="4" max="4" width="16" customWidth="1"/>
    <x:col min="5" max="5" width="17" customWidth="1"/>
    <x:col min="6" max="6" width="10" customWidth="1"/>
    <x:col min="7" max="7" width="18" customWidth="1"/>
    <x:col min="8" max="8" width="16" customWidth="1"/>
    <x:col min="9" max="9" width="10" customWidth="1"/>
    <x:col min="10" max="10" width="19" customWidth="1"/>
    <x:col min="11" max="11" width="33" customWidth="1"/>
  </x:cols>
  <x:sheetData>
    <x:row r="1" ht="18" customHeight="1">
      <x:c r="A1" s="5" t="inlineStr">
        <x:is>
          <x:t xml:space="preserve">Generated Initiative Order</x:t>
        </x:is>
      </x:c>
    </x:row>
    <x:row r="2" ht="18" customHeight="1">
      <x:c r="A2" s="4" t="inlineStr">
        <x:is>
          <x:t xml:space="preserve">Order</x:t>
        </x:is>
      </x:c>
      <x:c r="B2" s="4" t="inlineStr">
        <x:is>
          <x:t xml:space="preserve">Combatant ID</x:t>
        </x:is>
      </x:c>
      <x:c r="C2" s="4" t="inlineStr">
        <x:is>
          <x:t xml:space="preserve">Combatant Name</x:t>
        </x:is>
      </x:c>
      <x:c r="D2" s="4" t="inlineStr">
        <x:is>
          <x:t xml:space="preserve">Combatant Type</x:t>
        </x:is>
      </x:c>
      <x:c r="E2" s="4" t="inlineStr">
        <x:is>
          <x:t xml:space="preserve">Initiative Roll</x:t>
        </x:is>
      </x:c>
      <x:c r="F2" s="4" t="inlineStr">
        <x:is>
          <x:t xml:space="preserve">Init Mod</x:t>
        </x:is>
      </x:c>
      <x:c r="G2" s="4" t="inlineStr">
        <x:is>
          <x:t xml:space="preserve">Initiative Total</x:t>
        </x:is>
      </x:c>
      <x:c r="H2" s="4" t="inlineStr">
        <x:is>
          <x:t xml:space="preserve">Tiebreaker Dex</x:t>
        </x:is>
      </x:c>
      <x:c r="I2" s="4" t="inlineStr">
        <x:is>
          <x:t xml:space="preserve">Status</x:t>
        </x:is>
      </x:c>
      <x:c r="J2" s="4" t="inlineStr">
        <x:is>
          <x:t xml:space="preserve">Acted This Round?</x:t>
        </x:is>
      </x:c>
      <x:c r="K2" s="4" t="inlineStr">
        <x:is>
          <x:t xml:space="preserve">Notes</x:t>
        </x:is>
      </x:c>
    </x:row>
    <x:row r="3" ht="18" customHeight="1">
      <x:c r="A3" s="2"/>
      <x:c r="B3" s="2"/>
      <x:c r="C3" s="2"/>
      <x:c r="D3" s="2"/>
      <x:c r="E3" s="2"/>
      <x:c r="F3" s="2"/>
      <x:c r="G3" s="2"/>
      <x:c r="H3" s="2"/>
      <x:c r="I3" s="2"/>
      <x:c r="J3" s="2"/>
      <x:c r="K3" s="2"/>
    </x:row>
    <x:row r="4" ht="18" customHeight="1">
      <x:c r="A4" s="2"/>
      <x:c r="B4" s="2"/>
      <x:c r="C4" s="2"/>
      <x:c r="D4" s="2"/>
      <x:c r="E4" s="2"/>
      <x:c r="F4" s="2"/>
      <x:c r="G4" s="2"/>
      <x:c r="H4" s="2"/>
      <x:c r="I4" s="2"/>
      <x:c r="J4" s="2"/>
      <x:c r="K4" s="2"/>
    </x:row>
    <x:row r="5" ht="18" customHeight="1">
      <x:c r="A5" s="2"/>
      <x:c r="B5" s="2"/>
      <x:c r="C5" s="2"/>
      <x:c r="D5" s="2"/>
      <x:c r="E5" s="2"/>
      <x:c r="F5" s="2"/>
      <x:c r="G5" s="2"/>
      <x:c r="H5" s="2"/>
      <x:c r="I5" s="2"/>
      <x:c r="J5" s="2"/>
      <x:c r="K5" s="2"/>
    </x:row>
    <x:row r="6" ht="18" customHeight="1">
      <x:c r="A6" s="2"/>
      <x:c r="B6" s="2"/>
      <x:c r="C6" s="2"/>
      <x:c r="D6" s="2"/>
      <x:c r="E6" s="2"/>
      <x:c r="F6" s="2"/>
      <x:c r="G6" s="2"/>
      <x:c r="H6" s="2"/>
      <x:c r="I6" s="2"/>
      <x:c r="J6" s="2"/>
      <x:c r="K6" s="2"/>
    </x:row>
    <x:row r="7" ht="18" customHeight="1">
      <x:c r="A7" s="2"/>
      <x:c r="B7" s="2"/>
      <x:c r="C7" s="2"/>
      <x:c r="D7" s="2"/>
      <x:c r="E7" s="2"/>
      <x:c r="F7" s="2"/>
      <x:c r="G7" s="2"/>
      <x:c r="H7" s="2"/>
      <x:c r="I7" s="2"/>
      <x:c r="J7" s="2"/>
      <x:c r="K7" s="2"/>
    </x:row>
    <x:row r="8" ht="18" customHeight="1">
      <x:c r="A8" s="2"/>
      <x:c r="B8" s="2"/>
      <x:c r="C8" s="2"/>
      <x:c r="D8" s="2"/>
      <x:c r="E8" s="2"/>
      <x:c r="F8" s="2"/>
      <x:c r="G8" s="2"/>
      <x:c r="H8" s="2"/>
      <x:c r="I8" s="2"/>
      <x:c r="J8" s="2"/>
      <x:c r="K8" s="2"/>
    </x:row>
    <x:row r="9" ht="18" customHeight="1">
      <x:c r="A9" s="2"/>
      <x:c r="B9" s="2"/>
      <x:c r="C9" s="2"/>
      <x:c r="D9" s="2"/>
      <x:c r="E9" s="2"/>
      <x:c r="F9" s="2"/>
      <x:c r="G9" s="2"/>
      <x:c r="H9" s="2"/>
      <x:c r="I9" s="2"/>
      <x:c r="J9" s="2"/>
      <x:c r="K9" s="2"/>
    </x:row>
    <x:row r="10" ht="18" customHeight="1">
      <x:c r="A10" s="2"/>
      <x:c r="B10" s="2"/>
      <x:c r="C10" s="2"/>
      <x:c r="D10" s="2"/>
      <x:c r="E10" s="2"/>
      <x:c r="F10" s="2"/>
      <x:c r="G10" s="2"/>
      <x:c r="H10" s="2"/>
      <x:c r="I10" s="2"/>
      <x:c r="J10" s="2"/>
      <x:c r="K10" s="2"/>
    </x:row>
    <x:row r="11" ht="18" customHeight="1">
      <x:c r="A11" s="2"/>
      <x:c r="B11" s="2"/>
      <x:c r="C11" s="2"/>
      <x:c r="D11" s="2"/>
      <x:c r="E11" s="2"/>
      <x:c r="F11" s="2"/>
      <x:c r="G11" s="2"/>
      <x:c r="H11" s="2"/>
      <x:c r="I11" s="2"/>
      <x:c r="J11" s="2"/>
      <x:c r="K11" s="2"/>
    </x:row>
    <x:row r="12" ht="18" customHeight="1">
      <x:c r="A12" s="2"/>
      <x:c r="B12" s="2"/>
      <x:c r="C12" s="2"/>
      <x:c r="D12" s="2"/>
      <x:c r="E12" s="2"/>
      <x:c r="F12" s="2"/>
      <x:c r="G12" s="2"/>
      <x:c r="H12" s="2"/>
      <x:c r="I12" s="2"/>
      <x:c r="J12" s="2"/>
      <x:c r="K12" s="2"/>
    </x:row>
    <x:row r="13" ht="18" customHeight="1">
      <x:c r="A13" s="2"/>
      <x:c r="B13" s="2"/>
      <x:c r="C13" s="2"/>
      <x:c r="D13" s="2"/>
      <x:c r="E13" s="2"/>
      <x:c r="F13" s="2"/>
      <x:c r="G13" s="2"/>
      <x:c r="H13" s="2"/>
      <x:c r="I13" s="2"/>
      <x:c r="J13" s="2"/>
      <x:c r="K13" s="2"/>
    </x:row>
    <x:row r="14" ht="18" customHeight="1">
      <x:c r="A14" s="2"/>
      <x:c r="B14" s="2"/>
      <x:c r="C14" s="2"/>
      <x:c r="D14" s="2"/>
      <x:c r="E14" s="2"/>
      <x:c r="F14" s="2"/>
      <x:c r="G14" s="2"/>
      <x:c r="H14" s="2"/>
      <x:c r="I14" s="2"/>
      <x:c r="J14" s="2"/>
      <x:c r="K14" s="2"/>
    </x:row>
  </x:sheetData>
  <x:conditionalFormatting sqref="G3:G200">
    <x:cfRule type="cellIs" dxfId="1" priority="1" operator="greaterThanOrEqual">
      <x:formula>20</x:formula>
    </x:cfRule>
  </x:conditionalFormatting>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baseColWidth="8" defaultRowHeight="15"/>
  <x:cols>
    <x:col min="1" max="1" width="34" customWidth="1"/>
    <x:col min="2" max="2" width="10" customWidth="1"/>
    <x:col min="3" max="3" width="18" customWidth="1"/>
    <x:col min="4" max="4" width="10" customWidth="1"/>
    <x:col min="5" max="5" width="22" customWidth="1"/>
    <x:col min="6" max="6" width="45" customWidth="1"/>
    <x:col min="7" max="7" width="21" customWidth="1"/>
    <x:col min="8" max="8" width="10" customWidth="1"/>
    <x:col min="9" max="9" width="10" customWidth="1"/>
    <x:col min="10" max="10" width="27" customWidth="1"/>
    <x:col min="11" max="11" width="22" customWidth="1"/>
    <x:col min="12" max="12" width="16" customWidth="1"/>
    <x:col min="13" max="13" width="45" customWidth="1"/>
    <x:col min="14" max="14" width="45" customWidth="1"/>
    <x:col min="15" max="15" width="18" customWidth="1"/>
    <x:col min="16" max="16" width="11" customWidth="1"/>
    <x:col min="17" max="17" width="15" customWidth="1"/>
    <x:col min="18" max="18" width="21" customWidth="1"/>
    <x:col min="19" max="19" width="14" customWidth="1"/>
    <x:col min="20" max="20" width="21" customWidth="1"/>
    <x:col min="21" max="21" width="22" hidden="0" customWidth="1"/>
    <x:col min="22" max="22" width="22" hidden="0" customWidth="1"/>
    <x:col min="23" max="23" width="22" hidden="0" customWidth="1"/>
  </x:cols>
  <x:sheetData>
    <x:row r="1" ht="18" customHeight="1">
      <x:c r="A1" s="5" t="inlineStr">
        <x:is>
          <x:t xml:space="preserve">Turn Log — Simulated Test Combat</x:t>
        </x:is>
      </x:c>
    </x:row>
    <x:row r="2" ht="18" customHeight="1">
      <x:c r="A2" s="4" t="inlineStr">
        <x:is>
          <x:t xml:space="preserve">Round</x:t>
        </x:is>
      </x:c>
      <x:c r="B2" s="4" t="inlineStr">
        <x:is>
          <x:t xml:space="preserve">Turn #</x:t>
        </x:is>
      </x:c>
      <x:c r="C2" s="4" t="inlineStr">
        <x:is>
          <x:t xml:space="preserve">Initiative Order</x:t>
        </x:is>
      </x:c>
      <x:c r="D2" s="4" t="inlineStr">
        <x:is>
          <x:t xml:space="preserve">Actor ID</x:t>
        </x:is>
      </x:c>
      <x:c r="E2" s="4" t="inlineStr">
        <x:is>
          <x:t xml:space="preserve">Actor Combatant Name</x:t>
        </x:is>
      </x:c>
      <x:c r="F2" s="4" t="inlineStr">
        <x:is>
          <x:t xml:space="preserve">Target Combatant Name(s)</x:t>
        </x:is>
      </x:c>
      <x:c r="G2" s="4" t="inlineStr">
        <x:is>
          <x:t xml:space="preserve">Action Type</x:t>
        </x:is>
      </x:c>
      <x:c r="H2" s="4" t="inlineStr">
        <x:is>
          <x:t xml:space="preserve">Damage</x:t>
        </x:is>
      </x:c>
      <x:c r="I2" s="4" t="inlineStr">
        <x:is>
          <x:t xml:space="preserve">Healing</x:t>
        </x:is>
      </x:c>
      <x:c r="J2" s="4" t="inlineStr">
        <x:is>
          <x:t xml:space="preserve">Condition Applied/Removed</x:t>
        </x:is>
      </x:c>
      <x:c r="K2" s="4" t="inlineStr">
        <x:is>
          <x:t xml:space="preserve">Resource Used</x:t>
        </x:is>
      </x:c>
      <x:c r="L2" s="4" t="inlineStr">
        <x:is>
          <x:t xml:space="preserve">Movement</x:t>
        </x:is>
      </x:c>
      <x:c r="M2" s="4" t="inlineStr">
        <x:is>
          <x:t xml:space="preserve">Result / Notes</x:t>
        </x:is>
      </x:c>
      <x:c r="N2" s="4" t="inlineStr">
        <x:is>
          <x:t xml:space="preserve">Rules Flag</x:t>
        </x:is>
      </x:c>
      <x:c r="O2" s="4" t="inlineStr">
        <x:is>
          <x:t xml:space="preserve">Timestamp</x:t>
        </x:is>
      </x:c>
      <x:c r="P2" s="4" t="inlineStr">
        <x:is>
          <x:t xml:space="preserve">Action ID</x:t>
        </x:is>
      </x:c>
      <x:c r="Q2" s="4" t="inlineStr">
        <x:is>
          <x:t xml:space="preserve">Multi-Target?</x:t>
        </x:is>
      </x:c>
      <x:c r="R2" s="4" t="inlineStr">
        <x:is>
          <x:t xml:space="preserve">Primary Target</x:t>
        </x:is>
      </x:c>
      <x:c r="S2" s="4" t="inlineStr">
        <x:is>
          <x:t xml:space="preserve">Target Count</x:t>
        </x:is>
      </x:c>
      <x:c r="T2" s="4" t="inlineStr">
        <x:is>
          <x:t xml:space="preserve">Target Entry Status</x:t>
        </x:is>
      </x:c>
      <x:c r="U2" s="135" t="str">
        <x:v>Weapon / Item Used</x:v>
      </x:c>
      <x:c r="V2" s="135" t="str">
        <x:v>Attack Damage Formula</x:v>
      </x:c>
      <x:c r="W2" s="135" t="str">
        <x:v>Equipment Source</x:v>
      </x:c>
    </x:row>
    <x:row r="3" ht="18" customHeight="1">
      <x:c r="A3" s="2"/>
      <x:c r="B3" s="2"/>
      <x:c r="C3" s="2"/>
      <x:c r="D3" s="2"/>
      <x:c r="E3" s="2"/>
      <x:c r="F3" s="2"/>
      <x:c r="G3" s="2"/>
      <x:c r="H3" s="2"/>
      <x:c r="I3" s="2"/>
      <x:c r="J3" s="2"/>
      <x:c r="K3" s="2"/>
      <x:c r="L3" s="2"/>
      <x:c r="M3" s="2"/>
      <x:c r="N3" s="2"/>
      <x:c r="O3" s="2"/>
      <x:c r="P3" s="2"/>
      <x:c r="Q3" s="2"/>
      <x:c r="R3" s="2"/>
      <x:c r="S3" s="2"/>
      <x:c r="T3" s="2"/>
      <x:c r="V3" t="str">
        <x:f>IF($U3="","",IFERROR(INDEX('Weapons Database'!$C$2:$C$100,MATCH($U3,'Weapons Database'!$A$2:$A$100,0))&amp;" "&amp;INDEX('Weapons Database'!$D$2:$D$100,MATCH($U3,'Weapons Database'!$A$2:$A$100,0)),""))</x:f>
      </x:c>
      <x:c r="W3" t="str">
        <x:f>IF($U3="","","Weapons Database")</x:f>
      </x:c>
    </x:row>
    <x:row r="4" ht="18" customHeight="1">
      <x:c r="A4" s="2"/>
      <x:c r="B4" s="2"/>
      <x:c r="C4" s="2"/>
      <x:c r="D4" s="2"/>
      <x:c r="E4" s="2"/>
      <x:c r="F4" s="2"/>
      <x:c r="G4" s="2"/>
      <x:c r="H4" s="2"/>
      <x:c r="I4" s="2"/>
      <x:c r="J4" s="2"/>
      <x:c r="K4" s="2"/>
      <x:c r="L4" s="2"/>
      <x:c r="M4" s="2"/>
      <x:c r="N4" s="2"/>
      <x:c r="O4" s="2"/>
      <x:c r="P4" s="2"/>
      <x:c r="Q4" s="2"/>
      <x:c r="R4" s="2"/>
      <x:c r="S4" s="2"/>
      <x:c r="T4" s="2"/>
      <x:c r="V4" t="str">
        <x:f>IF($U4="","",IFERROR(INDEX('Weapons Database'!$C$2:$C$100,MATCH($U4,'Weapons Database'!$A$2:$A$100,0))&amp;" "&amp;INDEX('Weapons Database'!$D$2:$D$100,MATCH($U4,'Weapons Database'!$A$2:$A$100,0)),""))</x:f>
      </x:c>
      <x:c r="W4" t="str">
        <x:f>IF($U4="","","Weapons Database")</x:f>
      </x:c>
    </x:row>
    <x:row r="5" ht="18" customHeight="1">
      <x:c r="A5" s="2"/>
      <x:c r="B5" s="2"/>
      <x:c r="C5" s="2"/>
      <x:c r="D5" s="2"/>
      <x:c r="E5" s="2"/>
      <x:c r="F5" s="2"/>
      <x:c r="G5" s="2"/>
      <x:c r="H5" s="2"/>
      <x:c r="I5" s="2"/>
      <x:c r="J5" s="2"/>
      <x:c r="K5" s="2"/>
      <x:c r="L5" s="2"/>
      <x:c r="M5" s="2"/>
      <x:c r="N5" s="2"/>
      <x:c r="O5" s="2"/>
      <x:c r="P5" s="2"/>
      <x:c r="Q5" s="2"/>
      <x:c r="R5" s="2"/>
      <x:c r="S5" s="2"/>
      <x:c r="T5" s="2"/>
      <x:c r="V5" t="str">
        <x:f>IF($U5="","",IFERROR(INDEX('Weapons Database'!$C$2:$C$100,MATCH($U5,'Weapons Database'!$A$2:$A$100,0))&amp;" "&amp;INDEX('Weapons Database'!$D$2:$D$100,MATCH($U5,'Weapons Database'!$A$2:$A$100,0)),""))</x:f>
      </x:c>
      <x:c r="W5" t="str">
        <x:f>IF($U5="","","Weapons Database")</x:f>
      </x:c>
    </x:row>
    <x:row r="6" ht="18" customHeight="1">
      <x:c r="A6" s="2"/>
      <x:c r="B6" s="2"/>
      <x:c r="C6" s="2"/>
      <x:c r="D6" s="2"/>
      <x:c r="E6" s="2"/>
      <x:c r="F6" s="2"/>
      <x:c r="G6" s="2"/>
      <x:c r="H6" s="2"/>
      <x:c r="I6" s="2"/>
      <x:c r="J6" s="2"/>
      <x:c r="K6" s="2"/>
      <x:c r="L6" s="2"/>
      <x:c r="M6" s="2"/>
      <x:c r="N6" s="2"/>
      <x:c r="O6" s="2"/>
      <x:c r="P6" s="2"/>
      <x:c r="Q6" s="2"/>
      <x:c r="R6" s="2"/>
      <x:c r="S6" s="2"/>
      <x:c r="T6" s="2"/>
      <x:c r="V6" t="str">
        <x:f>IF($U6="","",IFERROR(INDEX('Weapons Database'!$C$2:$C$100,MATCH($U6,'Weapons Database'!$A$2:$A$100,0))&amp;" "&amp;INDEX('Weapons Database'!$D$2:$D$100,MATCH($U6,'Weapons Database'!$A$2:$A$100,0)),""))</x:f>
      </x:c>
      <x:c r="W6" t="str">
        <x:f>IF($U6="","","Weapons Database")</x:f>
      </x:c>
    </x:row>
    <x:row r="7" ht="18" customHeight="1">
      <x:c r="A7" s="2"/>
      <x:c r="B7" s="2"/>
      <x:c r="C7" s="2"/>
      <x:c r="D7" s="2"/>
      <x:c r="E7" s="2"/>
      <x:c r="F7" s="2"/>
      <x:c r="G7" s="2"/>
      <x:c r="H7" s="2"/>
      <x:c r="I7" s="2"/>
      <x:c r="J7" s="2"/>
      <x:c r="K7" s="2"/>
      <x:c r="L7" s="2"/>
      <x:c r="M7" s="2"/>
      <x:c r="N7" s="2"/>
      <x:c r="O7" s="2"/>
      <x:c r="P7" s="2"/>
      <x:c r="Q7" s="2"/>
      <x:c r="R7" s="2"/>
      <x:c r="S7" s="2"/>
      <x:c r="T7" s="2"/>
      <x:c r="V7" t="str">
        <x:f>IF($U7="","",IFERROR(INDEX('Weapons Database'!$C$2:$C$100,MATCH($U7,'Weapons Database'!$A$2:$A$100,0))&amp;" "&amp;INDEX('Weapons Database'!$D$2:$D$100,MATCH($U7,'Weapons Database'!$A$2:$A$100,0)),""))</x:f>
      </x:c>
      <x:c r="W7" t="str">
        <x:f>IF($U7="","","Weapons Database")</x:f>
      </x:c>
    </x:row>
    <x:row r="8" ht="18" customHeight="1">
      <x:c r="A8" s="2"/>
      <x:c r="B8" s="2"/>
      <x:c r="C8" s="2"/>
      <x:c r="D8" s="2"/>
      <x:c r="E8" s="2"/>
      <x:c r="F8" s="2"/>
      <x:c r="G8" s="2"/>
      <x:c r="H8" s="2"/>
      <x:c r="I8" s="2"/>
      <x:c r="J8" s="2"/>
      <x:c r="K8" s="2"/>
      <x:c r="L8" s="2"/>
      <x:c r="M8" s="2"/>
      <x:c r="N8" s="2"/>
      <x:c r="O8" s="2"/>
      <x:c r="P8" s="2"/>
      <x:c r="Q8" s="2"/>
      <x:c r="R8" s="2"/>
      <x:c r="S8" s="2"/>
      <x:c r="T8" s="2"/>
      <x:c r="V8" t="str">
        <x:f>IF($U8="","",IFERROR(INDEX('Weapons Database'!$C$2:$C$100,MATCH($U8,'Weapons Database'!$A$2:$A$100,0))&amp;" "&amp;INDEX('Weapons Database'!$D$2:$D$100,MATCH($U8,'Weapons Database'!$A$2:$A$100,0)),""))</x:f>
      </x:c>
      <x:c r="W8" t="str">
        <x:f>IF($U8="","","Weapons Database")</x:f>
      </x:c>
    </x:row>
    <x:row r="9" ht="18" customHeight="1">
      <x:c r="A9" s="2"/>
      <x:c r="B9" s="2"/>
      <x:c r="C9" s="2"/>
      <x:c r="D9" s="2"/>
      <x:c r="E9" s="2"/>
      <x:c r="F9" s="2"/>
      <x:c r="G9" s="2"/>
      <x:c r="H9" s="2"/>
      <x:c r="I9" s="2"/>
      <x:c r="J9" s="2"/>
      <x:c r="K9" s="2"/>
      <x:c r="L9" s="2"/>
      <x:c r="M9" s="2"/>
      <x:c r="N9" s="2"/>
      <x:c r="O9" s="2"/>
      <x:c r="P9" s="2"/>
      <x:c r="Q9" s="2"/>
      <x:c r="R9" s="2"/>
      <x:c r="S9" s="2"/>
      <x:c r="T9" s="2"/>
      <x:c r="V9" t="str">
        <x:f>IF($U9="","",IFERROR(INDEX('Weapons Database'!$C$2:$C$100,MATCH($U9,'Weapons Database'!$A$2:$A$100,0))&amp;" "&amp;INDEX('Weapons Database'!$D$2:$D$100,MATCH($U9,'Weapons Database'!$A$2:$A$100,0)),""))</x:f>
      </x:c>
      <x:c r="W9" t="str">
        <x:f>IF($U9="","","Weapons Database")</x:f>
      </x:c>
    </x:row>
    <x:row r="10" ht="18" customHeight="1">
      <x:c r="A10" s="2"/>
      <x:c r="B10" s="2"/>
      <x:c r="C10" s="2"/>
      <x:c r="D10" s="2"/>
      <x:c r="E10" s="2"/>
      <x:c r="F10" s="2"/>
      <x:c r="G10" s="2"/>
      <x:c r="H10" s="2"/>
      <x:c r="I10" s="2"/>
      <x:c r="J10" s="2"/>
      <x:c r="K10" s="2"/>
      <x:c r="L10" s="2"/>
      <x:c r="M10" s="2"/>
      <x:c r="N10" s="2"/>
      <x:c r="O10" s="2"/>
      <x:c r="P10" s="2"/>
      <x:c r="Q10" s="2"/>
      <x:c r="R10" s="2"/>
      <x:c r="S10" s="2"/>
      <x:c r="T10" s="2"/>
      <x:c r="V10" t="str">
        <x:f>IF($U10="","",IFERROR(INDEX('Weapons Database'!$C$2:$C$100,MATCH($U10,'Weapons Database'!$A$2:$A$100,0))&amp;" "&amp;INDEX('Weapons Database'!$D$2:$D$100,MATCH($U10,'Weapons Database'!$A$2:$A$100,0)),""))</x:f>
      </x:c>
      <x:c r="W10" t="str">
        <x:f>IF($U10="","","Weapons Database")</x:f>
      </x:c>
    </x:row>
    <x:row r="11" ht="18" customHeight="1">
      <x:c r="A11" s="2"/>
      <x:c r="B11" s="2"/>
      <x:c r="C11" s="2"/>
      <x:c r="D11" s="2"/>
      <x:c r="E11" s="2"/>
      <x:c r="F11" s="2"/>
      <x:c r="G11" s="2"/>
      <x:c r="H11" s="2"/>
      <x:c r="I11" s="2"/>
      <x:c r="J11" s="2"/>
      <x:c r="K11" s="2"/>
      <x:c r="L11" s="2"/>
      <x:c r="M11" s="2"/>
      <x:c r="N11" s="2"/>
      <x:c r="O11" s="2"/>
      <x:c r="P11" s="2"/>
      <x:c r="Q11" s="2"/>
      <x:c r="R11" s="2"/>
      <x:c r="S11" s="2"/>
      <x:c r="T11" s="2"/>
      <x:c r="V11" t="str">
        <x:f>IF($U11="","",IFERROR(INDEX('Weapons Database'!$C$2:$C$100,MATCH($U11,'Weapons Database'!$A$2:$A$100,0))&amp;" "&amp;INDEX('Weapons Database'!$D$2:$D$100,MATCH($U11,'Weapons Database'!$A$2:$A$100,0)),""))</x:f>
      </x:c>
      <x:c r="W11" t="str">
        <x:f>IF($U11="","","Weapons Database")</x:f>
      </x:c>
    </x:row>
    <x:row r="12" ht="18" customHeight="1">
      <x:c r="A12" s="2"/>
      <x:c r="B12" s="2"/>
      <x:c r="C12" s="2"/>
      <x:c r="D12" s="2"/>
      <x:c r="E12" s="2"/>
      <x:c r="F12" s="2"/>
      <x:c r="G12" s="2"/>
      <x:c r="H12" s="2"/>
      <x:c r="I12" s="2"/>
      <x:c r="J12" s="2"/>
      <x:c r="K12" s="2"/>
      <x:c r="L12" s="2"/>
      <x:c r="M12" s="2"/>
      <x:c r="N12" s="2"/>
      <x:c r="O12" s="2"/>
      <x:c r="P12" s="2"/>
      <x:c r="Q12" s="2"/>
      <x:c r="R12" s="2"/>
      <x:c r="S12" s="2"/>
      <x:c r="T12" s="2"/>
      <x:c r="V12" t="str">
        <x:f>IF($U12="","",IFERROR(INDEX('Weapons Database'!$C$2:$C$100,MATCH($U12,'Weapons Database'!$A$2:$A$100,0))&amp;" "&amp;INDEX('Weapons Database'!$D$2:$D$100,MATCH($U12,'Weapons Database'!$A$2:$A$100,0)),""))</x:f>
      </x:c>
      <x:c r="W12" t="str">
        <x:f>IF($U12="","","Weapons Database")</x:f>
      </x:c>
    </x:row>
    <x:row r="13" ht="18" customHeight="1">
      <x:c r="A13" s="2"/>
      <x:c r="B13" s="2"/>
      <x:c r="C13" s="2"/>
      <x:c r="D13" s="2"/>
      <x:c r="E13" s="2"/>
      <x:c r="F13" s="2"/>
      <x:c r="G13" s="2"/>
      <x:c r="H13" s="2"/>
      <x:c r="I13" s="2"/>
      <x:c r="J13" s="2"/>
      <x:c r="K13" s="2"/>
      <x:c r="L13" s="2"/>
      <x:c r="M13" s="2"/>
      <x:c r="N13" s="2"/>
      <x:c r="O13" s="2"/>
      <x:c r="P13" s="2"/>
      <x:c r="Q13" s="2"/>
      <x:c r="R13" s="2"/>
      <x:c r="S13" s="2"/>
      <x:c r="T13" s="2"/>
      <x:c r="V13" t="str">
        <x:f>IF($U13="","",IFERROR(INDEX('Weapons Database'!$C$2:$C$100,MATCH($U13,'Weapons Database'!$A$2:$A$100,0))&amp;" "&amp;INDEX('Weapons Database'!$D$2:$D$100,MATCH($U13,'Weapons Database'!$A$2:$A$100,0)),""))</x:f>
      </x:c>
      <x:c r="W13" t="str">
        <x:f>IF($U13="","","Weapons Database")</x:f>
      </x:c>
    </x:row>
    <x:row r="14" ht="18" customHeight="1">
      <x:c r="A14" s="2"/>
      <x:c r="B14" s="2"/>
      <x:c r="C14" s="2"/>
      <x:c r="D14" s="2"/>
      <x:c r="E14" s="2"/>
      <x:c r="F14" s="2"/>
      <x:c r="G14" s="2"/>
      <x:c r="H14" s="2"/>
      <x:c r="I14" s="2"/>
      <x:c r="J14" s="2"/>
      <x:c r="K14" s="2"/>
      <x:c r="L14" s="2"/>
      <x:c r="M14" s="2"/>
      <x:c r="N14" s="2"/>
      <x:c r="O14" s="2"/>
      <x:c r="P14" s="2"/>
      <x:c r="Q14" s="2"/>
      <x:c r="R14" s="2"/>
      <x:c r="S14" s="2"/>
      <x:c r="T14" s="2"/>
      <x:c r="V14" t="str">
        <x:f>IF($U14="","",IFERROR(INDEX('Weapons Database'!$C$2:$C$100,MATCH($U14,'Weapons Database'!$A$2:$A$100,0))&amp;" "&amp;INDEX('Weapons Database'!$D$2:$D$100,MATCH($U14,'Weapons Database'!$A$2:$A$100,0)),""))</x:f>
      </x:c>
      <x:c r="W14" t="str">
        <x:f>IF($U14="","","Weapons Database")</x:f>
      </x:c>
    </x:row>
    <x:row r="15" ht="18" customHeight="1">
      <x:c r="A15" s="2"/>
      <x:c r="B15" s="2"/>
      <x:c r="C15" s="2"/>
      <x:c r="D15" s="2"/>
      <x:c r="E15" s="2"/>
      <x:c r="F15" s="2"/>
      <x:c r="G15" s="2"/>
      <x:c r="H15" s="2"/>
      <x:c r="I15" s="2"/>
      <x:c r="J15" s="2"/>
      <x:c r="K15" s="2"/>
      <x:c r="L15" s="2"/>
      <x:c r="M15" s="2"/>
      <x:c r="N15" s="2"/>
      <x:c r="O15" s="2"/>
      <x:c r="P15" s="2"/>
      <x:c r="Q15" s="2"/>
      <x:c r="R15" s="2"/>
      <x:c r="S15" s="2"/>
      <x:c r="T15" s="2"/>
      <x:c r="V15" t="str">
        <x:f>IF($U15="","",IFERROR(INDEX('Weapons Database'!$C$2:$C$100,MATCH($U15,'Weapons Database'!$A$2:$A$100,0))&amp;" "&amp;INDEX('Weapons Database'!$D$2:$D$100,MATCH($U15,'Weapons Database'!$A$2:$A$100,0)),""))</x:f>
      </x:c>
      <x:c r="W15" t="str">
        <x:f>IF($U15="","","Weapons Database")</x:f>
      </x:c>
    </x:row>
    <x:row r="16" ht="18" customHeight="1">
      <x:c r="A16" s="2"/>
      <x:c r="B16" s="2"/>
      <x:c r="C16" s="2"/>
      <x:c r="D16" s="2"/>
      <x:c r="E16" s="2"/>
      <x:c r="F16" s="2"/>
      <x:c r="G16" s="2"/>
      <x:c r="H16" s="2"/>
      <x:c r="I16" s="2"/>
      <x:c r="J16" s="2"/>
      <x:c r="K16" s="2"/>
      <x:c r="L16" s="2"/>
      <x:c r="M16" s="2"/>
      <x:c r="N16" s="2"/>
      <x:c r="O16" s="2"/>
      <x:c r="P16" s="2"/>
      <x:c r="Q16" s="2"/>
      <x:c r="R16" s="2"/>
      <x:c r="S16" s="2"/>
      <x:c r="T16" s="2"/>
      <x:c r="V16" t="str">
        <x:f>IF($U16="","",IFERROR(INDEX('Weapons Database'!$C$2:$C$100,MATCH($U16,'Weapons Database'!$A$2:$A$100,0))&amp;" "&amp;INDEX('Weapons Database'!$D$2:$D$100,MATCH($U16,'Weapons Database'!$A$2:$A$100,0)),""))</x:f>
      </x:c>
      <x:c r="W16" t="str">
        <x:f>IF($U16="","","Weapons Database")</x:f>
      </x:c>
    </x:row>
    <x:row r="17" ht="18" customHeight="1">
      <x:c r="A17" s="2"/>
      <x:c r="B17" s="2"/>
      <x:c r="C17" s="2"/>
      <x:c r="D17" s="2"/>
      <x:c r="E17" s="2"/>
      <x:c r="F17" s="2"/>
      <x:c r="G17" s="2"/>
      <x:c r="H17" s="2"/>
      <x:c r="I17" s="2"/>
      <x:c r="J17" s="2"/>
      <x:c r="K17" s="2"/>
      <x:c r="L17" s="2"/>
      <x:c r="M17" s="2"/>
      <x:c r="N17" s="2"/>
      <x:c r="O17" s="2"/>
      <x:c r="P17" s="2"/>
      <x:c r="Q17" s="2"/>
      <x:c r="R17" s="2"/>
      <x:c r="S17" s="2"/>
      <x:c r="T17" s="2"/>
      <x:c r="V17" t="str">
        <x:f>IF($U17="","",IFERROR(INDEX('Weapons Database'!$C$2:$C$100,MATCH($U17,'Weapons Database'!$A$2:$A$100,0))&amp;" "&amp;INDEX('Weapons Database'!$D$2:$D$100,MATCH($U17,'Weapons Database'!$A$2:$A$100,0)),""))</x:f>
      </x:c>
      <x:c r="W17" t="str">
        <x:f>IF($U17="","","Weapons Database")</x:f>
      </x:c>
    </x:row>
    <x:row r="18" ht="18" customHeight="1">
      <x:c r="A18" s="2"/>
      <x:c r="B18" s="2"/>
      <x:c r="C18" s="2"/>
      <x:c r="D18" s="2"/>
      <x:c r="E18" s="2"/>
      <x:c r="F18" s="2"/>
      <x:c r="G18" s="2"/>
      <x:c r="H18" s="2"/>
      <x:c r="I18" s="2"/>
      <x:c r="J18" s="2"/>
      <x:c r="K18" s="2"/>
      <x:c r="L18" s="2"/>
      <x:c r="M18" s="2"/>
      <x:c r="N18" s="2"/>
      <x:c r="O18" s="2"/>
      <x:c r="P18" s="2"/>
      <x:c r="Q18" s="2"/>
      <x:c r="R18" s="2"/>
      <x:c r="S18" s="2"/>
      <x:c r="T18" s="2"/>
      <x:c r="V18" t="str">
        <x:f>IF($U18="","",IFERROR(INDEX('Weapons Database'!$C$2:$C$100,MATCH($U18,'Weapons Database'!$A$2:$A$100,0))&amp;" "&amp;INDEX('Weapons Database'!$D$2:$D$100,MATCH($U18,'Weapons Database'!$A$2:$A$100,0)),""))</x:f>
      </x:c>
      <x:c r="W18" t="str">
        <x:f>IF($U18="","","Weapons Database")</x:f>
      </x:c>
    </x:row>
    <x:row r="19" ht="18" customHeight="1">
      <x:c r="A19" s="2"/>
      <x:c r="B19" s="2"/>
      <x:c r="C19" s="2"/>
      <x:c r="D19" s="2"/>
      <x:c r="E19" s="2"/>
      <x:c r="F19" s="2"/>
      <x:c r="G19" s="2"/>
      <x:c r="H19" s="2"/>
      <x:c r="I19" s="2"/>
      <x:c r="J19" s="2"/>
      <x:c r="K19" s="2"/>
      <x:c r="L19" s="2"/>
      <x:c r="M19" s="2"/>
      <x:c r="N19" s="2"/>
      <x:c r="O19" s="2"/>
      <x:c r="P19" s="2"/>
      <x:c r="Q19" s="2"/>
      <x:c r="R19" s="2"/>
      <x:c r="S19" s="2"/>
      <x:c r="T19" s="2"/>
      <x:c r="V19" t="str">
        <x:f>IF($U19="","",IFERROR(INDEX('Weapons Database'!$C$2:$C$100,MATCH($U19,'Weapons Database'!$A$2:$A$100,0))&amp;" "&amp;INDEX('Weapons Database'!$D$2:$D$100,MATCH($U19,'Weapons Database'!$A$2:$A$100,0)),""))</x:f>
      </x:c>
      <x:c r="W19" t="str">
        <x:f>IF($U19="","","Weapons Database")</x:f>
      </x:c>
    </x:row>
    <x:row r="20" ht="18" customHeight="1">
      <x:c r="A20" s="2"/>
      <x:c r="B20" s="2"/>
      <x:c r="C20" s="2"/>
      <x:c r="D20" s="2"/>
      <x:c r="E20" s="2"/>
      <x:c r="F20" s="2"/>
      <x:c r="G20" s="2"/>
      <x:c r="H20" s="2"/>
      <x:c r="I20" s="2"/>
      <x:c r="J20" s="2"/>
      <x:c r="K20" s="2"/>
      <x:c r="L20" s="2"/>
      <x:c r="M20" s="2"/>
      <x:c r="N20" s="2"/>
      <x:c r="O20" s="2"/>
      <x:c r="P20" s="2"/>
      <x:c r="Q20" s="2"/>
      <x:c r="R20" s="2"/>
      <x:c r="S20" s="2"/>
      <x:c r="T20" s="2"/>
      <x:c r="V20" t="str">
        <x:f>IF($U20="","",IFERROR(INDEX('Weapons Database'!$C$2:$C$100,MATCH($U20,'Weapons Database'!$A$2:$A$100,0))&amp;" "&amp;INDEX('Weapons Database'!$D$2:$D$100,MATCH($U20,'Weapons Database'!$A$2:$A$100,0)),""))</x:f>
      </x:c>
      <x:c r="W20" t="str">
        <x:f>IF($U20="","","Weapons Database")</x:f>
      </x:c>
    </x:row>
    <x:row r="21" ht="18" customHeight="1">
      <x:c r="A21" s="2"/>
      <x:c r="B21" s="2"/>
      <x:c r="C21" s="2"/>
      <x:c r="D21" s="2"/>
      <x:c r="E21" s="2"/>
      <x:c r="F21" s="2"/>
      <x:c r="G21" s="2"/>
      <x:c r="H21" s="2"/>
      <x:c r="I21" s="2"/>
      <x:c r="J21" s="2"/>
      <x:c r="K21" s="2"/>
      <x:c r="L21" s="2"/>
      <x:c r="M21" s="2"/>
      <x:c r="N21" s="2"/>
      <x:c r="O21" s="2"/>
      <x:c r="P21" s="2"/>
      <x:c r="Q21" s="2"/>
      <x:c r="R21" s="2"/>
      <x:c r="S21" s="2"/>
      <x:c r="T21" s="2"/>
      <x:c r="V21" t="str">
        <x:f>IF($U21="","",IFERROR(INDEX('Weapons Database'!$C$2:$C$100,MATCH($U21,'Weapons Database'!$A$2:$A$100,0))&amp;" "&amp;INDEX('Weapons Database'!$D$2:$D$100,MATCH($U21,'Weapons Database'!$A$2:$A$100,0)),""))</x:f>
      </x:c>
      <x:c r="W21" t="str">
        <x:f>IF($U21="","","Weapons Database")</x:f>
      </x:c>
    </x:row>
    <x:row r="22" ht="18" customHeight="1">
      <x:c r="A22" s="2"/>
      <x:c r="B22" s="2"/>
      <x:c r="C22" s="2"/>
      <x:c r="D22" s="2"/>
      <x:c r="E22" s="2"/>
      <x:c r="F22" s="2"/>
      <x:c r="G22" s="2"/>
      <x:c r="H22" s="2"/>
      <x:c r="I22" s="2"/>
      <x:c r="J22" s="2"/>
      <x:c r="K22" s="2"/>
      <x:c r="L22" s="2"/>
      <x:c r="M22" s="2"/>
      <x:c r="N22" s="2"/>
      <x:c r="O22" s="2"/>
      <x:c r="P22" s="2"/>
      <x:c r="Q22" s="2"/>
      <x:c r="R22" s="2"/>
      <x:c r="S22" s="2"/>
      <x:c r="T22" s="2"/>
      <x:c r="V22" t="str">
        <x:f>IF($U22="","",IFERROR(INDEX('Weapons Database'!$C$2:$C$100,MATCH($U22,'Weapons Database'!$A$2:$A$100,0))&amp;" "&amp;INDEX('Weapons Database'!$D$2:$D$100,MATCH($U22,'Weapons Database'!$A$2:$A$100,0)),""))</x:f>
      </x:c>
      <x:c r="W22" t="str">
        <x:f>IF($U22="","","Weapons Database")</x:f>
      </x:c>
    </x:row>
    <x:row r="23" ht="18" customHeight="1">
      <x:c r="A23" s="2"/>
      <x:c r="B23" s="2"/>
      <x:c r="C23" s="2"/>
      <x:c r="D23" s="2"/>
      <x:c r="E23" s="2"/>
      <x:c r="F23" s="2"/>
      <x:c r="G23" s="2"/>
      <x:c r="H23" s="2"/>
      <x:c r="I23" s="2"/>
      <x:c r="J23" s="2"/>
      <x:c r="K23" s="2"/>
      <x:c r="L23" s="2"/>
      <x:c r="M23" s="2"/>
      <x:c r="N23" s="2"/>
      <x:c r="O23" s="2"/>
      <x:c r="P23" s="2"/>
      <x:c r="Q23" s="2"/>
      <x:c r="R23" s="2"/>
      <x:c r="S23" s="2"/>
      <x:c r="T23" s="2"/>
      <x:c r="V23" t="str">
        <x:f>IF($U23="","",IFERROR(INDEX('Weapons Database'!$C$2:$C$100,MATCH($U23,'Weapons Database'!$A$2:$A$100,0))&amp;" "&amp;INDEX('Weapons Database'!$D$2:$D$100,MATCH($U23,'Weapons Database'!$A$2:$A$100,0)),""))</x:f>
      </x:c>
      <x:c r="W23" t="str">
        <x:f>IF($U23="","","Weapons Database")</x:f>
      </x:c>
    </x:row>
    <x:row r="24" ht="18" customHeight="1">
      <x:c r="A24" s="2"/>
      <x:c r="B24" s="2"/>
      <x:c r="C24" s="2"/>
      <x:c r="D24" s="2"/>
      <x:c r="E24" s="2"/>
      <x:c r="F24" s="2"/>
      <x:c r="G24" s="2"/>
      <x:c r="H24" s="2"/>
      <x:c r="I24" s="2"/>
      <x:c r="J24" s="2"/>
      <x:c r="K24" s="2"/>
      <x:c r="L24" s="2"/>
      <x:c r="M24" s="2"/>
      <x:c r="N24" s="2"/>
      <x:c r="O24" s="2"/>
      <x:c r="P24" s="2"/>
      <x:c r="Q24" s="2"/>
      <x:c r="R24" s="2"/>
      <x:c r="S24" s="2"/>
      <x:c r="T24" s="2"/>
      <x:c r="V24" t="str">
        <x:f>IF($U24="","",IFERROR(INDEX('Weapons Database'!$C$2:$C$100,MATCH($U24,'Weapons Database'!$A$2:$A$100,0))&amp;" "&amp;INDEX('Weapons Database'!$D$2:$D$100,MATCH($U24,'Weapons Database'!$A$2:$A$100,0)),""))</x:f>
      </x:c>
      <x:c r="W24" t="str">
        <x:f>IF($U24="","","Weapons Database")</x:f>
      </x:c>
    </x:row>
    <x:row r="25" ht="18" customHeight="1">
      <x:c r="A25" s="2"/>
      <x:c r="B25" s="2"/>
      <x:c r="C25" s="2"/>
      <x:c r="D25" s="2"/>
      <x:c r="E25" s="2"/>
      <x:c r="F25" s="2"/>
      <x:c r="G25" s="2"/>
      <x:c r="H25" s="2"/>
      <x:c r="I25" s="2"/>
      <x:c r="J25" s="2"/>
      <x:c r="K25" s="2"/>
      <x:c r="L25" s="2"/>
      <x:c r="M25" s="2"/>
      <x:c r="N25" s="2"/>
      <x:c r="O25" s="2"/>
      <x:c r="P25" s="2"/>
      <x:c r="Q25" s="2"/>
      <x:c r="R25" s="2"/>
      <x:c r="S25" s="2"/>
      <x:c r="T25" s="2"/>
      <x:c r="V25" t="str">
        <x:f>IF($U25="","",IFERROR(INDEX('Weapons Database'!$C$2:$C$100,MATCH($U25,'Weapons Database'!$A$2:$A$100,0))&amp;" "&amp;INDEX('Weapons Database'!$D$2:$D$100,MATCH($U25,'Weapons Database'!$A$2:$A$100,0)),""))</x:f>
      </x:c>
      <x:c r="W25" t="str">
        <x:f>IF($U25="","","Weapons Database")</x:f>
      </x:c>
    </x:row>
    <x:row r="26" ht="18" customHeight="1">
      <x:c r="A26" s="2"/>
      <x:c r="B26" s="2"/>
      <x:c r="C26" s="2"/>
      <x:c r="D26" s="2"/>
      <x:c r="E26" s="2"/>
      <x:c r="F26" s="2"/>
      <x:c r="G26" s="2"/>
      <x:c r="H26" s="2"/>
      <x:c r="I26" s="2"/>
      <x:c r="J26" s="2"/>
      <x:c r="K26" s="2"/>
      <x:c r="L26" s="2"/>
      <x:c r="M26" s="2"/>
      <x:c r="N26" s="2"/>
      <x:c r="O26" s="2"/>
      <x:c r="P26" s="2"/>
      <x:c r="Q26" s="2"/>
      <x:c r="R26" s="2"/>
      <x:c r="S26" s="2"/>
      <x:c r="T26" s="2"/>
      <x:c r="V26" t="str">
        <x:f>IF($U26="","",IFERROR(INDEX('Weapons Database'!$C$2:$C$100,MATCH($U26,'Weapons Database'!$A$2:$A$100,0))&amp;" "&amp;INDEX('Weapons Database'!$D$2:$D$100,MATCH($U26,'Weapons Database'!$A$2:$A$100,0)),""))</x:f>
      </x:c>
      <x:c r="W26" t="str">
        <x:f>IF($U26="","","Weapons Database")</x:f>
      </x:c>
    </x:row>
    <x:row r="27" ht="18" customHeight="1">
      <x:c r="A27" s="2"/>
      <x:c r="B27" s="2"/>
      <x:c r="C27" s="2"/>
      <x:c r="D27" s="2"/>
      <x:c r="E27" s="2"/>
      <x:c r="F27" s="2"/>
      <x:c r="G27" s="2"/>
      <x:c r="H27" s="2"/>
      <x:c r="I27" s="2"/>
      <x:c r="J27" s="2"/>
      <x:c r="K27" s="2"/>
      <x:c r="L27" s="2"/>
      <x:c r="M27" s="2"/>
      <x:c r="N27" s="2"/>
      <x:c r="O27" s="2"/>
      <x:c r="P27" s="2"/>
      <x:c r="Q27" s="2"/>
      <x:c r="R27" s="2"/>
      <x:c r="S27" s="2"/>
      <x:c r="T27" s="2"/>
      <x:c r="V27" t="str">
        <x:f>IF($U27="","",IFERROR(INDEX('Weapons Database'!$C$2:$C$100,MATCH($U27,'Weapons Database'!$A$2:$A$100,0))&amp;" "&amp;INDEX('Weapons Database'!$D$2:$D$100,MATCH($U27,'Weapons Database'!$A$2:$A$100,0)),""))</x:f>
      </x:c>
      <x:c r="W27" t="str">
        <x:f>IF($U27="","","Weapons Database")</x:f>
      </x:c>
    </x:row>
    <x:row r="28" ht="18" customHeight="1">
      <x:c r="A28" s="2"/>
      <x:c r="B28" s="2"/>
      <x:c r="C28" s="2"/>
      <x:c r="D28" s="2"/>
      <x:c r="E28" s="2"/>
      <x:c r="F28" s="2"/>
      <x:c r="G28" s="2"/>
      <x:c r="H28" s="2"/>
      <x:c r="I28" s="2"/>
      <x:c r="J28" s="2"/>
      <x:c r="K28" s="2"/>
      <x:c r="L28" s="2"/>
      <x:c r="M28" s="2"/>
      <x:c r="N28" s="2"/>
      <x:c r="O28" s="2"/>
      <x:c r="P28" s="2"/>
      <x:c r="Q28" s="2"/>
      <x:c r="R28" s="2"/>
      <x:c r="S28" s="2"/>
      <x:c r="T28" s="2"/>
      <x:c r="V28" t="str">
        <x:f>IF($U28="","",IFERROR(INDEX('Weapons Database'!$C$2:$C$100,MATCH($U28,'Weapons Database'!$A$2:$A$100,0))&amp;" "&amp;INDEX('Weapons Database'!$D$2:$D$100,MATCH($U28,'Weapons Database'!$A$2:$A$100,0)),""))</x:f>
      </x:c>
      <x:c r="W28" t="str">
        <x:f>IF($U28="","","Weapons Database")</x:f>
      </x:c>
    </x:row>
    <x:row r="29" ht="18" customHeight="1">
      <x:c r="A29" s="2"/>
      <x:c r="B29" s="2"/>
      <x:c r="C29" s="2"/>
      <x:c r="D29" s="2"/>
      <x:c r="E29" s="2"/>
      <x:c r="F29" s="2"/>
      <x:c r="G29" s="2"/>
      <x:c r="H29" s="2"/>
      <x:c r="I29" s="2"/>
      <x:c r="J29" s="2"/>
      <x:c r="K29" s="2"/>
      <x:c r="L29" s="2"/>
      <x:c r="M29" s="2"/>
      <x:c r="N29" s="2"/>
      <x:c r="O29" s="2"/>
      <x:c r="P29" s="2"/>
      <x:c r="Q29" s="2"/>
      <x:c r="R29" s="2"/>
      <x:c r="S29" s="2"/>
      <x:c r="T29" s="2"/>
      <x:c r="V29" t="str">
        <x:f>IF($U29="","",IFERROR(INDEX('Weapons Database'!$C$2:$C$100,MATCH($U29,'Weapons Database'!$A$2:$A$100,0))&amp;" "&amp;INDEX('Weapons Database'!$D$2:$D$100,MATCH($U29,'Weapons Database'!$A$2:$A$100,0)),""))</x:f>
      </x:c>
      <x:c r="W29" t="str">
        <x:f>IF($U29="","","Weapons Database")</x:f>
      </x:c>
    </x:row>
    <x:row r="30" ht="18" customHeight="1">
      <x:c r="A30" s="2"/>
      <x:c r="B30" s="2"/>
      <x:c r="C30" s="2"/>
      <x:c r="D30" s="2"/>
      <x:c r="E30" s="2"/>
      <x:c r="F30" s="2"/>
      <x:c r="G30" s="2"/>
      <x:c r="H30" s="2"/>
      <x:c r="I30" s="2"/>
      <x:c r="J30" s="2"/>
      <x:c r="K30" s="2"/>
      <x:c r="L30" s="2"/>
      <x:c r="M30" s="2"/>
      <x:c r="N30" s="2"/>
      <x:c r="O30" s="2"/>
      <x:c r="P30" s="2"/>
      <x:c r="Q30" s="2"/>
      <x:c r="R30" s="2"/>
      <x:c r="S30" s="2"/>
      <x:c r="T30" s="2"/>
      <x:c r="V30" t="str">
        <x:f>IF($U30="","",IFERROR(INDEX('Weapons Database'!$C$2:$C$100,MATCH($U30,'Weapons Database'!$A$2:$A$100,0))&amp;" "&amp;INDEX('Weapons Database'!$D$2:$D$100,MATCH($U30,'Weapons Database'!$A$2:$A$100,0)),""))</x:f>
      </x:c>
      <x:c r="W30" t="str">
        <x:f>IF($U30="","","Weapons Database")</x:f>
      </x:c>
    </x:row>
    <x:row r="31" ht="18" customHeight="1">
      <x:c r="A31" s="2"/>
      <x:c r="B31" s="2"/>
      <x:c r="C31" s="2"/>
      <x:c r="D31" s="2"/>
      <x:c r="E31" s="2"/>
      <x:c r="F31" s="2"/>
      <x:c r="G31" s="2"/>
      <x:c r="H31" s="2"/>
      <x:c r="I31" s="2"/>
      <x:c r="J31" s="2"/>
      <x:c r="K31" s="2"/>
      <x:c r="L31" s="2"/>
      <x:c r="M31" s="2"/>
      <x:c r="N31" s="2"/>
      <x:c r="O31" s="2"/>
      <x:c r="P31" s="2"/>
      <x:c r="Q31" s="2"/>
      <x:c r="R31" s="2"/>
      <x:c r="S31" s="2"/>
      <x:c r="T31" s="2"/>
      <x:c r="V31" t="str">
        <x:f>IF($U31="","",IFERROR(INDEX('Weapons Database'!$C$2:$C$100,MATCH($U31,'Weapons Database'!$A$2:$A$100,0))&amp;" "&amp;INDEX('Weapons Database'!$D$2:$D$100,MATCH($U31,'Weapons Database'!$A$2:$A$100,0)),""))</x:f>
      </x:c>
      <x:c r="W31" t="str">
        <x:f>IF($U31="","","Weapons Database")</x:f>
      </x:c>
    </x:row>
    <x:row r="32" ht="18" customHeight="1">
      <x:c r="A32" s="2"/>
      <x:c r="B32" s="2"/>
      <x:c r="C32" s="2"/>
      <x:c r="D32" s="2"/>
      <x:c r="E32" s="2"/>
      <x:c r="F32" s="2"/>
      <x:c r="G32" s="2"/>
      <x:c r="H32" s="2"/>
      <x:c r="I32" s="2"/>
      <x:c r="J32" s="2"/>
      <x:c r="K32" s="2"/>
      <x:c r="L32" s="2"/>
      <x:c r="M32" s="2"/>
      <x:c r="N32" s="2"/>
      <x:c r="O32" s="2"/>
      <x:c r="P32" s="2"/>
      <x:c r="Q32" s="2"/>
      <x:c r="R32" s="2"/>
      <x:c r="S32" s="2"/>
      <x:c r="T32" s="2"/>
      <x:c r="V32" t="str">
        <x:f>IF($U32="","",IFERROR(INDEX('Weapons Database'!$C$2:$C$100,MATCH($U32,'Weapons Database'!$A$2:$A$100,0))&amp;" "&amp;INDEX('Weapons Database'!$D$2:$D$100,MATCH($U32,'Weapons Database'!$A$2:$A$100,0)),""))</x:f>
      </x:c>
      <x:c r="W32" t="str">
        <x:f>IF($U32="","","Weapons Database")</x:f>
      </x:c>
    </x:row>
    <x:row r="33">
      <x:c r="V33" t="str">
        <x:f>IF($U33="","",IFERROR(INDEX('Weapons Database'!$C$2:$C$100,MATCH($U33,'Weapons Database'!$A$2:$A$100,0))&amp;" "&amp;INDEX('Weapons Database'!$D$2:$D$100,MATCH($U33,'Weapons Database'!$A$2:$A$100,0)),""))</x:f>
      </x:c>
      <x:c r="W33" t="str">
        <x:f>IF($U33="","","Weapons Database")</x:f>
      </x:c>
    </x:row>
    <x:row r="34">
      <x:c r="V34" t="str">
        <x:f>IF($U34="","",IFERROR(INDEX('Weapons Database'!$C$2:$C$100,MATCH($U34,'Weapons Database'!$A$2:$A$100,0))&amp;" "&amp;INDEX('Weapons Database'!$D$2:$D$100,MATCH($U34,'Weapons Database'!$A$2:$A$100,0)),""))</x:f>
      </x:c>
      <x:c r="W34" t="str">
        <x:f>IF($U34="","","Weapons Database")</x:f>
      </x:c>
    </x:row>
    <x:row r="35">
      <x:c r="V35" t="str">
        <x:f>IF($U35="","",IFERROR(INDEX('Weapons Database'!$C$2:$C$100,MATCH($U35,'Weapons Database'!$A$2:$A$100,0))&amp;" "&amp;INDEX('Weapons Database'!$D$2:$D$100,MATCH($U35,'Weapons Database'!$A$2:$A$100,0)),""))</x:f>
      </x:c>
      <x:c r="W35" t="str">
        <x:f>IF($U35="","","Weapons Database")</x:f>
      </x:c>
    </x:row>
    <x:row r="36">
      <x:c r="V36" t="str">
        <x:f>IF($U36="","",IFERROR(INDEX('Weapons Database'!$C$2:$C$100,MATCH($U36,'Weapons Database'!$A$2:$A$100,0))&amp;" "&amp;INDEX('Weapons Database'!$D$2:$D$100,MATCH($U36,'Weapons Database'!$A$2:$A$100,0)),""))</x:f>
      </x:c>
      <x:c r="W36" t="str">
        <x:f>IF($U36="","","Weapons Database")</x:f>
      </x:c>
    </x:row>
    <x:row r="37">
      <x:c r="V37" t="str">
        <x:f>IF($U37="","",IFERROR(INDEX('Weapons Database'!$C$2:$C$100,MATCH($U37,'Weapons Database'!$A$2:$A$100,0))&amp;" "&amp;INDEX('Weapons Database'!$D$2:$D$100,MATCH($U37,'Weapons Database'!$A$2:$A$100,0)),""))</x:f>
      </x:c>
      <x:c r="W37" t="str">
        <x:f>IF($U37="","","Weapons Database")</x:f>
      </x:c>
    </x:row>
    <x:row r="38">
      <x:c r="V38" t="str">
        <x:f>IF($U38="","",IFERROR(INDEX('Weapons Database'!$C$2:$C$100,MATCH($U38,'Weapons Database'!$A$2:$A$100,0))&amp;" "&amp;INDEX('Weapons Database'!$D$2:$D$100,MATCH($U38,'Weapons Database'!$A$2:$A$100,0)),""))</x:f>
      </x:c>
      <x:c r="W38" t="str">
        <x:f>IF($U38="","","Weapons Database")</x:f>
      </x:c>
    </x:row>
    <x:row r="39">
      <x:c r="V39" t="str">
        <x:f>IF($U39="","",IFERROR(INDEX('Weapons Database'!$C$2:$C$100,MATCH($U39,'Weapons Database'!$A$2:$A$100,0))&amp;" "&amp;INDEX('Weapons Database'!$D$2:$D$100,MATCH($U39,'Weapons Database'!$A$2:$A$100,0)),""))</x:f>
      </x:c>
      <x:c r="W39" t="str">
        <x:f>IF($U39="","","Weapons Database")</x:f>
      </x:c>
    </x:row>
    <x:row r="40">
      <x:c r="V40" t="str">
        <x:f>IF($U40="","",IFERROR(INDEX('Weapons Database'!$C$2:$C$100,MATCH($U40,'Weapons Database'!$A$2:$A$100,0))&amp;" "&amp;INDEX('Weapons Database'!$D$2:$D$100,MATCH($U40,'Weapons Database'!$A$2:$A$100,0)),""))</x:f>
      </x:c>
      <x:c r="W40" t="str">
        <x:f>IF($U40="","","Weapons Database")</x:f>
      </x:c>
    </x:row>
    <x:row r="41">
      <x:c r="V41" t="str">
        <x:f>IF($U41="","",IFERROR(INDEX('Weapons Database'!$C$2:$C$100,MATCH($U41,'Weapons Database'!$A$2:$A$100,0))&amp;" "&amp;INDEX('Weapons Database'!$D$2:$D$100,MATCH($U41,'Weapons Database'!$A$2:$A$100,0)),""))</x:f>
      </x:c>
      <x:c r="W41" t="str">
        <x:f>IF($U41="","","Weapons Database")</x:f>
      </x:c>
    </x:row>
    <x:row r="42">
      <x:c r="V42" t="str">
        <x:f>IF($U42="","",IFERROR(INDEX('Weapons Database'!$C$2:$C$100,MATCH($U42,'Weapons Database'!$A$2:$A$100,0))&amp;" "&amp;INDEX('Weapons Database'!$D$2:$D$100,MATCH($U42,'Weapons Database'!$A$2:$A$100,0)),""))</x:f>
      </x:c>
      <x:c r="W42" t="str">
        <x:f>IF($U42="","","Weapons Database")</x:f>
      </x:c>
    </x:row>
    <x:row r="43">
      <x:c r="V43" t="str">
        <x:f>IF($U43="","",IFERROR(INDEX('Weapons Database'!$C$2:$C$100,MATCH($U43,'Weapons Database'!$A$2:$A$100,0))&amp;" "&amp;INDEX('Weapons Database'!$D$2:$D$100,MATCH($U43,'Weapons Database'!$A$2:$A$100,0)),""))</x:f>
      </x:c>
      <x:c r="W43" t="str">
        <x:f>IF($U43="","","Weapons Database")</x:f>
      </x:c>
    </x:row>
    <x:row r="44">
      <x:c r="V44" t="str">
        <x:f>IF($U44="","",IFERROR(INDEX('Weapons Database'!$C$2:$C$100,MATCH($U44,'Weapons Database'!$A$2:$A$100,0))&amp;" "&amp;INDEX('Weapons Database'!$D$2:$D$100,MATCH($U44,'Weapons Database'!$A$2:$A$100,0)),""))</x:f>
      </x:c>
      <x:c r="W44" t="str">
        <x:f>IF($U44="","","Weapons Database")</x:f>
      </x:c>
    </x:row>
    <x:row r="45">
      <x:c r="V45" t="str">
        <x:f>IF($U45="","",IFERROR(INDEX('Weapons Database'!$C$2:$C$100,MATCH($U45,'Weapons Database'!$A$2:$A$100,0))&amp;" "&amp;INDEX('Weapons Database'!$D$2:$D$100,MATCH($U45,'Weapons Database'!$A$2:$A$100,0)),""))</x:f>
      </x:c>
      <x:c r="W45" t="str">
        <x:f>IF($U45="","","Weapons Database")</x:f>
      </x:c>
    </x:row>
    <x:row r="46">
      <x:c r="V46" t="str">
        <x:f>IF($U46="","",IFERROR(INDEX('Weapons Database'!$C$2:$C$100,MATCH($U46,'Weapons Database'!$A$2:$A$100,0))&amp;" "&amp;INDEX('Weapons Database'!$D$2:$D$100,MATCH($U46,'Weapons Database'!$A$2:$A$100,0)),""))</x:f>
      </x:c>
      <x:c r="W46" t="str">
        <x:f>IF($U46="","","Weapons Database")</x:f>
      </x:c>
    </x:row>
    <x:row r="47">
      <x:c r="V47" t="str">
        <x:f>IF($U47="","",IFERROR(INDEX('Weapons Database'!$C$2:$C$100,MATCH($U47,'Weapons Database'!$A$2:$A$100,0))&amp;" "&amp;INDEX('Weapons Database'!$D$2:$D$100,MATCH($U47,'Weapons Database'!$A$2:$A$100,0)),""))</x:f>
      </x:c>
      <x:c r="W47" t="str">
        <x:f>IF($U47="","","Weapons Database")</x:f>
      </x:c>
    </x:row>
    <x:row r="48">
      <x:c r="V48" t="str">
        <x:f>IF($U48="","",IFERROR(INDEX('Weapons Database'!$C$2:$C$100,MATCH($U48,'Weapons Database'!$A$2:$A$100,0))&amp;" "&amp;INDEX('Weapons Database'!$D$2:$D$100,MATCH($U48,'Weapons Database'!$A$2:$A$100,0)),""))</x:f>
      </x:c>
      <x:c r="W48" t="str">
        <x:f>IF($U48="","","Weapons Database")</x:f>
      </x:c>
    </x:row>
    <x:row r="49">
      <x:c r="V49" t="str">
        <x:f>IF($U49="","",IFERROR(INDEX('Weapons Database'!$C$2:$C$100,MATCH($U49,'Weapons Database'!$A$2:$A$100,0))&amp;" "&amp;INDEX('Weapons Database'!$D$2:$D$100,MATCH($U49,'Weapons Database'!$A$2:$A$100,0)),""))</x:f>
      </x:c>
      <x:c r="W49" t="str">
        <x:f>IF($U49="","","Weapons Database")</x:f>
      </x:c>
    </x:row>
    <x:row r="50">
      <x:c r="V50" t="str">
        <x:f>IF($U50="","",IFERROR(INDEX('Weapons Database'!$C$2:$C$100,MATCH($U50,'Weapons Database'!$A$2:$A$100,0))&amp;" "&amp;INDEX('Weapons Database'!$D$2:$D$100,MATCH($U50,'Weapons Database'!$A$2:$A$100,0)),""))</x:f>
      </x:c>
      <x:c r="W50" t="str">
        <x:f>IF($U50="","","Weapons Database")</x:f>
      </x:c>
    </x:row>
    <x:row r="51">
      <x:c r="V51" t="str">
        <x:f>IF($U51="","",IFERROR(INDEX('Weapons Database'!$C$2:$C$100,MATCH($U51,'Weapons Database'!$A$2:$A$100,0))&amp;" "&amp;INDEX('Weapons Database'!$D$2:$D$100,MATCH($U51,'Weapons Database'!$A$2:$A$100,0)),""))</x:f>
      </x:c>
      <x:c r="W51" t="str">
        <x:f>IF($U51="","","Weapons Database")</x:f>
      </x:c>
    </x:row>
    <x:row r="52">
      <x:c r="V52" t="str">
        <x:f>IF($U52="","",IFERROR(INDEX('Weapons Database'!$C$2:$C$100,MATCH($U52,'Weapons Database'!$A$2:$A$100,0))&amp;" "&amp;INDEX('Weapons Database'!$D$2:$D$100,MATCH($U52,'Weapons Database'!$A$2:$A$100,0)),""))</x:f>
      </x:c>
      <x:c r="W52" t="str">
        <x:f>IF($U52="","","Weapons Database")</x:f>
      </x:c>
    </x:row>
    <x:row r="53">
      <x:c r="V53" t="str">
        <x:f>IF($U53="","",IFERROR(INDEX('Weapons Database'!$C$2:$C$100,MATCH($U53,'Weapons Database'!$A$2:$A$100,0))&amp;" "&amp;INDEX('Weapons Database'!$D$2:$D$100,MATCH($U53,'Weapons Database'!$A$2:$A$100,0)),""))</x:f>
      </x:c>
      <x:c r="W53" t="str">
        <x:f>IF($U53="","","Weapons Database")</x:f>
      </x:c>
    </x:row>
    <x:row r="54">
      <x:c r="V54" t="str">
        <x:f>IF($U54="","",IFERROR(INDEX('Weapons Database'!$C$2:$C$100,MATCH($U54,'Weapons Database'!$A$2:$A$100,0))&amp;" "&amp;INDEX('Weapons Database'!$D$2:$D$100,MATCH($U54,'Weapons Database'!$A$2:$A$100,0)),""))</x:f>
      </x:c>
      <x:c r="W54" t="str">
        <x:f>IF($U54="","","Weapons Database")</x:f>
      </x:c>
    </x:row>
    <x:row r="55">
      <x:c r="V55" t="str">
        <x:f>IF($U55="","",IFERROR(INDEX('Weapons Database'!$C$2:$C$100,MATCH($U55,'Weapons Database'!$A$2:$A$100,0))&amp;" "&amp;INDEX('Weapons Database'!$D$2:$D$100,MATCH($U55,'Weapons Database'!$A$2:$A$100,0)),""))</x:f>
      </x:c>
      <x:c r="W55" t="str">
        <x:f>IF($U55="","","Weapons Database")</x:f>
      </x:c>
    </x:row>
    <x:row r="56">
      <x:c r="V56" t="str">
        <x:f>IF($U56="","",IFERROR(INDEX('Weapons Database'!$C$2:$C$100,MATCH($U56,'Weapons Database'!$A$2:$A$100,0))&amp;" "&amp;INDEX('Weapons Database'!$D$2:$D$100,MATCH($U56,'Weapons Database'!$A$2:$A$100,0)),""))</x:f>
      </x:c>
      <x:c r="W56" t="str">
        <x:f>IF($U56="","","Weapons Database")</x:f>
      </x:c>
    </x:row>
    <x:row r="57">
      <x:c r="V57" t="str">
        <x:f>IF($U57="","",IFERROR(INDEX('Weapons Database'!$C$2:$C$100,MATCH($U57,'Weapons Database'!$A$2:$A$100,0))&amp;" "&amp;INDEX('Weapons Database'!$D$2:$D$100,MATCH($U57,'Weapons Database'!$A$2:$A$100,0)),""))</x:f>
      </x:c>
      <x:c r="W57" t="str">
        <x:f>IF($U57="","","Weapons Database")</x:f>
      </x:c>
    </x:row>
    <x:row r="58">
      <x:c r="V58" t="str">
        <x:f>IF($U58="","",IFERROR(INDEX('Weapons Database'!$C$2:$C$100,MATCH($U58,'Weapons Database'!$A$2:$A$100,0))&amp;" "&amp;INDEX('Weapons Database'!$D$2:$D$100,MATCH($U58,'Weapons Database'!$A$2:$A$100,0)),""))</x:f>
      </x:c>
      <x:c r="W58" t="str">
        <x:f>IF($U58="","","Weapons Database")</x:f>
      </x:c>
    </x:row>
    <x:row r="59">
      <x:c r="V59" t="str">
        <x:f>IF($U59="","",IFERROR(INDEX('Weapons Database'!$C$2:$C$100,MATCH($U59,'Weapons Database'!$A$2:$A$100,0))&amp;" "&amp;INDEX('Weapons Database'!$D$2:$D$100,MATCH($U59,'Weapons Database'!$A$2:$A$100,0)),""))</x:f>
      </x:c>
      <x:c r="W59" t="str">
        <x:f>IF($U59="","","Weapons Database")</x:f>
      </x:c>
    </x:row>
    <x:row r="60">
      <x:c r="V60" t="str">
        <x:f>IF($U60="","",IFERROR(INDEX('Weapons Database'!$C$2:$C$100,MATCH($U60,'Weapons Database'!$A$2:$A$100,0))&amp;" "&amp;INDEX('Weapons Database'!$D$2:$D$100,MATCH($U60,'Weapons Database'!$A$2:$A$100,0)),""))</x:f>
      </x:c>
      <x:c r="W60" t="str">
        <x:f>IF($U60="","","Weapons Database")</x:f>
      </x:c>
    </x:row>
    <x:row r="61">
      <x:c r="V61" t="str">
        <x:f>IF($U61="","",IFERROR(INDEX('Weapons Database'!$C$2:$C$100,MATCH($U61,'Weapons Database'!$A$2:$A$100,0))&amp;" "&amp;INDEX('Weapons Database'!$D$2:$D$100,MATCH($U61,'Weapons Database'!$A$2:$A$100,0)),""))</x:f>
      </x:c>
      <x:c r="W61" t="str">
        <x:f>IF($U61="","","Weapons Database")</x:f>
      </x:c>
    </x:row>
    <x:row r="62">
      <x:c r="V62" t="str">
        <x:f>IF($U62="","",IFERROR(INDEX('Weapons Database'!$C$2:$C$100,MATCH($U62,'Weapons Database'!$A$2:$A$100,0))&amp;" "&amp;INDEX('Weapons Database'!$D$2:$D$100,MATCH($U62,'Weapons Database'!$A$2:$A$100,0)),""))</x:f>
      </x:c>
      <x:c r="W62" t="str">
        <x:f>IF($U62="","","Weapons Database")</x:f>
      </x:c>
    </x:row>
    <x:row r="63">
      <x:c r="V63" t="str">
        <x:f>IF($U63="","",IFERROR(INDEX('Weapons Database'!$C$2:$C$100,MATCH($U63,'Weapons Database'!$A$2:$A$100,0))&amp;" "&amp;INDEX('Weapons Database'!$D$2:$D$100,MATCH($U63,'Weapons Database'!$A$2:$A$100,0)),""))</x:f>
      </x:c>
      <x:c r="W63" t="str">
        <x:f>IF($U63="","","Weapons Database")</x:f>
      </x:c>
    </x:row>
    <x:row r="64">
      <x:c r="V64" t="str">
        <x:f>IF($U64="","",IFERROR(INDEX('Weapons Database'!$C$2:$C$100,MATCH($U64,'Weapons Database'!$A$2:$A$100,0))&amp;" "&amp;INDEX('Weapons Database'!$D$2:$D$100,MATCH($U64,'Weapons Database'!$A$2:$A$100,0)),""))</x:f>
      </x:c>
      <x:c r="W64" t="str">
        <x:f>IF($U64="","","Weapons Database")</x:f>
      </x:c>
    </x:row>
    <x:row r="65">
      <x:c r="V65" t="str">
        <x:f>IF($U65="","",IFERROR(INDEX('Weapons Database'!$C$2:$C$100,MATCH($U65,'Weapons Database'!$A$2:$A$100,0))&amp;" "&amp;INDEX('Weapons Database'!$D$2:$D$100,MATCH($U65,'Weapons Database'!$A$2:$A$100,0)),""))</x:f>
      </x:c>
      <x:c r="W65" t="str">
        <x:f>IF($U65="","","Weapons Database")</x:f>
      </x:c>
    </x:row>
    <x:row r="66">
      <x:c r="V66" t="str">
        <x:f>IF($U66="","",IFERROR(INDEX('Weapons Database'!$C$2:$C$100,MATCH($U66,'Weapons Database'!$A$2:$A$100,0))&amp;" "&amp;INDEX('Weapons Database'!$D$2:$D$100,MATCH($U66,'Weapons Database'!$A$2:$A$100,0)),""))</x:f>
      </x:c>
      <x:c r="W66" t="str">
        <x:f>IF($U66="","","Weapons Database")</x:f>
      </x:c>
    </x:row>
    <x:row r="67">
      <x:c r="V67" t="str">
        <x:f>IF($U67="","",IFERROR(INDEX('Weapons Database'!$C$2:$C$100,MATCH($U67,'Weapons Database'!$A$2:$A$100,0))&amp;" "&amp;INDEX('Weapons Database'!$D$2:$D$100,MATCH($U67,'Weapons Database'!$A$2:$A$100,0)),""))</x:f>
      </x:c>
      <x:c r="W67" t="str">
        <x:f>IF($U67="","","Weapons Database")</x:f>
      </x:c>
    </x:row>
    <x:row r="68">
      <x:c r="V68" t="str">
        <x:f>IF($U68="","",IFERROR(INDEX('Weapons Database'!$C$2:$C$100,MATCH($U68,'Weapons Database'!$A$2:$A$100,0))&amp;" "&amp;INDEX('Weapons Database'!$D$2:$D$100,MATCH($U68,'Weapons Database'!$A$2:$A$100,0)),""))</x:f>
      </x:c>
      <x:c r="W68" t="str">
        <x:f>IF($U68="","","Weapons Database")</x:f>
      </x:c>
    </x:row>
    <x:row r="69">
      <x:c r="V69" t="str">
        <x:f>IF($U69="","",IFERROR(INDEX('Weapons Database'!$C$2:$C$100,MATCH($U69,'Weapons Database'!$A$2:$A$100,0))&amp;" "&amp;INDEX('Weapons Database'!$D$2:$D$100,MATCH($U69,'Weapons Database'!$A$2:$A$100,0)),""))</x:f>
      </x:c>
      <x:c r="W69" t="str">
        <x:f>IF($U69="","","Weapons Database")</x:f>
      </x:c>
    </x:row>
    <x:row r="70">
      <x:c r="V70" t="str">
        <x:f>IF($U70="","",IFERROR(INDEX('Weapons Database'!$C$2:$C$100,MATCH($U70,'Weapons Database'!$A$2:$A$100,0))&amp;" "&amp;INDEX('Weapons Database'!$D$2:$D$100,MATCH($U70,'Weapons Database'!$A$2:$A$100,0)),""))</x:f>
      </x:c>
      <x:c r="W70" t="str">
        <x:f>IF($U70="","","Weapons Database")</x:f>
      </x:c>
    </x:row>
    <x:row r="71">
      <x:c r="V71" t="str">
        <x:f>IF($U71="","",IFERROR(INDEX('Weapons Database'!$C$2:$C$100,MATCH($U71,'Weapons Database'!$A$2:$A$100,0))&amp;" "&amp;INDEX('Weapons Database'!$D$2:$D$100,MATCH($U71,'Weapons Database'!$A$2:$A$100,0)),""))</x:f>
      </x:c>
      <x:c r="W71" t="str">
        <x:f>IF($U71="","","Weapons Database")</x:f>
      </x:c>
    </x:row>
    <x:row r="72">
      <x:c r="V72" t="str">
        <x:f>IF($U72="","",IFERROR(INDEX('Weapons Database'!$C$2:$C$100,MATCH($U72,'Weapons Database'!$A$2:$A$100,0))&amp;" "&amp;INDEX('Weapons Database'!$D$2:$D$100,MATCH($U72,'Weapons Database'!$A$2:$A$100,0)),""))</x:f>
      </x:c>
      <x:c r="W72" t="str">
        <x:f>IF($U72="","","Weapons Database")</x:f>
      </x:c>
    </x:row>
    <x:row r="73">
      <x:c r="V73" t="str">
        <x:f>IF($U73="","",IFERROR(INDEX('Weapons Database'!$C$2:$C$100,MATCH($U73,'Weapons Database'!$A$2:$A$100,0))&amp;" "&amp;INDEX('Weapons Database'!$D$2:$D$100,MATCH($U73,'Weapons Database'!$A$2:$A$100,0)),""))</x:f>
      </x:c>
      <x:c r="W73" t="str">
        <x:f>IF($U73="","","Weapons Database")</x:f>
      </x:c>
    </x:row>
    <x:row r="74">
      <x:c r="V74" t="str">
        <x:f>IF($U74="","",IFERROR(INDEX('Weapons Database'!$C$2:$C$100,MATCH($U74,'Weapons Database'!$A$2:$A$100,0))&amp;" "&amp;INDEX('Weapons Database'!$D$2:$D$100,MATCH($U74,'Weapons Database'!$A$2:$A$100,0)),""))</x:f>
      </x:c>
      <x:c r="W74" t="str">
        <x:f>IF($U74="","","Weapons Database")</x:f>
      </x:c>
    </x:row>
    <x:row r="75">
      <x:c r="V75" t="str">
        <x:f>IF($U75="","",IFERROR(INDEX('Weapons Database'!$C$2:$C$100,MATCH($U75,'Weapons Database'!$A$2:$A$100,0))&amp;" "&amp;INDEX('Weapons Database'!$D$2:$D$100,MATCH($U75,'Weapons Database'!$A$2:$A$100,0)),""))</x:f>
      </x:c>
      <x:c r="W75" t="str">
        <x:f>IF($U75="","","Weapons Database")</x:f>
      </x:c>
    </x:row>
    <x:row r="76">
      <x:c r="V76" t="str">
        <x:f>IF($U76="","",IFERROR(INDEX('Weapons Database'!$C$2:$C$100,MATCH($U76,'Weapons Database'!$A$2:$A$100,0))&amp;" "&amp;INDEX('Weapons Database'!$D$2:$D$100,MATCH($U76,'Weapons Database'!$A$2:$A$100,0)),""))</x:f>
      </x:c>
      <x:c r="W76" t="str">
        <x:f>IF($U76="","","Weapons Database")</x:f>
      </x:c>
    </x:row>
    <x:row r="77">
      <x:c r="V77" t="str">
        <x:f>IF($U77="","",IFERROR(INDEX('Weapons Database'!$C$2:$C$100,MATCH($U77,'Weapons Database'!$A$2:$A$100,0))&amp;" "&amp;INDEX('Weapons Database'!$D$2:$D$100,MATCH($U77,'Weapons Database'!$A$2:$A$100,0)),""))</x:f>
      </x:c>
      <x:c r="W77" t="str">
        <x:f>IF($U77="","","Weapons Database")</x:f>
      </x:c>
    </x:row>
    <x:row r="78">
      <x:c r="V78" t="str">
        <x:f>IF($U78="","",IFERROR(INDEX('Weapons Database'!$C$2:$C$100,MATCH($U78,'Weapons Database'!$A$2:$A$100,0))&amp;" "&amp;INDEX('Weapons Database'!$D$2:$D$100,MATCH($U78,'Weapons Database'!$A$2:$A$100,0)),""))</x:f>
      </x:c>
      <x:c r="W78" t="str">
        <x:f>IF($U78="","","Weapons Database")</x:f>
      </x:c>
    </x:row>
    <x:row r="79">
      <x:c r="V79" t="str">
        <x:f>IF($U79="","",IFERROR(INDEX('Weapons Database'!$C$2:$C$100,MATCH($U79,'Weapons Database'!$A$2:$A$100,0))&amp;" "&amp;INDEX('Weapons Database'!$D$2:$D$100,MATCH($U79,'Weapons Database'!$A$2:$A$100,0)),""))</x:f>
      </x:c>
      <x:c r="W79" t="str">
        <x:f>IF($U79="","","Weapons Database")</x:f>
      </x:c>
    </x:row>
    <x:row r="80">
      <x:c r="V80" t="str">
        <x:f>IF($U80="","",IFERROR(INDEX('Weapons Database'!$C$2:$C$100,MATCH($U80,'Weapons Database'!$A$2:$A$100,0))&amp;" "&amp;INDEX('Weapons Database'!$D$2:$D$100,MATCH($U80,'Weapons Database'!$A$2:$A$100,0)),""))</x:f>
      </x:c>
      <x:c r="W80" t="str">
        <x:f>IF($U80="","","Weapons Database")</x:f>
      </x:c>
    </x:row>
    <x:row r="81">
      <x:c r="V81" t="str">
        <x:f>IF($U81="","",IFERROR(INDEX('Weapons Database'!$C$2:$C$100,MATCH($U81,'Weapons Database'!$A$2:$A$100,0))&amp;" "&amp;INDEX('Weapons Database'!$D$2:$D$100,MATCH($U81,'Weapons Database'!$A$2:$A$100,0)),""))</x:f>
      </x:c>
      <x:c r="W81" t="str">
        <x:f>IF($U81="","","Weapons Database")</x:f>
      </x:c>
    </x:row>
    <x:row r="82">
      <x:c r="V82" t="str">
        <x:f>IF($U82="","",IFERROR(INDEX('Weapons Database'!$C$2:$C$100,MATCH($U82,'Weapons Database'!$A$2:$A$100,0))&amp;" "&amp;INDEX('Weapons Database'!$D$2:$D$100,MATCH($U82,'Weapons Database'!$A$2:$A$100,0)),""))</x:f>
      </x:c>
      <x:c r="W82" t="str">
        <x:f>IF($U82="","","Weapons Database")</x:f>
      </x:c>
    </x:row>
    <x:row r="83">
      <x:c r="V83" t="str">
        <x:f>IF($U83="","",IFERROR(INDEX('Weapons Database'!$C$2:$C$100,MATCH($U83,'Weapons Database'!$A$2:$A$100,0))&amp;" "&amp;INDEX('Weapons Database'!$D$2:$D$100,MATCH($U83,'Weapons Database'!$A$2:$A$100,0)),""))</x:f>
      </x:c>
      <x:c r="W83" t="str">
        <x:f>IF($U83="","","Weapons Database")</x:f>
      </x:c>
    </x:row>
    <x:row r="84">
      <x:c r="V84" t="str">
        <x:f>IF($U84="","",IFERROR(INDEX('Weapons Database'!$C$2:$C$100,MATCH($U84,'Weapons Database'!$A$2:$A$100,0))&amp;" "&amp;INDEX('Weapons Database'!$D$2:$D$100,MATCH($U84,'Weapons Database'!$A$2:$A$100,0)),""))</x:f>
      </x:c>
      <x:c r="W84" t="str">
        <x:f>IF($U84="","","Weapons Database")</x:f>
      </x:c>
    </x:row>
    <x:row r="85">
      <x:c r="V85" t="str">
        <x:f>IF($U85="","",IFERROR(INDEX('Weapons Database'!$C$2:$C$100,MATCH($U85,'Weapons Database'!$A$2:$A$100,0))&amp;" "&amp;INDEX('Weapons Database'!$D$2:$D$100,MATCH($U85,'Weapons Database'!$A$2:$A$100,0)),""))</x:f>
      </x:c>
      <x:c r="W85" t="str">
        <x:f>IF($U85="","","Weapons Database")</x:f>
      </x:c>
    </x:row>
    <x:row r="86">
      <x:c r="V86" t="str">
        <x:f>IF($U86="","",IFERROR(INDEX('Weapons Database'!$C$2:$C$100,MATCH($U86,'Weapons Database'!$A$2:$A$100,0))&amp;" "&amp;INDEX('Weapons Database'!$D$2:$D$100,MATCH($U86,'Weapons Database'!$A$2:$A$100,0)),""))</x:f>
      </x:c>
      <x:c r="W86" t="str">
        <x:f>IF($U86="","","Weapons Database")</x:f>
      </x:c>
    </x:row>
    <x:row r="87">
      <x:c r="V87" t="str">
        <x:f>IF($U87="","",IFERROR(INDEX('Weapons Database'!$C$2:$C$100,MATCH($U87,'Weapons Database'!$A$2:$A$100,0))&amp;" "&amp;INDEX('Weapons Database'!$D$2:$D$100,MATCH($U87,'Weapons Database'!$A$2:$A$100,0)),""))</x:f>
      </x:c>
      <x:c r="W87" t="str">
        <x:f>IF($U87="","","Weapons Database")</x:f>
      </x:c>
    </x:row>
    <x:row r="88">
      <x:c r="V88" t="str">
        <x:f>IF($U88="","",IFERROR(INDEX('Weapons Database'!$C$2:$C$100,MATCH($U88,'Weapons Database'!$A$2:$A$100,0))&amp;" "&amp;INDEX('Weapons Database'!$D$2:$D$100,MATCH($U88,'Weapons Database'!$A$2:$A$100,0)),""))</x:f>
      </x:c>
      <x:c r="W88" t="str">
        <x:f>IF($U88="","","Weapons Database")</x:f>
      </x:c>
    </x:row>
    <x:row r="89">
      <x:c r="V89" t="str">
        <x:f>IF($U89="","",IFERROR(INDEX('Weapons Database'!$C$2:$C$100,MATCH($U89,'Weapons Database'!$A$2:$A$100,0))&amp;" "&amp;INDEX('Weapons Database'!$D$2:$D$100,MATCH($U89,'Weapons Database'!$A$2:$A$100,0)),""))</x:f>
      </x:c>
      <x:c r="W89" t="str">
        <x:f>IF($U89="","","Weapons Database")</x:f>
      </x:c>
    </x:row>
    <x:row r="90">
      <x:c r="V90" t="str">
        <x:f>IF($U90="","",IFERROR(INDEX('Weapons Database'!$C$2:$C$100,MATCH($U90,'Weapons Database'!$A$2:$A$100,0))&amp;" "&amp;INDEX('Weapons Database'!$D$2:$D$100,MATCH($U90,'Weapons Database'!$A$2:$A$100,0)),""))</x:f>
      </x:c>
      <x:c r="W90" t="str">
        <x:f>IF($U90="","","Weapons Database")</x:f>
      </x:c>
    </x:row>
    <x:row r="91">
      <x:c r="V91" t="str">
        <x:f>IF($U91="","",IFERROR(INDEX('Weapons Database'!$C$2:$C$100,MATCH($U91,'Weapons Database'!$A$2:$A$100,0))&amp;" "&amp;INDEX('Weapons Database'!$D$2:$D$100,MATCH($U91,'Weapons Database'!$A$2:$A$100,0)),""))</x:f>
      </x:c>
      <x:c r="W91" t="str">
        <x:f>IF($U91="","","Weapons Database")</x:f>
      </x:c>
    </x:row>
    <x:row r="92">
      <x:c r="V92" t="str">
        <x:f>IF($U92="","",IFERROR(INDEX('Weapons Database'!$C$2:$C$100,MATCH($U92,'Weapons Database'!$A$2:$A$100,0))&amp;" "&amp;INDEX('Weapons Database'!$D$2:$D$100,MATCH($U92,'Weapons Database'!$A$2:$A$100,0)),""))</x:f>
      </x:c>
      <x:c r="W92" t="str">
        <x:f>IF($U92="","","Weapons Database")</x:f>
      </x:c>
    </x:row>
    <x:row r="93">
      <x:c r="V93" t="str">
        <x:f>IF($U93="","",IFERROR(INDEX('Weapons Database'!$C$2:$C$100,MATCH($U93,'Weapons Database'!$A$2:$A$100,0))&amp;" "&amp;INDEX('Weapons Database'!$D$2:$D$100,MATCH($U93,'Weapons Database'!$A$2:$A$100,0)),""))</x:f>
      </x:c>
      <x:c r="W93" t="str">
        <x:f>IF($U93="","","Weapons Database")</x:f>
      </x:c>
    </x:row>
    <x:row r="94">
      <x:c r="V94" t="str">
        <x:f>IF($U94="","",IFERROR(INDEX('Weapons Database'!$C$2:$C$100,MATCH($U94,'Weapons Database'!$A$2:$A$100,0))&amp;" "&amp;INDEX('Weapons Database'!$D$2:$D$100,MATCH($U94,'Weapons Database'!$A$2:$A$100,0)),""))</x:f>
      </x:c>
      <x:c r="W94" t="str">
        <x:f>IF($U94="","","Weapons Database")</x:f>
      </x:c>
    </x:row>
    <x:row r="95">
      <x:c r="V95" t="str">
        <x:f>IF($U95="","",IFERROR(INDEX('Weapons Database'!$C$2:$C$100,MATCH($U95,'Weapons Database'!$A$2:$A$100,0))&amp;" "&amp;INDEX('Weapons Database'!$D$2:$D$100,MATCH($U95,'Weapons Database'!$A$2:$A$100,0)),""))</x:f>
      </x:c>
      <x:c r="W95" t="str">
        <x:f>IF($U95="","","Weapons Database")</x:f>
      </x:c>
    </x:row>
    <x:row r="96">
      <x:c r="V96" t="str">
        <x:f>IF($U96="","",IFERROR(INDEX('Weapons Database'!$C$2:$C$100,MATCH($U96,'Weapons Database'!$A$2:$A$100,0))&amp;" "&amp;INDEX('Weapons Database'!$D$2:$D$100,MATCH($U96,'Weapons Database'!$A$2:$A$100,0)),""))</x:f>
      </x:c>
      <x:c r="W96" t="str">
        <x:f>IF($U96="","","Weapons Database")</x:f>
      </x:c>
    </x:row>
    <x:row r="97">
      <x:c r="V97" t="str">
        <x:f>IF($U97="","",IFERROR(INDEX('Weapons Database'!$C$2:$C$100,MATCH($U97,'Weapons Database'!$A$2:$A$100,0))&amp;" "&amp;INDEX('Weapons Database'!$D$2:$D$100,MATCH($U97,'Weapons Database'!$A$2:$A$100,0)),""))</x:f>
      </x:c>
      <x:c r="W97" t="str">
        <x:f>IF($U97="","","Weapons Database")</x:f>
      </x:c>
    </x:row>
    <x:row r="98">
      <x:c r="V98" t="str">
        <x:f>IF($U98="","",IFERROR(INDEX('Weapons Database'!$C$2:$C$100,MATCH($U98,'Weapons Database'!$A$2:$A$100,0))&amp;" "&amp;INDEX('Weapons Database'!$D$2:$D$100,MATCH($U98,'Weapons Database'!$A$2:$A$100,0)),""))</x:f>
      </x:c>
      <x:c r="W98" t="str">
        <x:f>IF($U98="","","Weapons Database")</x:f>
      </x:c>
    </x:row>
    <x:row r="99">
      <x:c r="V99" t="str">
        <x:f>IF($U99="","",IFERROR(INDEX('Weapons Database'!$C$2:$C$100,MATCH($U99,'Weapons Database'!$A$2:$A$100,0))&amp;" "&amp;INDEX('Weapons Database'!$D$2:$D$100,MATCH($U99,'Weapons Database'!$A$2:$A$100,0)),""))</x:f>
      </x:c>
      <x:c r="W99" t="str">
        <x:f>IF($U99="","","Weapons Database")</x:f>
      </x:c>
    </x:row>
    <x:row r="100">
      <x:c r="V100" t="str">
        <x:f>IF($U100="","",IFERROR(INDEX('Weapons Database'!$C$2:$C$100,MATCH($U100,'Weapons Database'!$A$2:$A$100,0))&amp;" "&amp;INDEX('Weapons Database'!$D$2:$D$100,MATCH($U100,'Weapons Database'!$A$2:$A$100,0)),""))</x:f>
      </x:c>
      <x:c r="W100" t="str">
        <x:f>IF($U100="","","Weapons Database")</x:f>
      </x:c>
    </x:row>
    <x:row r="101">
      <x:c r="V101" t="str">
        <x:f>IF($U101="","",IFERROR(INDEX('Weapons Database'!$C$2:$C$100,MATCH($U101,'Weapons Database'!$A$2:$A$100,0))&amp;" "&amp;INDEX('Weapons Database'!$D$2:$D$100,MATCH($U101,'Weapons Database'!$A$2:$A$100,0)),""))</x:f>
      </x:c>
      <x:c r="W101" t="str">
        <x:f>IF($U101="","","Weapons Database")</x:f>
      </x:c>
    </x:row>
    <x:row r="102">
      <x:c r="V102" t="str">
        <x:f>IF($U102="","",IFERROR(INDEX('Weapons Database'!$C$2:$C$100,MATCH($U102,'Weapons Database'!$A$2:$A$100,0))&amp;" "&amp;INDEX('Weapons Database'!$D$2:$D$100,MATCH($U102,'Weapons Database'!$A$2:$A$100,0)),""))</x:f>
      </x:c>
      <x:c r="W102" t="str">
        <x:f>IF($U102="","","Weapons Database")</x:f>
      </x:c>
    </x:row>
    <x:row r="103">
      <x:c r="V103" t="str">
        <x:f>IF($U103="","",IFERROR(INDEX('Weapons Database'!$C$2:$C$100,MATCH($U103,'Weapons Database'!$A$2:$A$100,0))&amp;" "&amp;INDEX('Weapons Database'!$D$2:$D$100,MATCH($U103,'Weapons Database'!$A$2:$A$100,0)),""))</x:f>
      </x:c>
      <x:c r="W103" t="str">
        <x:f>IF($U103="","","Weapons Database")</x:f>
      </x:c>
    </x:row>
    <x:row r="104">
      <x:c r="V104" t="str">
        <x:f>IF($U104="","",IFERROR(INDEX('Weapons Database'!$C$2:$C$100,MATCH($U104,'Weapons Database'!$A$2:$A$100,0))&amp;" "&amp;INDEX('Weapons Database'!$D$2:$D$100,MATCH($U104,'Weapons Database'!$A$2:$A$100,0)),""))</x:f>
      </x:c>
      <x:c r="W104" t="str">
        <x:f>IF($U104="","","Weapons Database")</x:f>
      </x:c>
    </x:row>
    <x:row r="105">
      <x:c r="V105" t="str">
        <x:f>IF($U105="","",IFERROR(INDEX('Weapons Database'!$C$2:$C$100,MATCH($U105,'Weapons Database'!$A$2:$A$100,0))&amp;" "&amp;INDEX('Weapons Database'!$D$2:$D$100,MATCH($U105,'Weapons Database'!$A$2:$A$100,0)),""))</x:f>
      </x:c>
      <x:c r="W105" t="str">
        <x:f>IF($U105="","","Weapons Database")</x:f>
      </x:c>
    </x:row>
    <x:row r="106">
      <x:c r="V106" t="str">
        <x:f>IF($U106="","",IFERROR(INDEX('Weapons Database'!$C$2:$C$100,MATCH($U106,'Weapons Database'!$A$2:$A$100,0))&amp;" "&amp;INDEX('Weapons Database'!$D$2:$D$100,MATCH($U106,'Weapons Database'!$A$2:$A$100,0)),""))</x:f>
      </x:c>
      <x:c r="W106" t="str">
        <x:f>IF($U106="","","Weapons Database")</x:f>
      </x:c>
    </x:row>
    <x:row r="107">
      <x:c r="V107" t="str">
        <x:f>IF($U107="","",IFERROR(INDEX('Weapons Database'!$C$2:$C$100,MATCH($U107,'Weapons Database'!$A$2:$A$100,0))&amp;" "&amp;INDEX('Weapons Database'!$D$2:$D$100,MATCH($U107,'Weapons Database'!$A$2:$A$100,0)),""))</x:f>
      </x:c>
      <x:c r="W107" t="str">
        <x:f>IF($U107="","","Weapons Database")</x:f>
      </x:c>
    </x:row>
    <x:row r="108">
      <x:c r="V108" t="str">
        <x:f>IF($U108="","",IFERROR(INDEX('Weapons Database'!$C$2:$C$100,MATCH($U108,'Weapons Database'!$A$2:$A$100,0))&amp;" "&amp;INDEX('Weapons Database'!$D$2:$D$100,MATCH($U108,'Weapons Database'!$A$2:$A$100,0)),""))</x:f>
      </x:c>
      <x:c r="W108" t="str">
        <x:f>IF($U108="","","Weapons Database")</x:f>
      </x:c>
    </x:row>
    <x:row r="109">
      <x:c r="V109" t="str">
        <x:f>IF($U109="","",IFERROR(INDEX('Weapons Database'!$C$2:$C$100,MATCH($U109,'Weapons Database'!$A$2:$A$100,0))&amp;" "&amp;INDEX('Weapons Database'!$D$2:$D$100,MATCH($U109,'Weapons Database'!$A$2:$A$100,0)),""))</x:f>
      </x:c>
      <x:c r="W109" t="str">
        <x:f>IF($U109="","","Weapons Database")</x:f>
      </x:c>
    </x:row>
    <x:row r="110">
      <x:c r="V110" t="str">
        <x:f>IF($U110="","",IFERROR(INDEX('Weapons Database'!$C$2:$C$100,MATCH($U110,'Weapons Database'!$A$2:$A$100,0))&amp;" "&amp;INDEX('Weapons Database'!$D$2:$D$100,MATCH($U110,'Weapons Database'!$A$2:$A$100,0)),""))</x:f>
      </x:c>
      <x:c r="W110" t="str">
        <x:f>IF($U110="","","Weapons Database")</x:f>
      </x:c>
    </x:row>
    <x:row r="111">
      <x:c r="V111" t="str">
        <x:f>IF($U111="","",IFERROR(INDEX('Weapons Database'!$C$2:$C$100,MATCH($U111,'Weapons Database'!$A$2:$A$100,0))&amp;" "&amp;INDEX('Weapons Database'!$D$2:$D$100,MATCH($U111,'Weapons Database'!$A$2:$A$100,0)),""))</x:f>
      </x:c>
      <x:c r="W111" t="str">
        <x:f>IF($U111="","","Weapons Database")</x:f>
      </x:c>
    </x:row>
    <x:row r="112">
      <x:c r="V112" t="str">
        <x:f>IF($U112="","",IFERROR(INDEX('Weapons Database'!$C$2:$C$100,MATCH($U112,'Weapons Database'!$A$2:$A$100,0))&amp;" "&amp;INDEX('Weapons Database'!$D$2:$D$100,MATCH($U112,'Weapons Database'!$A$2:$A$100,0)),""))</x:f>
      </x:c>
      <x:c r="W112" t="str">
        <x:f>IF($U112="","","Weapons Database")</x:f>
      </x:c>
    </x:row>
    <x:row r="113">
      <x:c r="V113" t="str">
        <x:f>IF($U113="","",IFERROR(INDEX('Weapons Database'!$C$2:$C$100,MATCH($U113,'Weapons Database'!$A$2:$A$100,0))&amp;" "&amp;INDEX('Weapons Database'!$D$2:$D$100,MATCH($U113,'Weapons Database'!$A$2:$A$100,0)),""))</x:f>
      </x:c>
      <x:c r="W113" t="str">
        <x:f>IF($U113="","","Weapons Database")</x:f>
      </x:c>
    </x:row>
    <x:row r="114">
      <x:c r="V114" t="str">
        <x:f>IF($U114="","",IFERROR(INDEX('Weapons Database'!$C$2:$C$100,MATCH($U114,'Weapons Database'!$A$2:$A$100,0))&amp;" "&amp;INDEX('Weapons Database'!$D$2:$D$100,MATCH($U114,'Weapons Database'!$A$2:$A$100,0)),""))</x:f>
      </x:c>
      <x:c r="W114" t="str">
        <x:f>IF($U114="","","Weapons Database")</x:f>
      </x:c>
    </x:row>
    <x:row r="115">
      <x:c r="V115" t="str">
        <x:f>IF($U115="","",IFERROR(INDEX('Weapons Database'!$C$2:$C$100,MATCH($U115,'Weapons Database'!$A$2:$A$100,0))&amp;" "&amp;INDEX('Weapons Database'!$D$2:$D$100,MATCH($U115,'Weapons Database'!$A$2:$A$100,0)),""))</x:f>
      </x:c>
      <x:c r="W115" t="str">
        <x:f>IF($U115="","","Weapons Database")</x:f>
      </x:c>
    </x:row>
    <x:row r="116">
      <x:c r="V116" t="str">
        <x:f>IF($U116="","",IFERROR(INDEX('Weapons Database'!$C$2:$C$100,MATCH($U116,'Weapons Database'!$A$2:$A$100,0))&amp;" "&amp;INDEX('Weapons Database'!$D$2:$D$100,MATCH($U116,'Weapons Database'!$A$2:$A$100,0)),""))</x:f>
      </x:c>
      <x:c r="W116" t="str">
        <x:f>IF($U116="","","Weapons Database")</x:f>
      </x:c>
    </x:row>
    <x:row r="117">
      <x:c r="V117" t="str">
        <x:f>IF($U117="","",IFERROR(INDEX('Weapons Database'!$C$2:$C$100,MATCH($U117,'Weapons Database'!$A$2:$A$100,0))&amp;" "&amp;INDEX('Weapons Database'!$D$2:$D$100,MATCH($U117,'Weapons Database'!$A$2:$A$100,0)),""))</x:f>
      </x:c>
      <x:c r="W117" t="str">
        <x:f>IF($U117="","","Weapons Database")</x:f>
      </x:c>
    </x:row>
    <x:row r="118">
      <x:c r="V118" t="str">
        <x:f>IF($U118="","",IFERROR(INDEX('Weapons Database'!$C$2:$C$100,MATCH($U118,'Weapons Database'!$A$2:$A$100,0))&amp;" "&amp;INDEX('Weapons Database'!$D$2:$D$100,MATCH($U118,'Weapons Database'!$A$2:$A$100,0)),""))</x:f>
      </x:c>
      <x:c r="W118" t="str">
        <x:f>IF($U118="","","Weapons Database")</x:f>
      </x:c>
    </x:row>
    <x:row r="119">
      <x:c r="V119" t="str">
        <x:f>IF($U119="","",IFERROR(INDEX('Weapons Database'!$C$2:$C$100,MATCH($U119,'Weapons Database'!$A$2:$A$100,0))&amp;" "&amp;INDEX('Weapons Database'!$D$2:$D$100,MATCH($U119,'Weapons Database'!$A$2:$A$100,0)),""))</x:f>
      </x:c>
      <x:c r="W119" t="str">
        <x:f>IF($U119="","","Weapons Database")</x:f>
      </x:c>
    </x:row>
    <x:row r="120">
      <x:c r="V120" t="str">
        <x:f>IF($U120="","",IFERROR(INDEX('Weapons Database'!$C$2:$C$100,MATCH($U120,'Weapons Database'!$A$2:$A$100,0))&amp;" "&amp;INDEX('Weapons Database'!$D$2:$D$100,MATCH($U120,'Weapons Database'!$A$2:$A$100,0)),""))</x:f>
      </x:c>
      <x:c r="W120" t="str">
        <x:f>IF($U120="","","Weapons Database")</x:f>
      </x:c>
    </x:row>
    <x:row r="121">
      <x:c r="V121" t="str">
        <x:f>IF($U121="","",IFERROR(INDEX('Weapons Database'!$C$2:$C$100,MATCH($U121,'Weapons Database'!$A$2:$A$100,0))&amp;" "&amp;INDEX('Weapons Database'!$D$2:$D$100,MATCH($U121,'Weapons Database'!$A$2:$A$100,0)),""))</x:f>
      </x:c>
      <x:c r="W121" t="str">
        <x:f>IF($U121="","","Weapons Database")</x:f>
      </x:c>
    </x:row>
    <x:row r="122">
      <x:c r="V122" t="str">
        <x:f>IF($U122="","",IFERROR(INDEX('Weapons Database'!$C$2:$C$100,MATCH($U122,'Weapons Database'!$A$2:$A$100,0))&amp;" "&amp;INDEX('Weapons Database'!$D$2:$D$100,MATCH($U122,'Weapons Database'!$A$2:$A$100,0)),""))</x:f>
      </x:c>
      <x:c r="W122" t="str">
        <x:f>IF($U122="","","Weapons Database")</x:f>
      </x:c>
    </x:row>
    <x:row r="123">
      <x:c r="V123" t="str">
        <x:f>IF($U123="","",IFERROR(INDEX('Weapons Database'!$C$2:$C$100,MATCH($U123,'Weapons Database'!$A$2:$A$100,0))&amp;" "&amp;INDEX('Weapons Database'!$D$2:$D$100,MATCH($U123,'Weapons Database'!$A$2:$A$100,0)),""))</x:f>
      </x:c>
      <x:c r="W123" t="str">
        <x:f>IF($U123="","","Weapons Database")</x:f>
      </x:c>
    </x:row>
    <x:row r="124">
      <x:c r="V124" t="str">
        <x:f>IF($U124="","",IFERROR(INDEX('Weapons Database'!$C$2:$C$100,MATCH($U124,'Weapons Database'!$A$2:$A$100,0))&amp;" "&amp;INDEX('Weapons Database'!$D$2:$D$100,MATCH($U124,'Weapons Database'!$A$2:$A$100,0)),""))</x:f>
      </x:c>
      <x:c r="W124" t="str">
        <x:f>IF($U124="","","Weapons Database")</x:f>
      </x:c>
    </x:row>
    <x:row r="125">
      <x:c r="V125" t="str">
        <x:f>IF($U125="","",IFERROR(INDEX('Weapons Database'!$C$2:$C$100,MATCH($U125,'Weapons Database'!$A$2:$A$100,0))&amp;" "&amp;INDEX('Weapons Database'!$D$2:$D$100,MATCH($U125,'Weapons Database'!$A$2:$A$100,0)),""))</x:f>
      </x:c>
      <x:c r="W125" t="str">
        <x:f>IF($U125="","","Weapons Database")</x:f>
      </x:c>
    </x:row>
    <x:row r="126">
      <x:c r="V126" t="str">
        <x:f>IF($U126="","",IFERROR(INDEX('Weapons Database'!$C$2:$C$100,MATCH($U126,'Weapons Database'!$A$2:$A$100,0))&amp;" "&amp;INDEX('Weapons Database'!$D$2:$D$100,MATCH($U126,'Weapons Database'!$A$2:$A$100,0)),""))</x:f>
      </x:c>
      <x:c r="W126" t="str">
        <x:f>IF($U126="","","Weapons Database")</x:f>
      </x:c>
    </x:row>
    <x:row r="127">
      <x:c r="V127" t="str">
        <x:f>IF($U127="","",IFERROR(INDEX('Weapons Database'!$C$2:$C$100,MATCH($U127,'Weapons Database'!$A$2:$A$100,0))&amp;" "&amp;INDEX('Weapons Database'!$D$2:$D$100,MATCH($U127,'Weapons Database'!$A$2:$A$100,0)),""))</x:f>
      </x:c>
      <x:c r="W127" t="str">
        <x:f>IF($U127="","","Weapons Database")</x:f>
      </x:c>
    </x:row>
    <x:row r="128">
      <x:c r="V128" t="str">
        <x:f>IF($U128="","",IFERROR(INDEX('Weapons Database'!$C$2:$C$100,MATCH($U128,'Weapons Database'!$A$2:$A$100,0))&amp;" "&amp;INDEX('Weapons Database'!$D$2:$D$100,MATCH($U128,'Weapons Database'!$A$2:$A$100,0)),""))</x:f>
      </x:c>
      <x:c r="W128" t="str">
        <x:f>IF($U128="","","Weapons Database")</x:f>
      </x:c>
    </x:row>
    <x:row r="129">
      <x:c r="V129" t="str">
        <x:f>IF($U129="","",IFERROR(INDEX('Weapons Database'!$C$2:$C$100,MATCH($U129,'Weapons Database'!$A$2:$A$100,0))&amp;" "&amp;INDEX('Weapons Database'!$D$2:$D$100,MATCH($U129,'Weapons Database'!$A$2:$A$100,0)),""))</x:f>
      </x:c>
      <x:c r="W129" t="str">
        <x:f>IF($U129="","","Weapons Database")</x:f>
      </x:c>
    </x:row>
    <x:row r="130">
      <x:c r="V130" t="str">
        <x:f>IF($U130="","",IFERROR(INDEX('Weapons Database'!$C$2:$C$100,MATCH($U130,'Weapons Database'!$A$2:$A$100,0))&amp;" "&amp;INDEX('Weapons Database'!$D$2:$D$100,MATCH($U130,'Weapons Database'!$A$2:$A$100,0)),""))</x:f>
      </x:c>
      <x:c r="W130" t="str">
        <x:f>IF($U130="","","Weapons Database")</x:f>
      </x:c>
    </x:row>
    <x:row r="131">
      <x:c r="V131" t="str">
        <x:f>IF($U131="","",IFERROR(INDEX('Weapons Database'!$C$2:$C$100,MATCH($U131,'Weapons Database'!$A$2:$A$100,0))&amp;" "&amp;INDEX('Weapons Database'!$D$2:$D$100,MATCH($U131,'Weapons Database'!$A$2:$A$100,0)),""))</x:f>
      </x:c>
      <x:c r="W131" t="str">
        <x:f>IF($U131="","","Weapons Database")</x:f>
      </x:c>
    </x:row>
    <x:row r="132">
      <x:c r="V132" t="str">
        <x:f>IF($U132="","",IFERROR(INDEX('Weapons Database'!$C$2:$C$100,MATCH($U132,'Weapons Database'!$A$2:$A$100,0))&amp;" "&amp;INDEX('Weapons Database'!$D$2:$D$100,MATCH($U132,'Weapons Database'!$A$2:$A$100,0)),""))</x:f>
      </x:c>
      <x:c r="W132" t="str">
        <x:f>IF($U132="","","Weapons Database")</x:f>
      </x:c>
    </x:row>
    <x:row r="133">
      <x:c r="V133" t="str">
        <x:f>IF($U133="","",IFERROR(INDEX('Weapons Database'!$C$2:$C$100,MATCH($U133,'Weapons Database'!$A$2:$A$100,0))&amp;" "&amp;INDEX('Weapons Database'!$D$2:$D$100,MATCH($U133,'Weapons Database'!$A$2:$A$100,0)),""))</x:f>
      </x:c>
      <x:c r="W133" t="str">
        <x:f>IF($U133="","","Weapons Database")</x:f>
      </x:c>
    </x:row>
    <x:row r="134">
      <x:c r="V134" t="str">
        <x:f>IF($U134="","",IFERROR(INDEX('Weapons Database'!$C$2:$C$100,MATCH($U134,'Weapons Database'!$A$2:$A$100,0))&amp;" "&amp;INDEX('Weapons Database'!$D$2:$D$100,MATCH($U134,'Weapons Database'!$A$2:$A$100,0)),""))</x:f>
      </x:c>
      <x:c r="W134" t="str">
        <x:f>IF($U134="","","Weapons Database")</x:f>
      </x:c>
    </x:row>
    <x:row r="135">
      <x:c r="V135" t="str">
        <x:f>IF($U135="","",IFERROR(INDEX('Weapons Database'!$C$2:$C$100,MATCH($U135,'Weapons Database'!$A$2:$A$100,0))&amp;" "&amp;INDEX('Weapons Database'!$D$2:$D$100,MATCH($U135,'Weapons Database'!$A$2:$A$100,0)),""))</x:f>
      </x:c>
      <x:c r="W135" t="str">
        <x:f>IF($U135="","","Weapons Database")</x:f>
      </x:c>
    </x:row>
    <x:row r="136">
      <x:c r="V136" t="str">
        <x:f>IF($U136="","",IFERROR(INDEX('Weapons Database'!$C$2:$C$100,MATCH($U136,'Weapons Database'!$A$2:$A$100,0))&amp;" "&amp;INDEX('Weapons Database'!$D$2:$D$100,MATCH($U136,'Weapons Database'!$A$2:$A$100,0)),""))</x:f>
      </x:c>
      <x:c r="W136" t="str">
        <x:f>IF($U136="","","Weapons Database")</x:f>
      </x:c>
    </x:row>
    <x:row r="137">
      <x:c r="V137" t="str">
        <x:f>IF($U137="","",IFERROR(INDEX('Weapons Database'!$C$2:$C$100,MATCH($U137,'Weapons Database'!$A$2:$A$100,0))&amp;" "&amp;INDEX('Weapons Database'!$D$2:$D$100,MATCH($U137,'Weapons Database'!$A$2:$A$100,0)),""))</x:f>
      </x:c>
      <x:c r="W137" t="str">
        <x:f>IF($U137="","","Weapons Database")</x:f>
      </x:c>
    </x:row>
    <x:row r="138">
      <x:c r="V138" t="str">
        <x:f>IF($U138="","",IFERROR(INDEX('Weapons Database'!$C$2:$C$100,MATCH($U138,'Weapons Database'!$A$2:$A$100,0))&amp;" "&amp;INDEX('Weapons Database'!$D$2:$D$100,MATCH($U138,'Weapons Database'!$A$2:$A$100,0)),""))</x:f>
      </x:c>
      <x:c r="W138" t="str">
        <x:f>IF($U138="","","Weapons Database")</x:f>
      </x:c>
    </x:row>
    <x:row r="139">
      <x:c r="V139" t="str">
        <x:f>IF($U139="","",IFERROR(INDEX('Weapons Database'!$C$2:$C$100,MATCH($U139,'Weapons Database'!$A$2:$A$100,0))&amp;" "&amp;INDEX('Weapons Database'!$D$2:$D$100,MATCH($U139,'Weapons Database'!$A$2:$A$100,0)),""))</x:f>
      </x:c>
      <x:c r="W139" t="str">
        <x:f>IF($U139="","","Weapons Database")</x:f>
      </x:c>
    </x:row>
    <x:row r="140">
      <x:c r="V140" t="str">
        <x:f>IF($U140="","",IFERROR(INDEX('Weapons Database'!$C$2:$C$100,MATCH($U140,'Weapons Database'!$A$2:$A$100,0))&amp;" "&amp;INDEX('Weapons Database'!$D$2:$D$100,MATCH($U140,'Weapons Database'!$A$2:$A$100,0)),""))</x:f>
      </x:c>
      <x:c r="W140" t="str">
        <x:f>IF($U140="","","Weapons Database")</x:f>
      </x:c>
    </x:row>
    <x:row r="141">
      <x:c r="V141" t="str">
        <x:f>IF($U141="","",IFERROR(INDEX('Weapons Database'!$C$2:$C$100,MATCH($U141,'Weapons Database'!$A$2:$A$100,0))&amp;" "&amp;INDEX('Weapons Database'!$D$2:$D$100,MATCH($U141,'Weapons Database'!$A$2:$A$100,0)),""))</x:f>
      </x:c>
      <x:c r="W141" t="str">
        <x:f>IF($U141="","","Weapons Database")</x:f>
      </x:c>
    </x:row>
    <x:row r="142">
      <x:c r="V142" t="str">
        <x:f>IF($U142="","",IFERROR(INDEX('Weapons Database'!$C$2:$C$100,MATCH($U142,'Weapons Database'!$A$2:$A$100,0))&amp;" "&amp;INDEX('Weapons Database'!$D$2:$D$100,MATCH($U142,'Weapons Database'!$A$2:$A$100,0)),""))</x:f>
      </x:c>
      <x:c r="W142" t="str">
        <x:f>IF($U142="","","Weapons Database")</x:f>
      </x:c>
    </x:row>
    <x:row r="143">
      <x:c r="V143" t="str">
        <x:f>IF($U143="","",IFERROR(INDEX('Weapons Database'!$C$2:$C$100,MATCH($U143,'Weapons Database'!$A$2:$A$100,0))&amp;" "&amp;INDEX('Weapons Database'!$D$2:$D$100,MATCH($U143,'Weapons Database'!$A$2:$A$100,0)),""))</x:f>
      </x:c>
      <x:c r="W143" t="str">
        <x:f>IF($U143="","","Weapons Database")</x:f>
      </x:c>
    </x:row>
    <x:row r="144">
      <x:c r="V144" t="str">
        <x:f>IF($U144="","",IFERROR(INDEX('Weapons Database'!$C$2:$C$100,MATCH($U144,'Weapons Database'!$A$2:$A$100,0))&amp;" "&amp;INDEX('Weapons Database'!$D$2:$D$100,MATCH($U144,'Weapons Database'!$A$2:$A$100,0)),""))</x:f>
      </x:c>
      <x:c r="W144" t="str">
        <x:f>IF($U144="","","Weapons Database")</x:f>
      </x:c>
    </x:row>
    <x:row r="145">
      <x:c r="V145" t="str">
        <x:f>IF($U145="","",IFERROR(INDEX('Weapons Database'!$C$2:$C$100,MATCH($U145,'Weapons Database'!$A$2:$A$100,0))&amp;" "&amp;INDEX('Weapons Database'!$D$2:$D$100,MATCH($U145,'Weapons Database'!$A$2:$A$100,0)),""))</x:f>
      </x:c>
      <x:c r="W145" t="str">
        <x:f>IF($U145="","","Weapons Database")</x:f>
      </x:c>
    </x:row>
    <x:row r="146">
      <x:c r="V146" t="str">
        <x:f>IF($U146="","",IFERROR(INDEX('Weapons Database'!$C$2:$C$100,MATCH($U146,'Weapons Database'!$A$2:$A$100,0))&amp;" "&amp;INDEX('Weapons Database'!$D$2:$D$100,MATCH($U146,'Weapons Database'!$A$2:$A$100,0)),""))</x:f>
      </x:c>
      <x:c r="W146" t="str">
        <x:f>IF($U146="","","Weapons Database")</x:f>
      </x:c>
    </x:row>
    <x:row r="147">
      <x:c r="V147" t="str">
        <x:f>IF($U147="","",IFERROR(INDEX('Weapons Database'!$C$2:$C$100,MATCH($U147,'Weapons Database'!$A$2:$A$100,0))&amp;" "&amp;INDEX('Weapons Database'!$D$2:$D$100,MATCH($U147,'Weapons Database'!$A$2:$A$100,0)),""))</x:f>
      </x:c>
      <x:c r="W147" t="str">
        <x:f>IF($U147="","","Weapons Database")</x:f>
      </x:c>
    </x:row>
    <x:row r="148">
      <x:c r="V148" t="str">
        <x:f>IF($U148="","",IFERROR(INDEX('Weapons Database'!$C$2:$C$100,MATCH($U148,'Weapons Database'!$A$2:$A$100,0))&amp;" "&amp;INDEX('Weapons Database'!$D$2:$D$100,MATCH($U148,'Weapons Database'!$A$2:$A$100,0)),""))</x:f>
      </x:c>
      <x:c r="W148" t="str">
        <x:f>IF($U148="","","Weapons Database")</x:f>
      </x:c>
    </x:row>
    <x:row r="149">
      <x:c r="V149" t="str">
        <x:f>IF($U149="","",IFERROR(INDEX('Weapons Database'!$C$2:$C$100,MATCH($U149,'Weapons Database'!$A$2:$A$100,0))&amp;" "&amp;INDEX('Weapons Database'!$D$2:$D$100,MATCH($U149,'Weapons Database'!$A$2:$A$100,0)),""))</x:f>
      </x:c>
      <x:c r="W149" t="str">
        <x:f>IF($U149="","","Weapons Database")</x:f>
      </x:c>
    </x:row>
    <x:row r="150">
      <x:c r="V150" t="str">
        <x:f>IF($U150="","",IFERROR(INDEX('Weapons Database'!$C$2:$C$100,MATCH($U150,'Weapons Database'!$A$2:$A$100,0))&amp;" "&amp;INDEX('Weapons Database'!$D$2:$D$100,MATCH($U150,'Weapons Database'!$A$2:$A$100,0)),""))</x:f>
      </x:c>
      <x:c r="W150" t="str">
        <x:f>IF($U150="","","Weapons Database")</x:f>
      </x:c>
    </x:row>
    <x:row r="151">
      <x:c r="V151" t="str">
        <x:f>IF($U151="","",IFERROR(INDEX('Weapons Database'!$C$2:$C$100,MATCH($U151,'Weapons Database'!$A$2:$A$100,0))&amp;" "&amp;INDEX('Weapons Database'!$D$2:$D$100,MATCH($U151,'Weapons Database'!$A$2:$A$100,0)),""))</x:f>
      </x:c>
      <x:c r="W151" t="str">
        <x:f>IF($U151="","","Weapons Database")</x:f>
      </x:c>
    </x:row>
    <x:row r="152">
      <x:c r="V152" t="str">
        <x:f>IF($U152="","",IFERROR(INDEX('Weapons Database'!$C$2:$C$100,MATCH($U152,'Weapons Database'!$A$2:$A$100,0))&amp;" "&amp;INDEX('Weapons Database'!$D$2:$D$100,MATCH($U152,'Weapons Database'!$A$2:$A$100,0)),""))</x:f>
      </x:c>
      <x:c r="W152" t="str">
        <x:f>IF($U152="","","Weapons Database")</x:f>
      </x:c>
    </x:row>
    <x:row r="153">
      <x:c r="V153" t="str">
        <x:f>IF($U153="","",IFERROR(INDEX('Weapons Database'!$C$2:$C$100,MATCH($U153,'Weapons Database'!$A$2:$A$100,0))&amp;" "&amp;INDEX('Weapons Database'!$D$2:$D$100,MATCH($U153,'Weapons Database'!$A$2:$A$100,0)),""))</x:f>
      </x:c>
      <x:c r="W153" t="str">
        <x:f>IF($U153="","","Weapons Database")</x:f>
      </x:c>
    </x:row>
    <x:row r="154">
      <x:c r="V154" t="str">
        <x:f>IF($U154="","",IFERROR(INDEX('Weapons Database'!$C$2:$C$100,MATCH($U154,'Weapons Database'!$A$2:$A$100,0))&amp;" "&amp;INDEX('Weapons Database'!$D$2:$D$100,MATCH($U154,'Weapons Database'!$A$2:$A$100,0)),""))</x:f>
      </x:c>
      <x:c r="W154" t="str">
        <x:f>IF($U154="","","Weapons Database")</x:f>
      </x:c>
    </x:row>
    <x:row r="155">
      <x:c r="V155" t="str">
        <x:f>IF($U155="","",IFERROR(INDEX('Weapons Database'!$C$2:$C$100,MATCH($U155,'Weapons Database'!$A$2:$A$100,0))&amp;" "&amp;INDEX('Weapons Database'!$D$2:$D$100,MATCH($U155,'Weapons Database'!$A$2:$A$100,0)),""))</x:f>
      </x:c>
      <x:c r="W155" t="str">
        <x:f>IF($U155="","","Weapons Database")</x:f>
      </x:c>
    </x:row>
    <x:row r="156">
      <x:c r="V156" t="str">
        <x:f>IF($U156="","",IFERROR(INDEX('Weapons Database'!$C$2:$C$100,MATCH($U156,'Weapons Database'!$A$2:$A$100,0))&amp;" "&amp;INDEX('Weapons Database'!$D$2:$D$100,MATCH($U156,'Weapons Database'!$A$2:$A$100,0)),""))</x:f>
      </x:c>
      <x:c r="W156" t="str">
        <x:f>IF($U156="","","Weapons Database")</x:f>
      </x:c>
    </x:row>
    <x:row r="157">
      <x:c r="V157" t="str">
        <x:f>IF($U157="","",IFERROR(INDEX('Weapons Database'!$C$2:$C$100,MATCH($U157,'Weapons Database'!$A$2:$A$100,0))&amp;" "&amp;INDEX('Weapons Database'!$D$2:$D$100,MATCH($U157,'Weapons Database'!$A$2:$A$100,0)),""))</x:f>
      </x:c>
      <x:c r="W157" t="str">
        <x:f>IF($U157="","","Weapons Database")</x:f>
      </x:c>
    </x:row>
    <x:row r="158">
      <x:c r="V158" t="str">
        <x:f>IF($U158="","",IFERROR(INDEX('Weapons Database'!$C$2:$C$100,MATCH($U158,'Weapons Database'!$A$2:$A$100,0))&amp;" "&amp;INDEX('Weapons Database'!$D$2:$D$100,MATCH($U158,'Weapons Database'!$A$2:$A$100,0)),""))</x:f>
      </x:c>
      <x:c r="W158" t="str">
        <x:f>IF($U158="","","Weapons Database")</x:f>
      </x:c>
    </x:row>
    <x:row r="159">
      <x:c r="V159" t="str">
        <x:f>IF($U159="","",IFERROR(INDEX('Weapons Database'!$C$2:$C$100,MATCH($U159,'Weapons Database'!$A$2:$A$100,0))&amp;" "&amp;INDEX('Weapons Database'!$D$2:$D$100,MATCH($U159,'Weapons Database'!$A$2:$A$100,0)),""))</x:f>
      </x:c>
      <x:c r="W159" t="str">
        <x:f>IF($U159="","","Weapons Database")</x:f>
      </x:c>
    </x:row>
    <x:row r="160">
      <x:c r="V160" t="str">
        <x:f>IF($U160="","",IFERROR(INDEX('Weapons Database'!$C$2:$C$100,MATCH($U160,'Weapons Database'!$A$2:$A$100,0))&amp;" "&amp;INDEX('Weapons Database'!$D$2:$D$100,MATCH($U160,'Weapons Database'!$A$2:$A$100,0)),""))</x:f>
      </x:c>
      <x:c r="W160" t="str">
        <x:f>IF($U160="","","Weapons Database")</x:f>
      </x:c>
    </x:row>
    <x:row r="161">
      <x:c r="V161" t="str">
        <x:f>IF($U161="","",IFERROR(INDEX('Weapons Database'!$C$2:$C$100,MATCH($U161,'Weapons Database'!$A$2:$A$100,0))&amp;" "&amp;INDEX('Weapons Database'!$D$2:$D$100,MATCH($U161,'Weapons Database'!$A$2:$A$100,0)),""))</x:f>
      </x:c>
      <x:c r="W161" t="str">
        <x:f>IF($U161="","","Weapons Database")</x:f>
      </x:c>
    </x:row>
    <x:row r="162">
      <x:c r="V162" t="str">
        <x:f>IF($U162="","",IFERROR(INDEX('Weapons Database'!$C$2:$C$100,MATCH($U162,'Weapons Database'!$A$2:$A$100,0))&amp;" "&amp;INDEX('Weapons Database'!$D$2:$D$100,MATCH($U162,'Weapons Database'!$A$2:$A$100,0)),""))</x:f>
      </x:c>
      <x:c r="W162" t="str">
        <x:f>IF($U162="","","Weapons Database")</x:f>
      </x:c>
    </x:row>
    <x:row r="163">
      <x:c r="V163" t="str">
        <x:f>IF($U163="","",IFERROR(INDEX('Weapons Database'!$C$2:$C$100,MATCH($U163,'Weapons Database'!$A$2:$A$100,0))&amp;" "&amp;INDEX('Weapons Database'!$D$2:$D$100,MATCH($U163,'Weapons Database'!$A$2:$A$100,0)),""))</x:f>
      </x:c>
      <x:c r="W163" t="str">
        <x:f>IF($U163="","","Weapons Database")</x:f>
      </x:c>
    </x:row>
    <x:row r="164">
      <x:c r="V164" t="str">
        <x:f>IF($U164="","",IFERROR(INDEX('Weapons Database'!$C$2:$C$100,MATCH($U164,'Weapons Database'!$A$2:$A$100,0))&amp;" "&amp;INDEX('Weapons Database'!$D$2:$D$100,MATCH($U164,'Weapons Database'!$A$2:$A$100,0)),""))</x:f>
      </x:c>
      <x:c r="W164" t="str">
        <x:f>IF($U164="","","Weapons Database")</x:f>
      </x:c>
    </x:row>
    <x:row r="165">
      <x:c r="V165" t="str">
        <x:f>IF($U165="","",IFERROR(INDEX('Weapons Database'!$C$2:$C$100,MATCH($U165,'Weapons Database'!$A$2:$A$100,0))&amp;" "&amp;INDEX('Weapons Database'!$D$2:$D$100,MATCH($U165,'Weapons Database'!$A$2:$A$100,0)),""))</x:f>
      </x:c>
      <x:c r="W165" t="str">
        <x:f>IF($U165="","","Weapons Database")</x:f>
      </x:c>
    </x:row>
    <x:row r="166">
      <x:c r="V166" t="str">
        <x:f>IF($U166="","",IFERROR(INDEX('Weapons Database'!$C$2:$C$100,MATCH($U166,'Weapons Database'!$A$2:$A$100,0))&amp;" "&amp;INDEX('Weapons Database'!$D$2:$D$100,MATCH($U166,'Weapons Database'!$A$2:$A$100,0)),""))</x:f>
      </x:c>
      <x:c r="W166" t="str">
        <x:f>IF($U166="","","Weapons Database")</x:f>
      </x:c>
    </x:row>
    <x:row r="167">
      <x:c r="V167" t="str">
        <x:f>IF($U167="","",IFERROR(INDEX('Weapons Database'!$C$2:$C$100,MATCH($U167,'Weapons Database'!$A$2:$A$100,0))&amp;" "&amp;INDEX('Weapons Database'!$D$2:$D$100,MATCH($U167,'Weapons Database'!$A$2:$A$100,0)),""))</x:f>
      </x:c>
      <x:c r="W167" t="str">
        <x:f>IF($U167="","","Weapons Database")</x:f>
      </x:c>
    </x:row>
    <x:row r="168">
      <x:c r="V168" t="str">
        <x:f>IF($U168="","",IFERROR(INDEX('Weapons Database'!$C$2:$C$100,MATCH($U168,'Weapons Database'!$A$2:$A$100,0))&amp;" "&amp;INDEX('Weapons Database'!$D$2:$D$100,MATCH($U168,'Weapons Database'!$A$2:$A$100,0)),""))</x:f>
      </x:c>
      <x:c r="W168" t="str">
        <x:f>IF($U168="","","Weapons Database")</x:f>
      </x:c>
    </x:row>
    <x:row r="169">
      <x:c r="V169" t="str">
        <x:f>IF($U169="","",IFERROR(INDEX('Weapons Database'!$C$2:$C$100,MATCH($U169,'Weapons Database'!$A$2:$A$100,0))&amp;" "&amp;INDEX('Weapons Database'!$D$2:$D$100,MATCH($U169,'Weapons Database'!$A$2:$A$100,0)),""))</x:f>
      </x:c>
      <x:c r="W169" t="str">
        <x:f>IF($U169="","","Weapons Database")</x:f>
      </x:c>
    </x:row>
    <x:row r="170">
      <x:c r="V170" t="str">
        <x:f>IF($U170="","",IFERROR(INDEX('Weapons Database'!$C$2:$C$100,MATCH($U170,'Weapons Database'!$A$2:$A$100,0))&amp;" "&amp;INDEX('Weapons Database'!$D$2:$D$100,MATCH($U170,'Weapons Database'!$A$2:$A$100,0)),""))</x:f>
      </x:c>
      <x:c r="W170" t="str">
        <x:f>IF($U170="","","Weapons Database")</x:f>
      </x:c>
    </x:row>
    <x:row r="171">
      <x:c r="V171" t="str">
        <x:f>IF($U171="","",IFERROR(INDEX('Weapons Database'!$C$2:$C$100,MATCH($U171,'Weapons Database'!$A$2:$A$100,0))&amp;" "&amp;INDEX('Weapons Database'!$D$2:$D$100,MATCH($U171,'Weapons Database'!$A$2:$A$100,0)),""))</x:f>
      </x:c>
      <x:c r="W171" t="str">
        <x:f>IF($U171="","","Weapons Database")</x:f>
      </x:c>
    </x:row>
    <x:row r="172">
      <x:c r="V172" t="str">
        <x:f>IF($U172="","",IFERROR(INDEX('Weapons Database'!$C$2:$C$100,MATCH($U172,'Weapons Database'!$A$2:$A$100,0))&amp;" "&amp;INDEX('Weapons Database'!$D$2:$D$100,MATCH($U172,'Weapons Database'!$A$2:$A$100,0)),""))</x:f>
      </x:c>
      <x:c r="W172" t="str">
        <x:f>IF($U172="","","Weapons Database")</x:f>
      </x:c>
    </x:row>
    <x:row r="173">
      <x:c r="V173" t="str">
        <x:f>IF($U173="","",IFERROR(INDEX('Weapons Database'!$C$2:$C$100,MATCH($U173,'Weapons Database'!$A$2:$A$100,0))&amp;" "&amp;INDEX('Weapons Database'!$D$2:$D$100,MATCH($U173,'Weapons Database'!$A$2:$A$100,0)),""))</x:f>
      </x:c>
      <x:c r="W173" t="str">
        <x:f>IF($U173="","","Weapons Database")</x:f>
      </x:c>
    </x:row>
    <x:row r="174">
      <x:c r="V174" t="str">
        <x:f>IF($U174="","",IFERROR(INDEX('Weapons Database'!$C$2:$C$100,MATCH($U174,'Weapons Database'!$A$2:$A$100,0))&amp;" "&amp;INDEX('Weapons Database'!$D$2:$D$100,MATCH($U174,'Weapons Database'!$A$2:$A$100,0)),""))</x:f>
      </x:c>
      <x:c r="W174" t="str">
        <x:f>IF($U174="","","Weapons Database")</x:f>
      </x:c>
    </x:row>
    <x:row r="175">
      <x:c r="V175" t="str">
        <x:f>IF($U175="","",IFERROR(INDEX('Weapons Database'!$C$2:$C$100,MATCH($U175,'Weapons Database'!$A$2:$A$100,0))&amp;" "&amp;INDEX('Weapons Database'!$D$2:$D$100,MATCH($U175,'Weapons Database'!$A$2:$A$100,0)),""))</x:f>
      </x:c>
      <x:c r="W175" t="str">
        <x:f>IF($U175="","","Weapons Database")</x:f>
      </x:c>
    </x:row>
    <x:row r="176">
      <x:c r="V176" t="str">
        <x:f>IF($U176="","",IFERROR(INDEX('Weapons Database'!$C$2:$C$100,MATCH($U176,'Weapons Database'!$A$2:$A$100,0))&amp;" "&amp;INDEX('Weapons Database'!$D$2:$D$100,MATCH($U176,'Weapons Database'!$A$2:$A$100,0)),""))</x:f>
      </x:c>
      <x:c r="W176" t="str">
        <x:f>IF($U176="","","Weapons Database")</x:f>
      </x:c>
    </x:row>
    <x:row r="177">
      <x:c r="V177" t="str">
        <x:f>IF($U177="","",IFERROR(INDEX('Weapons Database'!$C$2:$C$100,MATCH($U177,'Weapons Database'!$A$2:$A$100,0))&amp;" "&amp;INDEX('Weapons Database'!$D$2:$D$100,MATCH($U177,'Weapons Database'!$A$2:$A$100,0)),""))</x:f>
      </x:c>
      <x:c r="W177" t="str">
        <x:f>IF($U177="","","Weapons Database")</x:f>
      </x:c>
    </x:row>
    <x:row r="178">
      <x:c r="V178" t="str">
        <x:f>IF($U178="","",IFERROR(INDEX('Weapons Database'!$C$2:$C$100,MATCH($U178,'Weapons Database'!$A$2:$A$100,0))&amp;" "&amp;INDEX('Weapons Database'!$D$2:$D$100,MATCH($U178,'Weapons Database'!$A$2:$A$100,0)),""))</x:f>
      </x:c>
      <x:c r="W178" t="str">
        <x:f>IF($U178="","","Weapons Database")</x:f>
      </x:c>
    </x:row>
    <x:row r="179">
      <x:c r="V179" t="str">
        <x:f>IF($U179="","",IFERROR(INDEX('Weapons Database'!$C$2:$C$100,MATCH($U179,'Weapons Database'!$A$2:$A$100,0))&amp;" "&amp;INDEX('Weapons Database'!$D$2:$D$100,MATCH($U179,'Weapons Database'!$A$2:$A$100,0)),""))</x:f>
      </x:c>
      <x:c r="W179" t="str">
        <x:f>IF($U179="","","Weapons Database")</x:f>
      </x:c>
    </x:row>
    <x:row r="180">
      <x:c r="V180" t="str">
        <x:f>IF($U180="","",IFERROR(INDEX('Weapons Database'!$C$2:$C$100,MATCH($U180,'Weapons Database'!$A$2:$A$100,0))&amp;" "&amp;INDEX('Weapons Database'!$D$2:$D$100,MATCH($U180,'Weapons Database'!$A$2:$A$100,0)),""))</x:f>
      </x:c>
      <x:c r="W180" t="str">
        <x:f>IF($U180="","","Weapons Database")</x:f>
      </x:c>
    </x:row>
    <x:row r="181">
      <x:c r="V181" t="str">
        <x:f>IF($U181="","",IFERROR(INDEX('Weapons Database'!$C$2:$C$100,MATCH($U181,'Weapons Database'!$A$2:$A$100,0))&amp;" "&amp;INDEX('Weapons Database'!$D$2:$D$100,MATCH($U181,'Weapons Database'!$A$2:$A$100,0)),""))</x:f>
      </x:c>
      <x:c r="W181" t="str">
        <x:f>IF($U181="","","Weapons Database")</x:f>
      </x:c>
    </x:row>
    <x:row r="182">
      <x:c r="V182" t="str">
        <x:f>IF($U182="","",IFERROR(INDEX('Weapons Database'!$C$2:$C$100,MATCH($U182,'Weapons Database'!$A$2:$A$100,0))&amp;" "&amp;INDEX('Weapons Database'!$D$2:$D$100,MATCH($U182,'Weapons Database'!$A$2:$A$100,0)),""))</x:f>
      </x:c>
      <x:c r="W182" t="str">
        <x:f>IF($U182="","","Weapons Database")</x:f>
      </x:c>
    </x:row>
    <x:row r="183">
      <x:c r="V183" t="str">
        <x:f>IF($U183="","",IFERROR(INDEX('Weapons Database'!$C$2:$C$100,MATCH($U183,'Weapons Database'!$A$2:$A$100,0))&amp;" "&amp;INDEX('Weapons Database'!$D$2:$D$100,MATCH($U183,'Weapons Database'!$A$2:$A$100,0)),""))</x:f>
      </x:c>
      <x:c r="W183" t="str">
        <x:f>IF($U183="","","Weapons Database")</x:f>
      </x:c>
    </x:row>
    <x:row r="184">
      <x:c r="V184" t="str">
        <x:f>IF($U184="","",IFERROR(INDEX('Weapons Database'!$C$2:$C$100,MATCH($U184,'Weapons Database'!$A$2:$A$100,0))&amp;" "&amp;INDEX('Weapons Database'!$D$2:$D$100,MATCH($U184,'Weapons Database'!$A$2:$A$100,0)),""))</x:f>
      </x:c>
      <x:c r="W184" t="str">
        <x:f>IF($U184="","","Weapons Database")</x:f>
      </x:c>
    </x:row>
    <x:row r="185">
      <x:c r="V185" t="str">
        <x:f>IF($U185="","",IFERROR(INDEX('Weapons Database'!$C$2:$C$100,MATCH($U185,'Weapons Database'!$A$2:$A$100,0))&amp;" "&amp;INDEX('Weapons Database'!$D$2:$D$100,MATCH($U185,'Weapons Database'!$A$2:$A$100,0)),""))</x:f>
      </x:c>
      <x:c r="W185" t="str">
        <x:f>IF($U185="","","Weapons Database")</x:f>
      </x:c>
    </x:row>
    <x:row r="186">
      <x:c r="V186" t="str">
        <x:f>IF($U186="","",IFERROR(INDEX('Weapons Database'!$C$2:$C$100,MATCH($U186,'Weapons Database'!$A$2:$A$100,0))&amp;" "&amp;INDEX('Weapons Database'!$D$2:$D$100,MATCH($U186,'Weapons Database'!$A$2:$A$100,0)),""))</x:f>
      </x:c>
      <x:c r="W186" t="str">
        <x:f>IF($U186="","","Weapons Database")</x:f>
      </x:c>
    </x:row>
    <x:row r="187">
      <x:c r="V187" t="str">
        <x:f>IF($U187="","",IFERROR(INDEX('Weapons Database'!$C$2:$C$100,MATCH($U187,'Weapons Database'!$A$2:$A$100,0))&amp;" "&amp;INDEX('Weapons Database'!$D$2:$D$100,MATCH($U187,'Weapons Database'!$A$2:$A$100,0)),""))</x:f>
      </x:c>
      <x:c r="W187" t="str">
        <x:f>IF($U187="","","Weapons Database")</x:f>
      </x:c>
    </x:row>
    <x:row r="188">
      <x:c r="V188" t="str">
        <x:f>IF($U188="","",IFERROR(INDEX('Weapons Database'!$C$2:$C$100,MATCH($U188,'Weapons Database'!$A$2:$A$100,0))&amp;" "&amp;INDEX('Weapons Database'!$D$2:$D$100,MATCH($U188,'Weapons Database'!$A$2:$A$100,0)),""))</x:f>
      </x:c>
      <x:c r="W188" t="str">
        <x:f>IF($U188="","","Weapons Database")</x:f>
      </x:c>
    </x:row>
    <x:row r="189">
      <x:c r="V189" t="str">
        <x:f>IF($U189="","",IFERROR(INDEX('Weapons Database'!$C$2:$C$100,MATCH($U189,'Weapons Database'!$A$2:$A$100,0))&amp;" "&amp;INDEX('Weapons Database'!$D$2:$D$100,MATCH($U189,'Weapons Database'!$A$2:$A$100,0)),""))</x:f>
      </x:c>
      <x:c r="W189" t="str">
        <x:f>IF($U189="","","Weapons Database")</x:f>
      </x:c>
    </x:row>
    <x:row r="190">
      <x:c r="V190" t="str">
        <x:f>IF($U190="","",IFERROR(INDEX('Weapons Database'!$C$2:$C$100,MATCH($U190,'Weapons Database'!$A$2:$A$100,0))&amp;" "&amp;INDEX('Weapons Database'!$D$2:$D$100,MATCH($U190,'Weapons Database'!$A$2:$A$100,0)),""))</x:f>
      </x:c>
      <x:c r="W190" t="str">
        <x:f>IF($U190="","","Weapons Database")</x:f>
      </x:c>
    </x:row>
    <x:row r="191">
      <x:c r="V191" t="str">
        <x:f>IF($U191="","",IFERROR(INDEX('Weapons Database'!$C$2:$C$100,MATCH($U191,'Weapons Database'!$A$2:$A$100,0))&amp;" "&amp;INDEX('Weapons Database'!$D$2:$D$100,MATCH($U191,'Weapons Database'!$A$2:$A$100,0)),""))</x:f>
      </x:c>
      <x:c r="W191" t="str">
        <x:f>IF($U191="","","Weapons Database")</x:f>
      </x:c>
    </x:row>
    <x:row r="192">
      <x:c r="V192" t="str">
        <x:f>IF($U192="","",IFERROR(INDEX('Weapons Database'!$C$2:$C$100,MATCH($U192,'Weapons Database'!$A$2:$A$100,0))&amp;" "&amp;INDEX('Weapons Database'!$D$2:$D$100,MATCH($U192,'Weapons Database'!$A$2:$A$100,0)),""))</x:f>
      </x:c>
      <x:c r="W192" t="str">
        <x:f>IF($U192="","","Weapons Database")</x:f>
      </x:c>
    </x:row>
    <x:row r="193">
      <x:c r="V193" t="str">
        <x:f>IF($U193="","",IFERROR(INDEX('Weapons Database'!$C$2:$C$100,MATCH($U193,'Weapons Database'!$A$2:$A$100,0))&amp;" "&amp;INDEX('Weapons Database'!$D$2:$D$100,MATCH($U193,'Weapons Database'!$A$2:$A$100,0)),""))</x:f>
      </x:c>
      <x:c r="W193" t="str">
        <x:f>IF($U193="","","Weapons Database")</x:f>
      </x:c>
    </x:row>
    <x:row r="194">
      <x:c r="V194" t="str">
        <x:f>IF($U194="","",IFERROR(INDEX('Weapons Database'!$C$2:$C$100,MATCH($U194,'Weapons Database'!$A$2:$A$100,0))&amp;" "&amp;INDEX('Weapons Database'!$D$2:$D$100,MATCH($U194,'Weapons Database'!$A$2:$A$100,0)),""))</x:f>
      </x:c>
      <x:c r="W194" t="str">
        <x:f>IF($U194="","","Weapons Database")</x:f>
      </x:c>
    </x:row>
    <x:row r="195">
      <x:c r="V195" t="str">
        <x:f>IF($U195="","",IFERROR(INDEX('Weapons Database'!$C$2:$C$100,MATCH($U195,'Weapons Database'!$A$2:$A$100,0))&amp;" "&amp;INDEX('Weapons Database'!$D$2:$D$100,MATCH($U195,'Weapons Database'!$A$2:$A$100,0)),""))</x:f>
      </x:c>
      <x:c r="W195" t="str">
        <x:f>IF($U195="","","Weapons Database")</x:f>
      </x:c>
    </x:row>
    <x:row r="196">
      <x:c r="V196" t="str">
        <x:f>IF($U196="","",IFERROR(INDEX('Weapons Database'!$C$2:$C$100,MATCH($U196,'Weapons Database'!$A$2:$A$100,0))&amp;" "&amp;INDEX('Weapons Database'!$D$2:$D$100,MATCH($U196,'Weapons Database'!$A$2:$A$100,0)),""))</x:f>
      </x:c>
      <x:c r="W196" t="str">
        <x:f>IF($U196="","","Weapons Database")</x:f>
      </x:c>
    </x:row>
    <x:row r="197">
      <x:c r="V197" t="str">
        <x:f>IF($U197="","",IFERROR(INDEX('Weapons Database'!$C$2:$C$100,MATCH($U197,'Weapons Database'!$A$2:$A$100,0))&amp;" "&amp;INDEX('Weapons Database'!$D$2:$D$100,MATCH($U197,'Weapons Database'!$A$2:$A$100,0)),""))</x:f>
      </x:c>
      <x:c r="W197" t="str">
        <x:f>IF($U197="","","Weapons Database")</x:f>
      </x:c>
    </x:row>
    <x:row r="198">
      <x:c r="V198" t="str">
        <x:f>IF($U198="","",IFERROR(INDEX('Weapons Database'!$C$2:$C$100,MATCH($U198,'Weapons Database'!$A$2:$A$100,0))&amp;" "&amp;INDEX('Weapons Database'!$D$2:$D$100,MATCH($U198,'Weapons Database'!$A$2:$A$100,0)),""))</x:f>
      </x:c>
      <x:c r="W198" t="str">
        <x:f>IF($U198="","","Weapons Database")</x:f>
      </x:c>
    </x:row>
    <x:row r="199">
      <x:c r="V199" t="str">
        <x:f>IF($U199="","",IFERROR(INDEX('Weapons Database'!$C$2:$C$100,MATCH($U199,'Weapons Database'!$A$2:$A$100,0))&amp;" "&amp;INDEX('Weapons Database'!$D$2:$D$100,MATCH($U199,'Weapons Database'!$A$2:$A$100,0)),""))</x:f>
      </x:c>
      <x:c r="W199" t="str">
        <x:f>IF($U199="","","Weapons Database")</x:f>
      </x:c>
    </x:row>
    <x:row r="200">
      <x:c r="V200" t="str">
        <x:f>IF($U200="","",IFERROR(INDEX('Weapons Database'!$C$2:$C$100,MATCH($U200,'Weapons Database'!$A$2:$A$100,0))&amp;" "&amp;INDEX('Weapons Database'!$D$2:$D$100,MATCH($U200,'Weapons Database'!$A$2:$A$100,0)),""))</x:f>
      </x:c>
      <x:c r="W200" t="str">
        <x:f>IF($U200="","","Weapons Database")</x:f>
      </x:c>
    </x:row>
    <x:row r="201">
      <x:c r="V201" t="str">
        <x:f>IF($U201="","",IFERROR(INDEX('Weapons Database'!$C$2:$C$100,MATCH($U201,'Weapons Database'!$A$2:$A$100,0))&amp;" "&amp;INDEX('Weapons Database'!$D$2:$D$100,MATCH($U201,'Weapons Database'!$A$2:$A$100,0)),""))</x:f>
      </x:c>
      <x:c r="W201" t="str">
        <x:f>IF($U201="","","Weapons Database")</x:f>
      </x:c>
    </x:row>
    <x:row r="202">
      <x:c r="V202" t="str">
        <x:f>IF($U202="","",IFERROR(INDEX('Weapons Database'!$C$2:$C$100,MATCH($U202,'Weapons Database'!$A$2:$A$100,0))&amp;" "&amp;INDEX('Weapons Database'!$D$2:$D$100,MATCH($U202,'Weapons Database'!$A$2:$A$100,0)),""))</x:f>
      </x:c>
      <x:c r="W202" t="str">
        <x:f>IF($U202="","","Weapons Database")</x:f>
      </x:c>
    </x:row>
    <x:row r="203">
      <x:c r="V203" t="str">
        <x:f>IF($U203="","",IFERROR(INDEX('Weapons Database'!$C$2:$C$100,MATCH($U203,'Weapons Database'!$A$2:$A$100,0))&amp;" "&amp;INDEX('Weapons Database'!$D$2:$D$100,MATCH($U203,'Weapons Database'!$A$2:$A$100,0)),""))</x:f>
      </x:c>
      <x:c r="W203" t="str">
        <x:f>IF($U203="","","Weapons Database")</x:f>
      </x:c>
    </x:row>
    <x:row r="204">
      <x:c r="V204" t="str">
        <x:f>IF($U204="","",IFERROR(INDEX('Weapons Database'!$C$2:$C$100,MATCH($U204,'Weapons Database'!$A$2:$A$100,0))&amp;" "&amp;INDEX('Weapons Database'!$D$2:$D$100,MATCH($U204,'Weapons Database'!$A$2:$A$100,0)),""))</x:f>
      </x:c>
      <x:c r="W204" t="str">
        <x:f>IF($U204="","","Weapons Database")</x:f>
      </x:c>
    </x:row>
    <x:row r="205">
      <x:c r="V205" t="str">
        <x:f>IF($U205="","",IFERROR(INDEX('Weapons Database'!$C$2:$C$100,MATCH($U205,'Weapons Database'!$A$2:$A$100,0))&amp;" "&amp;INDEX('Weapons Database'!$D$2:$D$100,MATCH($U205,'Weapons Database'!$A$2:$A$100,0)),""))</x:f>
      </x:c>
      <x:c r="W205" t="str">
        <x:f>IF($U205="","","Weapons Database")</x:f>
      </x:c>
    </x:row>
    <x:row r="206">
      <x:c r="V206" t="str">
        <x:f>IF($U206="","",IFERROR(INDEX('Weapons Database'!$C$2:$C$100,MATCH($U206,'Weapons Database'!$A$2:$A$100,0))&amp;" "&amp;INDEX('Weapons Database'!$D$2:$D$100,MATCH($U206,'Weapons Database'!$A$2:$A$100,0)),""))</x:f>
      </x:c>
      <x:c r="W206" t="str">
        <x:f>IF($U206="","","Weapons Database")</x:f>
      </x:c>
    </x:row>
    <x:row r="207">
      <x:c r="V207" t="str">
        <x:f>IF($U207="","",IFERROR(INDEX('Weapons Database'!$C$2:$C$100,MATCH($U207,'Weapons Database'!$A$2:$A$100,0))&amp;" "&amp;INDEX('Weapons Database'!$D$2:$D$100,MATCH($U207,'Weapons Database'!$A$2:$A$100,0)),""))</x:f>
      </x:c>
      <x:c r="W207" t="str">
        <x:f>IF($U207="","","Weapons Database")</x:f>
      </x:c>
    </x:row>
    <x:row r="208">
      <x:c r="V208" t="str">
        <x:f>IF($U208="","",IFERROR(INDEX('Weapons Database'!$C$2:$C$100,MATCH($U208,'Weapons Database'!$A$2:$A$100,0))&amp;" "&amp;INDEX('Weapons Database'!$D$2:$D$100,MATCH($U208,'Weapons Database'!$A$2:$A$100,0)),""))</x:f>
      </x:c>
      <x:c r="W208" t="str">
        <x:f>IF($U208="","","Weapons Database")</x:f>
      </x:c>
    </x:row>
    <x:row r="209">
      <x:c r="V209" t="str">
        <x:f>IF($U209="","",IFERROR(INDEX('Weapons Database'!$C$2:$C$100,MATCH($U209,'Weapons Database'!$A$2:$A$100,0))&amp;" "&amp;INDEX('Weapons Database'!$D$2:$D$100,MATCH($U209,'Weapons Database'!$A$2:$A$100,0)),""))</x:f>
      </x:c>
      <x:c r="W209" t="str">
        <x:f>IF($U209="","","Weapons Database")</x:f>
      </x:c>
    </x:row>
    <x:row r="210">
      <x:c r="V210" t="str">
        <x:f>IF($U210="","",IFERROR(INDEX('Weapons Database'!$C$2:$C$100,MATCH($U210,'Weapons Database'!$A$2:$A$100,0))&amp;" "&amp;INDEX('Weapons Database'!$D$2:$D$100,MATCH($U210,'Weapons Database'!$A$2:$A$100,0)),""))</x:f>
      </x:c>
      <x:c r="W210" t="str">
        <x:f>IF($U210="","","Weapons Database")</x:f>
      </x:c>
    </x:row>
    <x:row r="211">
      <x:c r="V211" t="str">
        <x:f>IF($U211="","",IFERROR(INDEX('Weapons Database'!$C$2:$C$100,MATCH($U211,'Weapons Database'!$A$2:$A$100,0))&amp;" "&amp;INDEX('Weapons Database'!$D$2:$D$100,MATCH($U211,'Weapons Database'!$A$2:$A$100,0)),""))</x:f>
      </x:c>
      <x:c r="W211" t="str">
        <x:f>IF($U211="","","Weapons Database")</x:f>
      </x:c>
    </x:row>
    <x:row r="212">
      <x:c r="V212" t="str">
        <x:f>IF($U212="","",IFERROR(INDEX('Weapons Database'!$C$2:$C$100,MATCH($U212,'Weapons Database'!$A$2:$A$100,0))&amp;" "&amp;INDEX('Weapons Database'!$D$2:$D$100,MATCH($U212,'Weapons Database'!$A$2:$A$100,0)),""))</x:f>
      </x:c>
      <x:c r="W212" t="str">
        <x:f>IF($U212="","","Weapons Database")</x:f>
      </x:c>
    </x:row>
    <x:row r="213">
      <x:c r="V213" t="str">
        <x:f>IF($U213="","",IFERROR(INDEX('Weapons Database'!$C$2:$C$100,MATCH($U213,'Weapons Database'!$A$2:$A$100,0))&amp;" "&amp;INDEX('Weapons Database'!$D$2:$D$100,MATCH($U213,'Weapons Database'!$A$2:$A$100,0)),""))</x:f>
      </x:c>
      <x:c r="W213" t="str">
        <x:f>IF($U213="","","Weapons Database")</x:f>
      </x:c>
    </x:row>
    <x:row r="214">
      <x:c r="V214" t="str">
        <x:f>IF($U214="","",IFERROR(INDEX('Weapons Database'!$C$2:$C$100,MATCH($U214,'Weapons Database'!$A$2:$A$100,0))&amp;" "&amp;INDEX('Weapons Database'!$D$2:$D$100,MATCH($U214,'Weapons Database'!$A$2:$A$100,0)),""))</x:f>
      </x:c>
      <x:c r="W214" t="str">
        <x:f>IF($U214="","","Weapons Database")</x:f>
      </x:c>
    </x:row>
    <x:row r="215">
      <x:c r="V215" t="str">
        <x:f>IF($U215="","",IFERROR(INDEX('Weapons Database'!$C$2:$C$100,MATCH($U215,'Weapons Database'!$A$2:$A$100,0))&amp;" "&amp;INDEX('Weapons Database'!$D$2:$D$100,MATCH($U215,'Weapons Database'!$A$2:$A$100,0)),""))</x:f>
      </x:c>
      <x:c r="W215" t="str">
        <x:f>IF($U215="","","Weapons Database")</x:f>
      </x:c>
    </x:row>
    <x:row r="216">
      <x:c r="V216" t="str">
        <x:f>IF($U216="","",IFERROR(INDEX('Weapons Database'!$C$2:$C$100,MATCH($U216,'Weapons Database'!$A$2:$A$100,0))&amp;" "&amp;INDEX('Weapons Database'!$D$2:$D$100,MATCH($U216,'Weapons Database'!$A$2:$A$100,0)),""))</x:f>
      </x:c>
      <x:c r="W216" t="str">
        <x:f>IF($U216="","","Weapons Database")</x:f>
      </x:c>
    </x:row>
    <x:row r="217">
      <x:c r="V217" t="str">
        <x:f>IF($U217="","",IFERROR(INDEX('Weapons Database'!$C$2:$C$100,MATCH($U217,'Weapons Database'!$A$2:$A$100,0))&amp;" "&amp;INDEX('Weapons Database'!$D$2:$D$100,MATCH($U217,'Weapons Database'!$A$2:$A$100,0)),""))</x:f>
      </x:c>
      <x:c r="W217" t="str">
        <x:f>IF($U217="","","Weapons Database")</x:f>
      </x:c>
    </x:row>
    <x:row r="218">
      <x:c r="V218" t="str">
        <x:f>IF($U218="","",IFERROR(INDEX('Weapons Database'!$C$2:$C$100,MATCH($U218,'Weapons Database'!$A$2:$A$100,0))&amp;" "&amp;INDEX('Weapons Database'!$D$2:$D$100,MATCH($U218,'Weapons Database'!$A$2:$A$100,0)),""))</x:f>
      </x:c>
      <x:c r="W218" t="str">
        <x:f>IF($U218="","","Weapons Database")</x:f>
      </x:c>
    </x:row>
    <x:row r="219">
      <x:c r="V219" t="str">
        <x:f>IF($U219="","",IFERROR(INDEX('Weapons Database'!$C$2:$C$100,MATCH($U219,'Weapons Database'!$A$2:$A$100,0))&amp;" "&amp;INDEX('Weapons Database'!$D$2:$D$100,MATCH($U219,'Weapons Database'!$A$2:$A$100,0)),""))</x:f>
      </x:c>
      <x:c r="W219" t="str">
        <x:f>IF($U219="","","Weapons Database")</x:f>
      </x:c>
    </x:row>
    <x:row r="220">
      <x:c r="V220" t="str">
        <x:f>IF($U220="","",IFERROR(INDEX('Weapons Database'!$C$2:$C$100,MATCH($U220,'Weapons Database'!$A$2:$A$100,0))&amp;" "&amp;INDEX('Weapons Database'!$D$2:$D$100,MATCH($U220,'Weapons Database'!$A$2:$A$100,0)),""))</x:f>
      </x:c>
      <x:c r="W220" t="str">
        <x:f>IF($U220="","","Weapons Database")</x:f>
      </x:c>
    </x:row>
    <x:row r="221">
      <x:c r="V221" t="str">
        <x:f>IF($U221="","",IFERROR(INDEX('Weapons Database'!$C$2:$C$100,MATCH($U221,'Weapons Database'!$A$2:$A$100,0))&amp;" "&amp;INDEX('Weapons Database'!$D$2:$D$100,MATCH($U221,'Weapons Database'!$A$2:$A$100,0)),""))</x:f>
      </x:c>
      <x:c r="W221" t="str">
        <x:f>IF($U221="","","Weapons Database")</x:f>
      </x:c>
    </x:row>
    <x:row r="222">
      <x:c r="V222" t="str">
        <x:f>IF($U222="","",IFERROR(INDEX('Weapons Database'!$C$2:$C$100,MATCH($U222,'Weapons Database'!$A$2:$A$100,0))&amp;" "&amp;INDEX('Weapons Database'!$D$2:$D$100,MATCH($U222,'Weapons Database'!$A$2:$A$100,0)),""))</x:f>
      </x:c>
      <x:c r="W222" t="str">
        <x:f>IF($U222="","","Weapons Database")</x:f>
      </x:c>
    </x:row>
    <x:row r="223">
      <x:c r="V223" t="str">
        <x:f>IF($U223="","",IFERROR(INDEX('Weapons Database'!$C$2:$C$100,MATCH($U223,'Weapons Database'!$A$2:$A$100,0))&amp;" "&amp;INDEX('Weapons Database'!$D$2:$D$100,MATCH($U223,'Weapons Database'!$A$2:$A$100,0)),""))</x:f>
      </x:c>
      <x:c r="W223" t="str">
        <x:f>IF($U223="","","Weapons Database")</x:f>
      </x:c>
    </x:row>
    <x:row r="224">
      <x:c r="V224" t="str">
        <x:f>IF($U224="","",IFERROR(INDEX('Weapons Database'!$C$2:$C$100,MATCH($U224,'Weapons Database'!$A$2:$A$100,0))&amp;" "&amp;INDEX('Weapons Database'!$D$2:$D$100,MATCH($U224,'Weapons Database'!$A$2:$A$100,0)),""))</x:f>
      </x:c>
      <x:c r="W224" t="str">
        <x:f>IF($U224="","","Weapons Database")</x:f>
      </x:c>
    </x:row>
    <x:row r="225">
      <x:c r="V225" t="str">
        <x:f>IF($U225="","",IFERROR(INDEX('Weapons Database'!$C$2:$C$100,MATCH($U225,'Weapons Database'!$A$2:$A$100,0))&amp;" "&amp;INDEX('Weapons Database'!$D$2:$D$100,MATCH($U225,'Weapons Database'!$A$2:$A$100,0)),""))</x:f>
      </x:c>
      <x:c r="W225" t="str">
        <x:f>IF($U225="","","Weapons Database")</x:f>
      </x:c>
    </x:row>
    <x:row r="226">
      <x:c r="V226" t="str">
        <x:f>IF($U226="","",IFERROR(INDEX('Weapons Database'!$C$2:$C$100,MATCH($U226,'Weapons Database'!$A$2:$A$100,0))&amp;" "&amp;INDEX('Weapons Database'!$D$2:$D$100,MATCH($U226,'Weapons Database'!$A$2:$A$100,0)),""))</x:f>
      </x:c>
      <x:c r="W226" t="str">
        <x:f>IF($U226="","","Weapons Database")</x:f>
      </x:c>
    </x:row>
    <x:row r="227">
      <x:c r="V227" t="str">
        <x:f>IF($U227="","",IFERROR(INDEX('Weapons Database'!$C$2:$C$100,MATCH($U227,'Weapons Database'!$A$2:$A$100,0))&amp;" "&amp;INDEX('Weapons Database'!$D$2:$D$100,MATCH($U227,'Weapons Database'!$A$2:$A$100,0)),""))</x:f>
      </x:c>
      <x:c r="W227" t="str">
        <x:f>IF($U227="","","Weapons Database")</x:f>
      </x:c>
    </x:row>
    <x:row r="228">
      <x:c r="V228" t="str">
        <x:f>IF($U228="","",IFERROR(INDEX('Weapons Database'!$C$2:$C$100,MATCH($U228,'Weapons Database'!$A$2:$A$100,0))&amp;" "&amp;INDEX('Weapons Database'!$D$2:$D$100,MATCH($U228,'Weapons Database'!$A$2:$A$100,0)),""))</x:f>
      </x:c>
      <x:c r="W228" t="str">
        <x:f>IF($U228="","","Weapons Database")</x:f>
      </x:c>
    </x:row>
    <x:row r="229">
      <x:c r="V229" t="str">
        <x:f>IF($U229="","",IFERROR(INDEX('Weapons Database'!$C$2:$C$100,MATCH($U229,'Weapons Database'!$A$2:$A$100,0))&amp;" "&amp;INDEX('Weapons Database'!$D$2:$D$100,MATCH($U229,'Weapons Database'!$A$2:$A$100,0)),""))</x:f>
      </x:c>
      <x:c r="W229" t="str">
        <x:f>IF($U229="","","Weapons Database")</x:f>
      </x:c>
    </x:row>
    <x:row r="230">
      <x:c r="V230" t="str">
        <x:f>IF($U230="","",IFERROR(INDEX('Weapons Database'!$C$2:$C$100,MATCH($U230,'Weapons Database'!$A$2:$A$100,0))&amp;" "&amp;INDEX('Weapons Database'!$D$2:$D$100,MATCH($U230,'Weapons Database'!$A$2:$A$100,0)),""))</x:f>
      </x:c>
      <x:c r="W230" t="str">
        <x:f>IF($U230="","","Weapons Database")</x:f>
      </x:c>
    </x:row>
    <x:row r="231">
      <x:c r="V231" t="str">
        <x:f>IF($U231="","",IFERROR(INDEX('Weapons Database'!$C$2:$C$100,MATCH($U231,'Weapons Database'!$A$2:$A$100,0))&amp;" "&amp;INDEX('Weapons Database'!$D$2:$D$100,MATCH($U231,'Weapons Database'!$A$2:$A$100,0)),""))</x:f>
      </x:c>
      <x:c r="W231" t="str">
        <x:f>IF($U231="","","Weapons Database")</x:f>
      </x:c>
    </x:row>
    <x:row r="232">
      <x:c r="V232" t="str">
        <x:f>IF($U232="","",IFERROR(INDEX('Weapons Database'!$C$2:$C$100,MATCH($U232,'Weapons Database'!$A$2:$A$100,0))&amp;" "&amp;INDEX('Weapons Database'!$D$2:$D$100,MATCH($U232,'Weapons Database'!$A$2:$A$100,0)),""))</x:f>
      </x:c>
      <x:c r="W232" t="str">
        <x:f>IF($U232="","","Weapons Database")</x:f>
      </x:c>
    </x:row>
    <x:row r="233">
      <x:c r="V233" t="str">
        <x:f>IF($U233="","",IFERROR(INDEX('Weapons Database'!$C$2:$C$100,MATCH($U233,'Weapons Database'!$A$2:$A$100,0))&amp;" "&amp;INDEX('Weapons Database'!$D$2:$D$100,MATCH($U233,'Weapons Database'!$A$2:$A$100,0)),""))</x:f>
      </x:c>
      <x:c r="W233" t="str">
        <x:f>IF($U233="","","Weapons Database")</x:f>
      </x:c>
    </x:row>
    <x:row r="234">
      <x:c r="V234" t="str">
        <x:f>IF($U234="","",IFERROR(INDEX('Weapons Database'!$C$2:$C$100,MATCH($U234,'Weapons Database'!$A$2:$A$100,0))&amp;" "&amp;INDEX('Weapons Database'!$D$2:$D$100,MATCH($U234,'Weapons Database'!$A$2:$A$100,0)),""))</x:f>
      </x:c>
      <x:c r="W234" t="str">
        <x:f>IF($U234="","","Weapons Database")</x:f>
      </x:c>
    </x:row>
    <x:row r="235">
      <x:c r="V235" t="str">
        <x:f>IF($U235="","",IFERROR(INDEX('Weapons Database'!$C$2:$C$100,MATCH($U235,'Weapons Database'!$A$2:$A$100,0))&amp;" "&amp;INDEX('Weapons Database'!$D$2:$D$100,MATCH($U235,'Weapons Database'!$A$2:$A$100,0)),""))</x:f>
      </x:c>
      <x:c r="W235" t="str">
        <x:f>IF($U235="","","Weapons Database")</x:f>
      </x:c>
    </x:row>
    <x:row r="236">
      <x:c r="V236" t="str">
        <x:f>IF($U236="","",IFERROR(INDEX('Weapons Database'!$C$2:$C$100,MATCH($U236,'Weapons Database'!$A$2:$A$100,0))&amp;" "&amp;INDEX('Weapons Database'!$D$2:$D$100,MATCH($U236,'Weapons Database'!$A$2:$A$100,0)),""))</x:f>
      </x:c>
      <x:c r="W236" t="str">
        <x:f>IF($U236="","","Weapons Database")</x:f>
      </x:c>
    </x:row>
    <x:row r="237">
      <x:c r="V237" t="str">
        <x:f>IF($U237="","",IFERROR(INDEX('Weapons Database'!$C$2:$C$100,MATCH($U237,'Weapons Database'!$A$2:$A$100,0))&amp;" "&amp;INDEX('Weapons Database'!$D$2:$D$100,MATCH($U237,'Weapons Database'!$A$2:$A$100,0)),""))</x:f>
      </x:c>
      <x:c r="W237" t="str">
        <x:f>IF($U237="","","Weapons Database")</x:f>
      </x:c>
    </x:row>
    <x:row r="238">
      <x:c r="V238" t="str">
        <x:f>IF($U238="","",IFERROR(INDEX('Weapons Database'!$C$2:$C$100,MATCH($U238,'Weapons Database'!$A$2:$A$100,0))&amp;" "&amp;INDEX('Weapons Database'!$D$2:$D$100,MATCH($U238,'Weapons Database'!$A$2:$A$100,0)),""))</x:f>
      </x:c>
      <x:c r="W238" t="str">
        <x:f>IF($U238="","","Weapons Database")</x:f>
      </x:c>
    </x:row>
    <x:row r="239">
      <x:c r="V239" t="str">
        <x:f>IF($U239="","",IFERROR(INDEX('Weapons Database'!$C$2:$C$100,MATCH($U239,'Weapons Database'!$A$2:$A$100,0))&amp;" "&amp;INDEX('Weapons Database'!$D$2:$D$100,MATCH($U239,'Weapons Database'!$A$2:$A$100,0)),""))</x:f>
      </x:c>
      <x:c r="W239" t="str">
        <x:f>IF($U239="","","Weapons Database")</x:f>
      </x:c>
    </x:row>
    <x:row r="240">
      <x:c r="V240" t="str">
        <x:f>IF($U240="","",IFERROR(INDEX('Weapons Database'!$C$2:$C$100,MATCH($U240,'Weapons Database'!$A$2:$A$100,0))&amp;" "&amp;INDEX('Weapons Database'!$D$2:$D$100,MATCH($U240,'Weapons Database'!$A$2:$A$100,0)),""))</x:f>
      </x:c>
      <x:c r="W240" t="str">
        <x:f>IF($U240="","","Weapons Database")</x:f>
      </x:c>
    </x:row>
    <x:row r="241">
      <x:c r="V241" t="str">
        <x:f>IF($U241="","",IFERROR(INDEX('Weapons Database'!$C$2:$C$100,MATCH($U241,'Weapons Database'!$A$2:$A$100,0))&amp;" "&amp;INDEX('Weapons Database'!$D$2:$D$100,MATCH($U241,'Weapons Database'!$A$2:$A$100,0)),""))</x:f>
      </x:c>
      <x:c r="W241" t="str">
        <x:f>IF($U241="","","Weapons Database")</x:f>
      </x:c>
    </x:row>
    <x:row r="242">
      <x:c r="V242" t="str">
        <x:f>IF($U242="","",IFERROR(INDEX('Weapons Database'!$C$2:$C$100,MATCH($U242,'Weapons Database'!$A$2:$A$100,0))&amp;" "&amp;INDEX('Weapons Database'!$D$2:$D$100,MATCH($U242,'Weapons Database'!$A$2:$A$100,0)),""))</x:f>
      </x:c>
      <x:c r="W242" t="str">
        <x:f>IF($U242="","","Weapons Database")</x:f>
      </x:c>
    </x:row>
    <x:row r="243">
      <x:c r="V243" t="str">
        <x:f>IF($U243="","",IFERROR(INDEX('Weapons Database'!$C$2:$C$100,MATCH($U243,'Weapons Database'!$A$2:$A$100,0))&amp;" "&amp;INDEX('Weapons Database'!$D$2:$D$100,MATCH($U243,'Weapons Database'!$A$2:$A$100,0)),""))</x:f>
      </x:c>
      <x:c r="W243" t="str">
        <x:f>IF($U243="","","Weapons Database")</x:f>
      </x:c>
    </x:row>
    <x:row r="244">
      <x:c r="V244" t="str">
        <x:f>IF($U244="","",IFERROR(INDEX('Weapons Database'!$C$2:$C$100,MATCH($U244,'Weapons Database'!$A$2:$A$100,0))&amp;" "&amp;INDEX('Weapons Database'!$D$2:$D$100,MATCH($U244,'Weapons Database'!$A$2:$A$100,0)),""))</x:f>
      </x:c>
      <x:c r="W244" t="str">
        <x:f>IF($U244="","","Weapons Database")</x:f>
      </x:c>
    </x:row>
    <x:row r="245">
      <x:c r="V245" t="str">
        <x:f>IF($U245="","",IFERROR(INDEX('Weapons Database'!$C$2:$C$100,MATCH($U245,'Weapons Database'!$A$2:$A$100,0))&amp;" "&amp;INDEX('Weapons Database'!$D$2:$D$100,MATCH($U245,'Weapons Database'!$A$2:$A$100,0)),""))</x:f>
      </x:c>
      <x:c r="W245" t="str">
        <x:f>IF($U245="","","Weapons Database")</x:f>
      </x:c>
    </x:row>
    <x:row r="246">
      <x:c r="V246" t="str">
        <x:f>IF($U246="","",IFERROR(INDEX('Weapons Database'!$C$2:$C$100,MATCH($U246,'Weapons Database'!$A$2:$A$100,0))&amp;" "&amp;INDEX('Weapons Database'!$D$2:$D$100,MATCH($U246,'Weapons Database'!$A$2:$A$100,0)),""))</x:f>
      </x:c>
      <x:c r="W246" t="str">
        <x:f>IF($U246="","","Weapons Database")</x:f>
      </x:c>
    </x:row>
    <x:row r="247">
      <x:c r="V247" t="str">
        <x:f>IF($U247="","",IFERROR(INDEX('Weapons Database'!$C$2:$C$100,MATCH($U247,'Weapons Database'!$A$2:$A$100,0))&amp;" "&amp;INDEX('Weapons Database'!$D$2:$D$100,MATCH($U247,'Weapons Database'!$A$2:$A$100,0)),""))</x:f>
      </x:c>
      <x:c r="W247" t="str">
        <x:f>IF($U247="","","Weapons Database")</x:f>
      </x:c>
    </x:row>
    <x:row r="248">
      <x:c r="V248" t="str">
        <x:f>IF($U248="","",IFERROR(INDEX('Weapons Database'!$C$2:$C$100,MATCH($U248,'Weapons Database'!$A$2:$A$100,0))&amp;" "&amp;INDEX('Weapons Database'!$D$2:$D$100,MATCH($U248,'Weapons Database'!$A$2:$A$100,0)),""))</x:f>
      </x:c>
      <x:c r="W248" t="str">
        <x:f>IF($U248="","","Weapons Database")</x:f>
      </x:c>
    </x:row>
    <x:row r="249">
      <x:c r="V249" t="str">
        <x:f>IF($U249="","",IFERROR(INDEX('Weapons Database'!$C$2:$C$100,MATCH($U249,'Weapons Database'!$A$2:$A$100,0))&amp;" "&amp;INDEX('Weapons Database'!$D$2:$D$100,MATCH($U249,'Weapons Database'!$A$2:$A$100,0)),""))</x:f>
      </x:c>
      <x:c r="W249" t="str">
        <x:f>IF($U249="","","Weapons Database")</x:f>
      </x:c>
    </x:row>
    <x:row r="250">
      <x:c r="V250" t="str">
        <x:f>IF($U250="","",IFERROR(INDEX('Weapons Database'!$C$2:$C$100,MATCH($U250,'Weapons Database'!$A$2:$A$100,0))&amp;" "&amp;INDEX('Weapons Database'!$D$2:$D$100,MATCH($U250,'Weapons Database'!$A$2:$A$100,0)),""))</x:f>
      </x:c>
      <x:c r="W250" t="str">
        <x:f>IF($U250="","","Weapons Database")</x:f>
      </x:c>
    </x:row>
    <x:row r="251">
      <x:c r="V251" t="str">
        <x:f>IF($U251="","",IFERROR(INDEX('Weapons Database'!$C$2:$C$100,MATCH($U251,'Weapons Database'!$A$2:$A$100,0))&amp;" "&amp;INDEX('Weapons Database'!$D$2:$D$100,MATCH($U251,'Weapons Database'!$A$2:$A$100,0)),""))</x:f>
      </x:c>
      <x:c r="W251" t="str">
        <x:f>IF($U251="","","Weapons Database")</x:f>
      </x:c>
    </x:row>
    <x:row r="252">
      <x:c r="V252" t="str">
        <x:f>IF($U252="","",IFERROR(INDEX('Weapons Database'!$C$2:$C$100,MATCH($U252,'Weapons Database'!$A$2:$A$100,0))&amp;" "&amp;INDEX('Weapons Database'!$D$2:$D$100,MATCH($U252,'Weapons Database'!$A$2:$A$100,0)),""))</x:f>
      </x:c>
      <x:c r="W252" t="str">
        <x:f>IF($U252="","","Weapons Database")</x:f>
      </x:c>
    </x:row>
    <x:row r="253">
      <x:c r="V253" t="str">
        <x:f>IF($U253="","",IFERROR(INDEX('Weapons Database'!$C$2:$C$100,MATCH($U253,'Weapons Database'!$A$2:$A$100,0))&amp;" "&amp;INDEX('Weapons Database'!$D$2:$D$100,MATCH($U253,'Weapons Database'!$A$2:$A$100,0)),""))</x:f>
      </x:c>
      <x:c r="W253" t="str">
        <x:f>IF($U253="","","Weapons Database")</x:f>
      </x:c>
    </x:row>
    <x:row r="254">
      <x:c r="V254" t="str">
        <x:f>IF($U254="","",IFERROR(INDEX('Weapons Database'!$C$2:$C$100,MATCH($U254,'Weapons Database'!$A$2:$A$100,0))&amp;" "&amp;INDEX('Weapons Database'!$D$2:$D$100,MATCH($U254,'Weapons Database'!$A$2:$A$100,0)),""))</x:f>
      </x:c>
      <x:c r="W254" t="str">
        <x:f>IF($U254="","","Weapons Database")</x:f>
      </x:c>
    </x:row>
    <x:row r="255">
      <x:c r="V255" t="str">
        <x:f>IF($U255="","",IFERROR(INDEX('Weapons Database'!$C$2:$C$100,MATCH($U255,'Weapons Database'!$A$2:$A$100,0))&amp;" "&amp;INDEX('Weapons Database'!$D$2:$D$100,MATCH($U255,'Weapons Database'!$A$2:$A$100,0)),""))</x:f>
      </x:c>
      <x:c r="W255" t="str">
        <x:f>IF($U255="","","Weapons Database")</x:f>
      </x:c>
    </x:row>
    <x:row r="256">
      <x:c r="V256" t="str">
        <x:f>IF($U256="","",IFERROR(INDEX('Weapons Database'!$C$2:$C$100,MATCH($U256,'Weapons Database'!$A$2:$A$100,0))&amp;" "&amp;INDEX('Weapons Database'!$D$2:$D$100,MATCH($U256,'Weapons Database'!$A$2:$A$100,0)),""))</x:f>
      </x:c>
      <x:c r="W256" t="str">
        <x:f>IF($U256="","","Weapons Database")</x:f>
      </x:c>
    </x:row>
    <x:row r="257">
      <x:c r="V257" t="str">
        <x:f>IF($U257="","",IFERROR(INDEX('Weapons Database'!$C$2:$C$100,MATCH($U257,'Weapons Database'!$A$2:$A$100,0))&amp;" "&amp;INDEX('Weapons Database'!$D$2:$D$100,MATCH($U257,'Weapons Database'!$A$2:$A$100,0)),""))</x:f>
      </x:c>
      <x:c r="W257" t="str">
        <x:f>IF($U257="","","Weapons Database")</x:f>
      </x:c>
    </x:row>
    <x:row r="258">
      <x:c r="V258" t="str">
        <x:f>IF($U258="","",IFERROR(INDEX('Weapons Database'!$C$2:$C$100,MATCH($U258,'Weapons Database'!$A$2:$A$100,0))&amp;" "&amp;INDEX('Weapons Database'!$D$2:$D$100,MATCH($U258,'Weapons Database'!$A$2:$A$100,0)),""))</x:f>
      </x:c>
      <x:c r="W258" t="str">
        <x:f>IF($U258="","","Weapons Database")</x:f>
      </x:c>
    </x:row>
    <x:row r="259">
      <x:c r="V259" t="str">
        <x:f>IF($U259="","",IFERROR(INDEX('Weapons Database'!$C$2:$C$100,MATCH($U259,'Weapons Database'!$A$2:$A$100,0))&amp;" "&amp;INDEX('Weapons Database'!$D$2:$D$100,MATCH($U259,'Weapons Database'!$A$2:$A$100,0)),""))</x:f>
      </x:c>
      <x:c r="W259" t="str">
        <x:f>IF($U259="","","Weapons Database")</x:f>
      </x:c>
    </x:row>
    <x:row r="260">
      <x:c r="V260" t="str">
        <x:f>IF($U260="","",IFERROR(INDEX('Weapons Database'!$C$2:$C$100,MATCH($U260,'Weapons Database'!$A$2:$A$100,0))&amp;" "&amp;INDEX('Weapons Database'!$D$2:$D$100,MATCH($U260,'Weapons Database'!$A$2:$A$100,0)),""))</x:f>
      </x:c>
      <x:c r="W260" t="str">
        <x:f>IF($U260="","","Weapons Database")</x:f>
      </x:c>
    </x:row>
    <x:row r="261">
      <x:c r="V261" t="str">
        <x:f>IF($U261="","",IFERROR(INDEX('Weapons Database'!$C$2:$C$100,MATCH($U261,'Weapons Database'!$A$2:$A$100,0))&amp;" "&amp;INDEX('Weapons Database'!$D$2:$D$100,MATCH($U261,'Weapons Database'!$A$2:$A$100,0)),""))</x:f>
      </x:c>
      <x:c r="W261" t="str">
        <x:f>IF($U261="","","Weapons Database")</x:f>
      </x:c>
    </x:row>
    <x:row r="262">
      <x:c r="V262" t="str">
        <x:f>IF($U262="","",IFERROR(INDEX('Weapons Database'!$C$2:$C$100,MATCH($U262,'Weapons Database'!$A$2:$A$100,0))&amp;" "&amp;INDEX('Weapons Database'!$D$2:$D$100,MATCH($U262,'Weapons Database'!$A$2:$A$100,0)),""))</x:f>
      </x:c>
      <x:c r="W262" t="str">
        <x:f>IF($U262="","","Weapons Database")</x:f>
      </x:c>
    </x:row>
    <x:row r="263">
      <x:c r="V263" t="str">
        <x:f>IF($U263="","",IFERROR(INDEX('Weapons Database'!$C$2:$C$100,MATCH($U263,'Weapons Database'!$A$2:$A$100,0))&amp;" "&amp;INDEX('Weapons Database'!$D$2:$D$100,MATCH($U263,'Weapons Database'!$A$2:$A$100,0)),""))</x:f>
      </x:c>
      <x:c r="W263" t="str">
        <x:f>IF($U263="","","Weapons Database")</x:f>
      </x:c>
    </x:row>
    <x:row r="264">
      <x:c r="V264" t="str">
        <x:f>IF($U264="","",IFERROR(INDEX('Weapons Database'!$C$2:$C$100,MATCH($U264,'Weapons Database'!$A$2:$A$100,0))&amp;" "&amp;INDEX('Weapons Database'!$D$2:$D$100,MATCH($U264,'Weapons Database'!$A$2:$A$100,0)),""))</x:f>
      </x:c>
      <x:c r="W264" t="str">
        <x:f>IF($U264="","","Weapons Database")</x:f>
      </x:c>
    </x:row>
    <x:row r="265">
      <x:c r="V265" t="str">
        <x:f>IF($U265="","",IFERROR(INDEX('Weapons Database'!$C$2:$C$100,MATCH($U265,'Weapons Database'!$A$2:$A$100,0))&amp;" "&amp;INDEX('Weapons Database'!$D$2:$D$100,MATCH($U265,'Weapons Database'!$A$2:$A$100,0)),""))</x:f>
      </x:c>
      <x:c r="W265" t="str">
        <x:f>IF($U265="","","Weapons Database")</x:f>
      </x:c>
    </x:row>
    <x:row r="266">
      <x:c r="V266" t="str">
        <x:f>IF($U266="","",IFERROR(INDEX('Weapons Database'!$C$2:$C$100,MATCH($U266,'Weapons Database'!$A$2:$A$100,0))&amp;" "&amp;INDEX('Weapons Database'!$D$2:$D$100,MATCH($U266,'Weapons Database'!$A$2:$A$100,0)),""))</x:f>
      </x:c>
      <x:c r="W266" t="str">
        <x:f>IF($U266="","","Weapons Database")</x:f>
      </x:c>
    </x:row>
    <x:row r="267">
      <x:c r="V267" t="str">
        <x:f>IF($U267="","",IFERROR(INDEX('Weapons Database'!$C$2:$C$100,MATCH($U267,'Weapons Database'!$A$2:$A$100,0))&amp;" "&amp;INDEX('Weapons Database'!$D$2:$D$100,MATCH($U267,'Weapons Database'!$A$2:$A$100,0)),""))</x:f>
      </x:c>
      <x:c r="W267" t="str">
        <x:f>IF($U267="","","Weapons Database")</x:f>
      </x:c>
    </x:row>
    <x:row r="268">
      <x:c r="V268" t="str">
        <x:f>IF($U268="","",IFERROR(INDEX('Weapons Database'!$C$2:$C$100,MATCH($U268,'Weapons Database'!$A$2:$A$100,0))&amp;" "&amp;INDEX('Weapons Database'!$D$2:$D$100,MATCH($U268,'Weapons Database'!$A$2:$A$100,0)),""))</x:f>
      </x:c>
      <x:c r="W268" t="str">
        <x:f>IF($U268="","","Weapons Database")</x:f>
      </x:c>
    </x:row>
    <x:row r="269">
      <x:c r="V269" t="str">
        <x:f>IF($U269="","",IFERROR(INDEX('Weapons Database'!$C$2:$C$100,MATCH($U269,'Weapons Database'!$A$2:$A$100,0))&amp;" "&amp;INDEX('Weapons Database'!$D$2:$D$100,MATCH($U269,'Weapons Database'!$A$2:$A$100,0)),""))</x:f>
      </x:c>
      <x:c r="W269" t="str">
        <x:f>IF($U269="","","Weapons Database")</x:f>
      </x:c>
    </x:row>
    <x:row r="270">
      <x:c r="V270" t="str">
        <x:f>IF($U270="","",IFERROR(INDEX('Weapons Database'!$C$2:$C$100,MATCH($U270,'Weapons Database'!$A$2:$A$100,0))&amp;" "&amp;INDEX('Weapons Database'!$D$2:$D$100,MATCH($U270,'Weapons Database'!$A$2:$A$100,0)),""))</x:f>
      </x:c>
      <x:c r="W270" t="str">
        <x:f>IF($U270="","","Weapons Database")</x:f>
      </x:c>
    </x:row>
    <x:row r="271">
      <x:c r="V271" t="str">
        <x:f>IF($U271="","",IFERROR(INDEX('Weapons Database'!$C$2:$C$100,MATCH($U271,'Weapons Database'!$A$2:$A$100,0))&amp;" "&amp;INDEX('Weapons Database'!$D$2:$D$100,MATCH($U271,'Weapons Database'!$A$2:$A$100,0)),""))</x:f>
      </x:c>
      <x:c r="W271" t="str">
        <x:f>IF($U271="","","Weapons Database")</x:f>
      </x:c>
    </x:row>
    <x:row r="272">
      <x:c r="V272" t="str">
        <x:f>IF($U272="","",IFERROR(INDEX('Weapons Database'!$C$2:$C$100,MATCH($U272,'Weapons Database'!$A$2:$A$100,0))&amp;" "&amp;INDEX('Weapons Database'!$D$2:$D$100,MATCH($U272,'Weapons Database'!$A$2:$A$100,0)),""))</x:f>
      </x:c>
      <x:c r="W272" t="str">
        <x:f>IF($U272="","","Weapons Database")</x:f>
      </x:c>
    </x:row>
    <x:row r="273">
      <x:c r="V273" t="str">
        <x:f>IF($U273="","",IFERROR(INDEX('Weapons Database'!$C$2:$C$100,MATCH($U273,'Weapons Database'!$A$2:$A$100,0))&amp;" "&amp;INDEX('Weapons Database'!$D$2:$D$100,MATCH($U273,'Weapons Database'!$A$2:$A$100,0)),""))</x:f>
      </x:c>
      <x:c r="W273" t="str">
        <x:f>IF($U273="","","Weapons Database")</x:f>
      </x:c>
    </x:row>
    <x:row r="274">
      <x:c r="V274" t="str">
        <x:f>IF($U274="","",IFERROR(INDEX('Weapons Database'!$C$2:$C$100,MATCH($U274,'Weapons Database'!$A$2:$A$100,0))&amp;" "&amp;INDEX('Weapons Database'!$D$2:$D$100,MATCH($U274,'Weapons Database'!$A$2:$A$100,0)),""))</x:f>
      </x:c>
      <x:c r="W274" t="str">
        <x:f>IF($U274="","","Weapons Database")</x:f>
      </x:c>
    </x:row>
    <x:row r="275">
      <x:c r="V275" t="str">
        <x:f>IF($U275="","",IFERROR(INDEX('Weapons Database'!$C$2:$C$100,MATCH($U275,'Weapons Database'!$A$2:$A$100,0))&amp;" "&amp;INDEX('Weapons Database'!$D$2:$D$100,MATCH($U275,'Weapons Database'!$A$2:$A$100,0)),""))</x:f>
      </x:c>
      <x:c r="W275" t="str">
        <x:f>IF($U275="","","Weapons Database")</x:f>
      </x:c>
    </x:row>
    <x:row r="276">
      <x:c r="V276" t="str">
        <x:f>IF($U276="","",IFERROR(INDEX('Weapons Database'!$C$2:$C$100,MATCH($U276,'Weapons Database'!$A$2:$A$100,0))&amp;" "&amp;INDEX('Weapons Database'!$D$2:$D$100,MATCH($U276,'Weapons Database'!$A$2:$A$100,0)),""))</x:f>
      </x:c>
      <x:c r="W276" t="str">
        <x:f>IF($U276="","","Weapons Database")</x:f>
      </x:c>
    </x:row>
    <x:row r="277">
      <x:c r="V277" t="str">
        <x:f>IF($U277="","",IFERROR(INDEX('Weapons Database'!$C$2:$C$100,MATCH($U277,'Weapons Database'!$A$2:$A$100,0))&amp;" "&amp;INDEX('Weapons Database'!$D$2:$D$100,MATCH($U277,'Weapons Database'!$A$2:$A$100,0)),""))</x:f>
      </x:c>
      <x:c r="W277" t="str">
        <x:f>IF($U277="","","Weapons Database")</x:f>
      </x:c>
    </x:row>
    <x:row r="278">
      <x:c r="V278" t="str">
        <x:f>IF($U278="","",IFERROR(INDEX('Weapons Database'!$C$2:$C$100,MATCH($U278,'Weapons Database'!$A$2:$A$100,0))&amp;" "&amp;INDEX('Weapons Database'!$D$2:$D$100,MATCH($U278,'Weapons Database'!$A$2:$A$100,0)),""))</x:f>
      </x:c>
      <x:c r="W278" t="str">
        <x:f>IF($U278="","","Weapons Database")</x:f>
      </x:c>
    </x:row>
    <x:row r="279">
      <x:c r="V279" t="str">
        <x:f>IF($U279="","",IFERROR(INDEX('Weapons Database'!$C$2:$C$100,MATCH($U279,'Weapons Database'!$A$2:$A$100,0))&amp;" "&amp;INDEX('Weapons Database'!$D$2:$D$100,MATCH($U279,'Weapons Database'!$A$2:$A$100,0)),""))</x:f>
      </x:c>
      <x:c r="W279" t="str">
        <x:f>IF($U279="","","Weapons Database")</x:f>
      </x:c>
    </x:row>
    <x:row r="280">
      <x:c r="V280" t="str">
        <x:f>IF($U280="","",IFERROR(INDEX('Weapons Database'!$C$2:$C$100,MATCH($U280,'Weapons Database'!$A$2:$A$100,0))&amp;" "&amp;INDEX('Weapons Database'!$D$2:$D$100,MATCH($U280,'Weapons Database'!$A$2:$A$100,0)),""))</x:f>
      </x:c>
      <x:c r="W280" t="str">
        <x:f>IF($U280="","","Weapons Database")</x:f>
      </x:c>
    </x:row>
    <x:row r="281">
      <x:c r="V281" t="str">
        <x:f>IF($U281="","",IFERROR(INDEX('Weapons Database'!$C$2:$C$100,MATCH($U281,'Weapons Database'!$A$2:$A$100,0))&amp;" "&amp;INDEX('Weapons Database'!$D$2:$D$100,MATCH($U281,'Weapons Database'!$A$2:$A$100,0)),""))</x:f>
      </x:c>
      <x:c r="W281" t="str">
        <x:f>IF($U281="","","Weapons Database")</x:f>
      </x:c>
    </x:row>
    <x:row r="282">
      <x:c r="V282" t="str">
        <x:f>IF($U282="","",IFERROR(INDEX('Weapons Database'!$C$2:$C$100,MATCH($U282,'Weapons Database'!$A$2:$A$100,0))&amp;" "&amp;INDEX('Weapons Database'!$D$2:$D$100,MATCH($U282,'Weapons Database'!$A$2:$A$100,0)),""))</x:f>
      </x:c>
      <x:c r="W282" t="str">
        <x:f>IF($U282="","","Weapons Database")</x:f>
      </x:c>
    </x:row>
    <x:row r="283">
      <x:c r="V283" t="str">
        <x:f>IF($U283="","",IFERROR(INDEX('Weapons Database'!$C$2:$C$100,MATCH($U283,'Weapons Database'!$A$2:$A$100,0))&amp;" "&amp;INDEX('Weapons Database'!$D$2:$D$100,MATCH($U283,'Weapons Database'!$A$2:$A$100,0)),""))</x:f>
      </x:c>
      <x:c r="W283" t="str">
        <x:f>IF($U283="","","Weapons Database")</x:f>
      </x:c>
    </x:row>
    <x:row r="284">
      <x:c r="V284" t="str">
        <x:f>IF($U284="","",IFERROR(INDEX('Weapons Database'!$C$2:$C$100,MATCH($U284,'Weapons Database'!$A$2:$A$100,0))&amp;" "&amp;INDEX('Weapons Database'!$D$2:$D$100,MATCH($U284,'Weapons Database'!$A$2:$A$100,0)),""))</x:f>
      </x:c>
      <x:c r="W284" t="str">
        <x:f>IF($U284="","","Weapons Database")</x:f>
      </x:c>
    </x:row>
    <x:row r="285">
      <x:c r="V285" t="str">
        <x:f>IF($U285="","",IFERROR(INDEX('Weapons Database'!$C$2:$C$100,MATCH($U285,'Weapons Database'!$A$2:$A$100,0))&amp;" "&amp;INDEX('Weapons Database'!$D$2:$D$100,MATCH($U285,'Weapons Database'!$A$2:$A$100,0)),""))</x:f>
      </x:c>
      <x:c r="W285" t="str">
        <x:f>IF($U285="","","Weapons Database")</x:f>
      </x:c>
    </x:row>
    <x:row r="286">
      <x:c r="V286" t="str">
        <x:f>IF($U286="","",IFERROR(INDEX('Weapons Database'!$C$2:$C$100,MATCH($U286,'Weapons Database'!$A$2:$A$100,0))&amp;" "&amp;INDEX('Weapons Database'!$D$2:$D$100,MATCH($U286,'Weapons Database'!$A$2:$A$100,0)),""))</x:f>
      </x:c>
      <x:c r="W286" t="str">
        <x:f>IF($U286="","","Weapons Database")</x:f>
      </x:c>
    </x:row>
    <x:row r="287">
      <x:c r="V287" t="str">
        <x:f>IF($U287="","",IFERROR(INDEX('Weapons Database'!$C$2:$C$100,MATCH($U287,'Weapons Database'!$A$2:$A$100,0))&amp;" "&amp;INDEX('Weapons Database'!$D$2:$D$100,MATCH($U287,'Weapons Database'!$A$2:$A$100,0)),""))</x:f>
      </x:c>
      <x:c r="W287" t="str">
        <x:f>IF($U287="","","Weapons Database")</x:f>
      </x:c>
    </x:row>
    <x:row r="288">
      <x:c r="V288" t="str">
        <x:f>IF($U288="","",IFERROR(INDEX('Weapons Database'!$C$2:$C$100,MATCH($U288,'Weapons Database'!$A$2:$A$100,0))&amp;" "&amp;INDEX('Weapons Database'!$D$2:$D$100,MATCH($U288,'Weapons Database'!$A$2:$A$100,0)),""))</x:f>
      </x:c>
      <x:c r="W288" t="str">
        <x:f>IF($U288="","","Weapons Database")</x:f>
      </x:c>
    </x:row>
    <x:row r="289">
      <x:c r="V289" t="str">
        <x:f>IF($U289="","",IFERROR(INDEX('Weapons Database'!$C$2:$C$100,MATCH($U289,'Weapons Database'!$A$2:$A$100,0))&amp;" "&amp;INDEX('Weapons Database'!$D$2:$D$100,MATCH($U289,'Weapons Database'!$A$2:$A$100,0)),""))</x:f>
      </x:c>
      <x:c r="W289" t="str">
        <x:f>IF($U289="","","Weapons Database")</x:f>
      </x:c>
    </x:row>
    <x:row r="290">
      <x:c r="V290" t="str">
        <x:f>IF($U290="","",IFERROR(INDEX('Weapons Database'!$C$2:$C$100,MATCH($U290,'Weapons Database'!$A$2:$A$100,0))&amp;" "&amp;INDEX('Weapons Database'!$D$2:$D$100,MATCH($U290,'Weapons Database'!$A$2:$A$100,0)),""))</x:f>
      </x:c>
      <x:c r="W290" t="str">
        <x:f>IF($U290="","","Weapons Database")</x:f>
      </x:c>
    </x:row>
    <x:row r="291">
      <x:c r="V291" t="str">
        <x:f>IF($U291="","",IFERROR(INDEX('Weapons Database'!$C$2:$C$100,MATCH($U291,'Weapons Database'!$A$2:$A$100,0))&amp;" "&amp;INDEX('Weapons Database'!$D$2:$D$100,MATCH($U291,'Weapons Database'!$A$2:$A$100,0)),""))</x:f>
      </x:c>
      <x:c r="W291" t="str">
        <x:f>IF($U291="","","Weapons Database")</x:f>
      </x:c>
    </x:row>
    <x:row r="292">
      <x:c r="V292" t="str">
        <x:f>IF($U292="","",IFERROR(INDEX('Weapons Database'!$C$2:$C$100,MATCH($U292,'Weapons Database'!$A$2:$A$100,0))&amp;" "&amp;INDEX('Weapons Database'!$D$2:$D$100,MATCH($U292,'Weapons Database'!$A$2:$A$100,0)),""))</x:f>
      </x:c>
      <x:c r="W292" t="str">
        <x:f>IF($U292="","","Weapons Database")</x:f>
      </x:c>
    </x:row>
    <x:row r="293">
      <x:c r="V293" t="str">
        <x:f>IF($U293="","",IFERROR(INDEX('Weapons Database'!$C$2:$C$100,MATCH($U293,'Weapons Database'!$A$2:$A$100,0))&amp;" "&amp;INDEX('Weapons Database'!$D$2:$D$100,MATCH($U293,'Weapons Database'!$A$2:$A$100,0)),""))</x:f>
      </x:c>
      <x:c r="W293" t="str">
        <x:f>IF($U293="","","Weapons Database")</x:f>
      </x:c>
    </x:row>
    <x:row r="294">
      <x:c r="V294" t="str">
        <x:f>IF($U294="","",IFERROR(INDEX('Weapons Database'!$C$2:$C$100,MATCH($U294,'Weapons Database'!$A$2:$A$100,0))&amp;" "&amp;INDEX('Weapons Database'!$D$2:$D$100,MATCH($U294,'Weapons Database'!$A$2:$A$100,0)),""))</x:f>
      </x:c>
      <x:c r="W294" t="str">
        <x:f>IF($U294="","","Weapons Database")</x:f>
      </x:c>
    </x:row>
    <x:row r="295">
      <x:c r="V295" t="str">
        <x:f>IF($U295="","",IFERROR(INDEX('Weapons Database'!$C$2:$C$100,MATCH($U295,'Weapons Database'!$A$2:$A$100,0))&amp;" "&amp;INDEX('Weapons Database'!$D$2:$D$100,MATCH($U295,'Weapons Database'!$A$2:$A$100,0)),""))</x:f>
      </x:c>
      <x:c r="W295" t="str">
        <x:f>IF($U295="","","Weapons Database")</x:f>
      </x:c>
    </x:row>
    <x:row r="296">
      <x:c r="V296" t="str">
        <x:f>IF($U296="","",IFERROR(INDEX('Weapons Database'!$C$2:$C$100,MATCH($U296,'Weapons Database'!$A$2:$A$100,0))&amp;" "&amp;INDEX('Weapons Database'!$D$2:$D$100,MATCH($U296,'Weapons Database'!$A$2:$A$100,0)),""))</x:f>
      </x:c>
      <x:c r="W296" t="str">
        <x:f>IF($U296="","","Weapons Database")</x:f>
      </x:c>
    </x:row>
    <x:row r="297">
      <x:c r="V297" t="str">
        <x:f>IF($U297="","",IFERROR(INDEX('Weapons Database'!$C$2:$C$100,MATCH($U297,'Weapons Database'!$A$2:$A$100,0))&amp;" "&amp;INDEX('Weapons Database'!$D$2:$D$100,MATCH($U297,'Weapons Database'!$A$2:$A$100,0)),""))</x:f>
      </x:c>
      <x:c r="W297" t="str">
        <x:f>IF($U297="","","Weapons Database")</x:f>
      </x:c>
    </x:row>
    <x:row r="298">
      <x:c r="V298" t="str">
        <x:f>IF($U298="","",IFERROR(INDEX('Weapons Database'!$C$2:$C$100,MATCH($U298,'Weapons Database'!$A$2:$A$100,0))&amp;" "&amp;INDEX('Weapons Database'!$D$2:$D$100,MATCH($U298,'Weapons Database'!$A$2:$A$100,0)),""))</x:f>
      </x:c>
      <x:c r="W298" t="str">
        <x:f>IF($U298="","","Weapons Database")</x:f>
      </x:c>
    </x:row>
    <x:row r="299">
      <x:c r="V299" t="str">
        <x:f>IF($U299="","",IFERROR(INDEX('Weapons Database'!$C$2:$C$100,MATCH($U299,'Weapons Database'!$A$2:$A$100,0))&amp;" "&amp;INDEX('Weapons Database'!$D$2:$D$100,MATCH($U299,'Weapons Database'!$A$2:$A$100,0)),""))</x:f>
      </x:c>
      <x:c r="W299" t="str">
        <x:f>IF($U299="","","Weapons Database")</x:f>
      </x:c>
    </x:row>
    <x:row r="300">
      <x:c r="V300" t="str">
        <x:f>IF($U300="","",IFERROR(INDEX('Weapons Database'!$C$2:$C$100,MATCH($U300,'Weapons Database'!$A$2:$A$100,0))&amp;" "&amp;INDEX('Weapons Database'!$D$2:$D$100,MATCH($U300,'Weapons Database'!$A$2:$A$100,0)),""))</x:f>
      </x:c>
      <x:c r="W300" t="str">
        <x:f>IF($U300="","","Weapons Database")</x:f>
      </x:c>
    </x:row>
    <x:row r="301">
      <x:c r="V301" t="str">
        <x:f>IF($U301="","",IFERROR(INDEX('Weapons Database'!$C$2:$C$100,MATCH($U301,'Weapons Database'!$A$2:$A$100,0))&amp;" "&amp;INDEX('Weapons Database'!$D$2:$D$100,MATCH($U301,'Weapons Database'!$A$2:$A$100,0)),""))</x:f>
      </x:c>
      <x:c r="W301" t="str">
        <x:f>IF($U301="","","Weapons Database")</x:f>
      </x:c>
    </x:row>
    <x:row r="302">
      <x:c r="V302" t="str">
        <x:f>IF($U302="","",IFERROR(INDEX('Weapons Database'!$C$2:$C$100,MATCH($U302,'Weapons Database'!$A$2:$A$100,0))&amp;" "&amp;INDEX('Weapons Database'!$D$2:$D$100,MATCH($U302,'Weapons Database'!$A$2:$A$100,0)),""))</x:f>
      </x:c>
      <x:c r="W302" t="str">
        <x:f>IF($U302="","","Weapons Database")</x:f>
      </x:c>
    </x:row>
    <x:row r="303">
      <x:c r="V303" t="str">
        <x:f>IF($U303="","",IFERROR(INDEX('Weapons Database'!$C$2:$C$100,MATCH($U303,'Weapons Database'!$A$2:$A$100,0))&amp;" "&amp;INDEX('Weapons Database'!$D$2:$D$100,MATCH($U303,'Weapons Database'!$A$2:$A$100,0)),""))</x:f>
      </x:c>
      <x:c r="W303" t="str">
        <x:f>IF($U303="","","Weapons Database")</x:f>
      </x:c>
    </x:row>
    <x:row r="304">
      <x:c r="V304" t="str">
        <x:f>IF($U304="","",IFERROR(INDEX('Weapons Database'!$C$2:$C$100,MATCH($U304,'Weapons Database'!$A$2:$A$100,0))&amp;" "&amp;INDEX('Weapons Database'!$D$2:$D$100,MATCH($U304,'Weapons Database'!$A$2:$A$100,0)),""))</x:f>
      </x:c>
      <x:c r="W304" t="str">
        <x:f>IF($U304="","","Weapons Database")</x:f>
      </x:c>
    </x:row>
    <x:row r="305">
      <x:c r="V305" t="str">
        <x:f>IF($U305="","",IFERROR(INDEX('Weapons Database'!$C$2:$C$100,MATCH($U305,'Weapons Database'!$A$2:$A$100,0))&amp;" "&amp;INDEX('Weapons Database'!$D$2:$D$100,MATCH($U305,'Weapons Database'!$A$2:$A$100,0)),""))</x:f>
      </x:c>
      <x:c r="W305" t="str">
        <x:f>IF($U305="","","Weapons Database")</x:f>
      </x:c>
    </x:row>
    <x:row r="306">
      <x:c r="V306" t="str">
        <x:f>IF($U306="","",IFERROR(INDEX('Weapons Database'!$C$2:$C$100,MATCH($U306,'Weapons Database'!$A$2:$A$100,0))&amp;" "&amp;INDEX('Weapons Database'!$D$2:$D$100,MATCH($U306,'Weapons Database'!$A$2:$A$100,0)),""))</x:f>
      </x:c>
      <x:c r="W306" t="str">
        <x:f>IF($U306="","","Weapons Database")</x:f>
      </x:c>
    </x:row>
    <x:row r="307">
      <x:c r="V307" t="str">
        <x:f>IF($U307="","",IFERROR(INDEX('Weapons Database'!$C$2:$C$100,MATCH($U307,'Weapons Database'!$A$2:$A$100,0))&amp;" "&amp;INDEX('Weapons Database'!$D$2:$D$100,MATCH($U307,'Weapons Database'!$A$2:$A$100,0)),""))</x:f>
      </x:c>
      <x:c r="W307" t="str">
        <x:f>IF($U307="","","Weapons Database")</x:f>
      </x:c>
    </x:row>
    <x:row r="308">
      <x:c r="V308" t="str">
        <x:f>IF($U308="","",IFERROR(INDEX('Weapons Database'!$C$2:$C$100,MATCH($U308,'Weapons Database'!$A$2:$A$100,0))&amp;" "&amp;INDEX('Weapons Database'!$D$2:$D$100,MATCH($U308,'Weapons Database'!$A$2:$A$100,0)),""))</x:f>
      </x:c>
      <x:c r="W308" t="str">
        <x:f>IF($U308="","","Weapons Database")</x:f>
      </x:c>
    </x:row>
    <x:row r="309">
      <x:c r="V309" t="str">
        <x:f>IF($U309="","",IFERROR(INDEX('Weapons Database'!$C$2:$C$100,MATCH($U309,'Weapons Database'!$A$2:$A$100,0))&amp;" "&amp;INDEX('Weapons Database'!$D$2:$D$100,MATCH($U309,'Weapons Database'!$A$2:$A$100,0)),""))</x:f>
      </x:c>
      <x:c r="W309" t="str">
        <x:f>IF($U309="","","Weapons Database")</x:f>
      </x:c>
    </x:row>
    <x:row r="310">
      <x:c r="V310" t="str">
        <x:f>IF($U310="","",IFERROR(INDEX('Weapons Database'!$C$2:$C$100,MATCH($U310,'Weapons Database'!$A$2:$A$100,0))&amp;" "&amp;INDEX('Weapons Database'!$D$2:$D$100,MATCH($U310,'Weapons Database'!$A$2:$A$100,0)),""))</x:f>
      </x:c>
      <x:c r="W310" t="str">
        <x:f>IF($U310="","","Weapons Database")</x:f>
      </x:c>
    </x:row>
    <x:row r="311">
      <x:c r="V311" t="str">
        <x:f>IF($U311="","",IFERROR(INDEX('Weapons Database'!$C$2:$C$100,MATCH($U311,'Weapons Database'!$A$2:$A$100,0))&amp;" "&amp;INDEX('Weapons Database'!$D$2:$D$100,MATCH($U311,'Weapons Database'!$A$2:$A$100,0)),""))</x:f>
      </x:c>
      <x:c r="W311" t="str">
        <x:f>IF($U311="","","Weapons Database")</x:f>
      </x:c>
    </x:row>
    <x:row r="312">
      <x:c r="V312" t="str">
        <x:f>IF($U312="","",IFERROR(INDEX('Weapons Database'!$C$2:$C$100,MATCH($U312,'Weapons Database'!$A$2:$A$100,0))&amp;" "&amp;INDEX('Weapons Database'!$D$2:$D$100,MATCH($U312,'Weapons Database'!$A$2:$A$100,0)),""))</x:f>
      </x:c>
      <x:c r="W312" t="str">
        <x:f>IF($U312="","","Weapons Database")</x:f>
      </x:c>
    </x:row>
    <x:row r="313">
      <x:c r="V313" t="str">
        <x:f>IF($U313="","",IFERROR(INDEX('Weapons Database'!$C$2:$C$100,MATCH($U313,'Weapons Database'!$A$2:$A$100,0))&amp;" "&amp;INDEX('Weapons Database'!$D$2:$D$100,MATCH($U313,'Weapons Database'!$A$2:$A$100,0)),""))</x:f>
      </x:c>
      <x:c r="W313" t="str">
        <x:f>IF($U313="","","Weapons Database")</x:f>
      </x:c>
    </x:row>
    <x:row r="314">
      <x:c r="V314" t="str">
        <x:f>IF($U314="","",IFERROR(INDEX('Weapons Database'!$C$2:$C$100,MATCH($U314,'Weapons Database'!$A$2:$A$100,0))&amp;" "&amp;INDEX('Weapons Database'!$D$2:$D$100,MATCH($U314,'Weapons Database'!$A$2:$A$100,0)),""))</x:f>
      </x:c>
      <x:c r="W314" t="str">
        <x:f>IF($U314="","","Weapons Database")</x:f>
      </x:c>
    </x:row>
    <x:row r="315">
      <x:c r="V315" t="str">
        <x:f>IF($U315="","",IFERROR(INDEX('Weapons Database'!$C$2:$C$100,MATCH($U315,'Weapons Database'!$A$2:$A$100,0))&amp;" "&amp;INDEX('Weapons Database'!$D$2:$D$100,MATCH($U315,'Weapons Database'!$A$2:$A$100,0)),""))</x:f>
      </x:c>
      <x:c r="W315" t="str">
        <x:f>IF($U315="","","Weapons Database")</x:f>
      </x:c>
    </x:row>
    <x:row r="316">
      <x:c r="V316" t="str">
        <x:f>IF($U316="","",IFERROR(INDEX('Weapons Database'!$C$2:$C$100,MATCH($U316,'Weapons Database'!$A$2:$A$100,0))&amp;" "&amp;INDEX('Weapons Database'!$D$2:$D$100,MATCH($U316,'Weapons Database'!$A$2:$A$100,0)),""))</x:f>
      </x:c>
      <x:c r="W316" t="str">
        <x:f>IF($U316="","","Weapons Database")</x:f>
      </x:c>
    </x:row>
    <x:row r="317">
      <x:c r="V317" t="str">
        <x:f>IF($U317="","",IFERROR(INDEX('Weapons Database'!$C$2:$C$100,MATCH($U317,'Weapons Database'!$A$2:$A$100,0))&amp;" "&amp;INDEX('Weapons Database'!$D$2:$D$100,MATCH($U317,'Weapons Database'!$A$2:$A$100,0)),""))</x:f>
      </x:c>
      <x:c r="W317" t="str">
        <x:f>IF($U317="","","Weapons Database")</x:f>
      </x:c>
    </x:row>
    <x:row r="318">
      <x:c r="V318" t="str">
        <x:f>IF($U318="","",IFERROR(INDEX('Weapons Database'!$C$2:$C$100,MATCH($U318,'Weapons Database'!$A$2:$A$100,0))&amp;" "&amp;INDEX('Weapons Database'!$D$2:$D$100,MATCH($U318,'Weapons Database'!$A$2:$A$100,0)),""))</x:f>
      </x:c>
      <x:c r="W318" t="str">
        <x:f>IF($U318="","","Weapons Database")</x:f>
      </x:c>
    </x:row>
    <x:row r="319">
      <x:c r="V319" t="str">
        <x:f>IF($U319="","",IFERROR(INDEX('Weapons Database'!$C$2:$C$100,MATCH($U319,'Weapons Database'!$A$2:$A$100,0))&amp;" "&amp;INDEX('Weapons Database'!$D$2:$D$100,MATCH($U319,'Weapons Database'!$A$2:$A$100,0)),""))</x:f>
      </x:c>
      <x:c r="W319" t="str">
        <x:f>IF($U319="","","Weapons Database")</x:f>
      </x:c>
    </x:row>
    <x:row r="320">
      <x:c r="V320" t="str">
        <x:f>IF($U320="","",IFERROR(INDEX('Weapons Database'!$C$2:$C$100,MATCH($U320,'Weapons Database'!$A$2:$A$100,0))&amp;" "&amp;INDEX('Weapons Database'!$D$2:$D$100,MATCH($U320,'Weapons Database'!$A$2:$A$100,0)),""))</x:f>
      </x:c>
      <x:c r="W320" t="str">
        <x:f>IF($U320="","","Weapons Database")</x:f>
      </x:c>
    </x:row>
    <x:row r="321">
      <x:c r="V321" t="str">
        <x:f>IF($U321="","",IFERROR(INDEX('Weapons Database'!$C$2:$C$100,MATCH($U321,'Weapons Database'!$A$2:$A$100,0))&amp;" "&amp;INDEX('Weapons Database'!$D$2:$D$100,MATCH($U321,'Weapons Database'!$A$2:$A$100,0)),""))</x:f>
      </x:c>
      <x:c r="W321" t="str">
        <x:f>IF($U321="","","Weapons Database")</x:f>
      </x:c>
    </x:row>
    <x:row r="322">
      <x:c r="V322" t="str">
        <x:f>IF($U322="","",IFERROR(INDEX('Weapons Database'!$C$2:$C$100,MATCH($U322,'Weapons Database'!$A$2:$A$100,0))&amp;" "&amp;INDEX('Weapons Database'!$D$2:$D$100,MATCH($U322,'Weapons Database'!$A$2:$A$100,0)),""))</x:f>
      </x:c>
      <x:c r="W322" t="str">
        <x:f>IF($U322="","","Weapons Database")</x:f>
      </x:c>
    </x:row>
    <x:row r="323">
      <x:c r="V323" t="str">
        <x:f>IF($U323="","",IFERROR(INDEX('Weapons Database'!$C$2:$C$100,MATCH($U323,'Weapons Database'!$A$2:$A$100,0))&amp;" "&amp;INDEX('Weapons Database'!$D$2:$D$100,MATCH($U323,'Weapons Database'!$A$2:$A$100,0)),""))</x:f>
      </x:c>
      <x:c r="W323" t="str">
        <x:f>IF($U323="","","Weapons Database")</x:f>
      </x:c>
    </x:row>
    <x:row r="324">
      <x:c r="V324" t="str">
        <x:f>IF($U324="","",IFERROR(INDEX('Weapons Database'!$C$2:$C$100,MATCH($U324,'Weapons Database'!$A$2:$A$100,0))&amp;" "&amp;INDEX('Weapons Database'!$D$2:$D$100,MATCH($U324,'Weapons Database'!$A$2:$A$100,0)),""))</x:f>
      </x:c>
      <x:c r="W324" t="str">
        <x:f>IF($U324="","","Weapons Database")</x:f>
      </x:c>
    </x:row>
    <x:row r="325">
      <x:c r="V325" t="str">
        <x:f>IF($U325="","",IFERROR(INDEX('Weapons Database'!$C$2:$C$100,MATCH($U325,'Weapons Database'!$A$2:$A$100,0))&amp;" "&amp;INDEX('Weapons Database'!$D$2:$D$100,MATCH($U325,'Weapons Database'!$A$2:$A$100,0)),""))</x:f>
      </x:c>
      <x:c r="W325" t="str">
        <x:f>IF($U325="","","Weapons Database")</x:f>
      </x:c>
    </x:row>
    <x:row r="326">
      <x:c r="V326" t="str">
        <x:f>IF($U326="","",IFERROR(INDEX('Weapons Database'!$C$2:$C$100,MATCH($U326,'Weapons Database'!$A$2:$A$100,0))&amp;" "&amp;INDEX('Weapons Database'!$D$2:$D$100,MATCH($U326,'Weapons Database'!$A$2:$A$100,0)),""))</x:f>
      </x:c>
      <x:c r="W326" t="str">
        <x:f>IF($U326="","","Weapons Database")</x:f>
      </x:c>
    </x:row>
    <x:row r="327">
      <x:c r="V327" t="str">
        <x:f>IF($U327="","",IFERROR(INDEX('Weapons Database'!$C$2:$C$100,MATCH($U327,'Weapons Database'!$A$2:$A$100,0))&amp;" "&amp;INDEX('Weapons Database'!$D$2:$D$100,MATCH($U327,'Weapons Database'!$A$2:$A$100,0)),""))</x:f>
      </x:c>
      <x:c r="W327" t="str">
        <x:f>IF($U327="","","Weapons Database")</x:f>
      </x:c>
    </x:row>
    <x:row r="328">
      <x:c r="V328" t="str">
        <x:f>IF($U328="","",IFERROR(INDEX('Weapons Database'!$C$2:$C$100,MATCH($U328,'Weapons Database'!$A$2:$A$100,0))&amp;" "&amp;INDEX('Weapons Database'!$D$2:$D$100,MATCH($U328,'Weapons Database'!$A$2:$A$100,0)),""))</x:f>
      </x:c>
      <x:c r="W328" t="str">
        <x:f>IF($U328="","","Weapons Database")</x:f>
      </x:c>
    </x:row>
    <x:row r="329">
      <x:c r="V329" t="str">
        <x:f>IF($U329="","",IFERROR(INDEX('Weapons Database'!$C$2:$C$100,MATCH($U329,'Weapons Database'!$A$2:$A$100,0))&amp;" "&amp;INDEX('Weapons Database'!$D$2:$D$100,MATCH($U329,'Weapons Database'!$A$2:$A$100,0)),""))</x:f>
      </x:c>
      <x:c r="W329" t="str">
        <x:f>IF($U329="","","Weapons Database")</x:f>
      </x:c>
    </x:row>
    <x:row r="330">
      <x:c r="V330" t="str">
        <x:f>IF($U330="","",IFERROR(INDEX('Weapons Database'!$C$2:$C$100,MATCH($U330,'Weapons Database'!$A$2:$A$100,0))&amp;" "&amp;INDEX('Weapons Database'!$D$2:$D$100,MATCH($U330,'Weapons Database'!$A$2:$A$100,0)),""))</x:f>
      </x:c>
      <x:c r="W330" t="str">
        <x:f>IF($U330="","","Weapons Database")</x:f>
      </x:c>
    </x:row>
    <x:row r="331">
      <x:c r="V331" t="str">
        <x:f>IF($U331="","",IFERROR(INDEX('Weapons Database'!$C$2:$C$100,MATCH($U331,'Weapons Database'!$A$2:$A$100,0))&amp;" "&amp;INDEX('Weapons Database'!$D$2:$D$100,MATCH($U331,'Weapons Database'!$A$2:$A$100,0)),""))</x:f>
      </x:c>
      <x:c r="W331" t="str">
        <x:f>IF($U331="","","Weapons Database")</x:f>
      </x:c>
    </x:row>
    <x:row r="332">
      <x:c r="V332" t="str">
        <x:f>IF($U332="","",IFERROR(INDEX('Weapons Database'!$C$2:$C$100,MATCH($U332,'Weapons Database'!$A$2:$A$100,0))&amp;" "&amp;INDEX('Weapons Database'!$D$2:$D$100,MATCH($U332,'Weapons Database'!$A$2:$A$100,0)),""))</x:f>
      </x:c>
      <x:c r="W332" t="str">
        <x:f>IF($U332="","","Weapons Database")</x:f>
      </x:c>
    </x:row>
    <x:row r="333">
      <x:c r="V333" t="str">
        <x:f>IF($U333="","",IFERROR(INDEX('Weapons Database'!$C$2:$C$100,MATCH($U333,'Weapons Database'!$A$2:$A$100,0))&amp;" "&amp;INDEX('Weapons Database'!$D$2:$D$100,MATCH($U333,'Weapons Database'!$A$2:$A$100,0)),""))</x:f>
      </x:c>
      <x:c r="W333" t="str">
        <x:f>IF($U333="","","Weapons Database")</x:f>
      </x:c>
    </x:row>
    <x:row r="334">
      <x:c r="V334" t="str">
        <x:f>IF($U334="","",IFERROR(INDEX('Weapons Database'!$C$2:$C$100,MATCH($U334,'Weapons Database'!$A$2:$A$100,0))&amp;" "&amp;INDEX('Weapons Database'!$D$2:$D$100,MATCH($U334,'Weapons Database'!$A$2:$A$100,0)),""))</x:f>
      </x:c>
      <x:c r="W334" t="str">
        <x:f>IF($U334="","","Weapons Database")</x:f>
      </x:c>
    </x:row>
    <x:row r="335">
      <x:c r="V335" t="str">
        <x:f>IF($U335="","",IFERROR(INDEX('Weapons Database'!$C$2:$C$100,MATCH($U335,'Weapons Database'!$A$2:$A$100,0))&amp;" "&amp;INDEX('Weapons Database'!$D$2:$D$100,MATCH($U335,'Weapons Database'!$A$2:$A$100,0)),""))</x:f>
      </x:c>
      <x:c r="W335" t="str">
        <x:f>IF($U335="","","Weapons Database")</x:f>
      </x:c>
    </x:row>
    <x:row r="336">
      <x:c r="V336" t="str">
        <x:f>IF($U336="","",IFERROR(INDEX('Weapons Database'!$C$2:$C$100,MATCH($U336,'Weapons Database'!$A$2:$A$100,0))&amp;" "&amp;INDEX('Weapons Database'!$D$2:$D$100,MATCH($U336,'Weapons Database'!$A$2:$A$100,0)),""))</x:f>
      </x:c>
      <x:c r="W336" t="str">
        <x:f>IF($U336="","","Weapons Database")</x:f>
      </x:c>
    </x:row>
    <x:row r="337">
      <x:c r="V337" t="str">
        <x:f>IF($U337="","",IFERROR(INDEX('Weapons Database'!$C$2:$C$100,MATCH($U337,'Weapons Database'!$A$2:$A$100,0))&amp;" "&amp;INDEX('Weapons Database'!$D$2:$D$100,MATCH($U337,'Weapons Database'!$A$2:$A$100,0)),""))</x:f>
      </x:c>
      <x:c r="W337" t="str">
        <x:f>IF($U337="","","Weapons Database")</x:f>
      </x:c>
    </x:row>
    <x:row r="338">
      <x:c r="V338" t="str">
        <x:f>IF($U338="","",IFERROR(INDEX('Weapons Database'!$C$2:$C$100,MATCH($U338,'Weapons Database'!$A$2:$A$100,0))&amp;" "&amp;INDEX('Weapons Database'!$D$2:$D$100,MATCH($U338,'Weapons Database'!$A$2:$A$100,0)),""))</x:f>
      </x:c>
      <x:c r="W338" t="str">
        <x:f>IF($U338="","","Weapons Database")</x:f>
      </x:c>
    </x:row>
    <x:row r="339">
      <x:c r="V339" t="str">
        <x:f>IF($U339="","",IFERROR(INDEX('Weapons Database'!$C$2:$C$100,MATCH($U339,'Weapons Database'!$A$2:$A$100,0))&amp;" "&amp;INDEX('Weapons Database'!$D$2:$D$100,MATCH($U339,'Weapons Database'!$A$2:$A$100,0)),""))</x:f>
      </x:c>
      <x:c r="W339" t="str">
        <x:f>IF($U339="","","Weapons Database")</x:f>
      </x:c>
    </x:row>
    <x:row r="340">
      <x:c r="V340" t="str">
        <x:f>IF($U340="","",IFERROR(INDEX('Weapons Database'!$C$2:$C$100,MATCH($U340,'Weapons Database'!$A$2:$A$100,0))&amp;" "&amp;INDEX('Weapons Database'!$D$2:$D$100,MATCH($U340,'Weapons Database'!$A$2:$A$100,0)),""))</x:f>
      </x:c>
      <x:c r="W340" t="str">
        <x:f>IF($U340="","","Weapons Database")</x:f>
      </x:c>
    </x:row>
    <x:row r="341">
      <x:c r="V341" t="str">
        <x:f>IF($U341="","",IFERROR(INDEX('Weapons Database'!$C$2:$C$100,MATCH($U341,'Weapons Database'!$A$2:$A$100,0))&amp;" "&amp;INDEX('Weapons Database'!$D$2:$D$100,MATCH($U341,'Weapons Database'!$A$2:$A$100,0)),""))</x:f>
      </x:c>
      <x:c r="W341" t="str">
        <x:f>IF($U341="","","Weapons Database")</x:f>
      </x:c>
    </x:row>
    <x:row r="342">
      <x:c r="V342" t="str">
        <x:f>IF($U342="","",IFERROR(INDEX('Weapons Database'!$C$2:$C$100,MATCH($U342,'Weapons Database'!$A$2:$A$100,0))&amp;" "&amp;INDEX('Weapons Database'!$D$2:$D$100,MATCH($U342,'Weapons Database'!$A$2:$A$100,0)),""))</x:f>
      </x:c>
      <x:c r="W342" t="str">
        <x:f>IF($U342="","","Weapons Database")</x:f>
      </x:c>
    </x:row>
    <x:row r="343">
      <x:c r="V343" t="str">
        <x:f>IF($U343="","",IFERROR(INDEX('Weapons Database'!$C$2:$C$100,MATCH($U343,'Weapons Database'!$A$2:$A$100,0))&amp;" "&amp;INDEX('Weapons Database'!$D$2:$D$100,MATCH($U343,'Weapons Database'!$A$2:$A$100,0)),""))</x:f>
      </x:c>
      <x:c r="W343" t="str">
        <x:f>IF($U343="","","Weapons Database")</x:f>
      </x:c>
    </x:row>
    <x:row r="344">
      <x:c r="V344" t="str">
        <x:f>IF($U344="","",IFERROR(INDEX('Weapons Database'!$C$2:$C$100,MATCH($U344,'Weapons Database'!$A$2:$A$100,0))&amp;" "&amp;INDEX('Weapons Database'!$D$2:$D$100,MATCH($U344,'Weapons Database'!$A$2:$A$100,0)),""))</x:f>
      </x:c>
      <x:c r="W344" t="str">
        <x:f>IF($U344="","","Weapons Database")</x:f>
      </x:c>
    </x:row>
    <x:row r="345">
      <x:c r="V345" t="str">
        <x:f>IF($U345="","",IFERROR(INDEX('Weapons Database'!$C$2:$C$100,MATCH($U345,'Weapons Database'!$A$2:$A$100,0))&amp;" "&amp;INDEX('Weapons Database'!$D$2:$D$100,MATCH($U345,'Weapons Database'!$A$2:$A$100,0)),""))</x:f>
      </x:c>
      <x:c r="W345" t="str">
        <x:f>IF($U345="","","Weapons Database")</x:f>
      </x:c>
    </x:row>
    <x:row r="346">
      <x:c r="V346" t="str">
        <x:f>IF($U346="","",IFERROR(INDEX('Weapons Database'!$C$2:$C$100,MATCH($U346,'Weapons Database'!$A$2:$A$100,0))&amp;" "&amp;INDEX('Weapons Database'!$D$2:$D$100,MATCH($U346,'Weapons Database'!$A$2:$A$100,0)),""))</x:f>
      </x:c>
      <x:c r="W346" t="str">
        <x:f>IF($U346="","","Weapons Database")</x:f>
      </x:c>
    </x:row>
    <x:row r="347">
      <x:c r="V347" t="str">
        <x:f>IF($U347="","",IFERROR(INDEX('Weapons Database'!$C$2:$C$100,MATCH($U347,'Weapons Database'!$A$2:$A$100,0))&amp;" "&amp;INDEX('Weapons Database'!$D$2:$D$100,MATCH($U347,'Weapons Database'!$A$2:$A$100,0)),""))</x:f>
      </x:c>
      <x:c r="W347" t="str">
        <x:f>IF($U347="","","Weapons Database")</x:f>
      </x:c>
    </x:row>
    <x:row r="348">
      <x:c r="V348" t="str">
        <x:f>IF($U348="","",IFERROR(INDEX('Weapons Database'!$C$2:$C$100,MATCH($U348,'Weapons Database'!$A$2:$A$100,0))&amp;" "&amp;INDEX('Weapons Database'!$D$2:$D$100,MATCH($U348,'Weapons Database'!$A$2:$A$100,0)),""))</x:f>
      </x:c>
      <x:c r="W348" t="str">
        <x:f>IF($U348="","","Weapons Database")</x:f>
      </x:c>
    </x:row>
    <x:row r="349">
      <x:c r="V349" t="str">
        <x:f>IF($U349="","",IFERROR(INDEX('Weapons Database'!$C$2:$C$100,MATCH($U349,'Weapons Database'!$A$2:$A$100,0))&amp;" "&amp;INDEX('Weapons Database'!$D$2:$D$100,MATCH($U349,'Weapons Database'!$A$2:$A$100,0)),""))</x:f>
      </x:c>
      <x:c r="W349" t="str">
        <x:f>IF($U349="","","Weapons Database")</x:f>
      </x:c>
    </x:row>
    <x:row r="350">
      <x:c r="V350" t="str">
        <x:f>IF($U350="","",IFERROR(INDEX('Weapons Database'!$C$2:$C$100,MATCH($U350,'Weapons Database'!$A$2:$A$100,0))&amp;" "&amp;INDEX('Weapons Database'!$D$2:$D$100,MATCH($U350,'Weapons Database'!$A$2:$A$100,0)),""))</x:f>
      </x:c>
      <x:c r="W350" t="str">
        <x:f>IF($U350="","","Weapons Database")</x:f>
      </x:c>
    </x:row>
    <x:row r="351">
      <x:c r="V351" t="str">
        <x:f>IF($U351="","",IFERROR(INDEX('Weapons Database'!$C$2:$C$100,MATCH($U351,'Weapons Database'!$A$2:$A$100,0))&amp;" "&amp;INDEX('Weapons Database'!$D$2:$D$100,MATCH($U351,'Weapons Database'!$A$2:$A$100,0)),""))</x:f>
      </x:c>
      <x:c r="W351" t="str">
        <x:f>IF($U351="","","Weapons Database")</x:f>
      </x:c>
    </x:row>
    <x:row r="352">
      <x:c r="V352" t="str">
        <x:f>IF($U352="","",IFERROR(INDEX('Weapons Database'!$C$2:$C$100,MATCH($U352,'Weapons Database'!$A$2:$A$100,0))&amp;" "&amp;INDEX('Weapons Database'!$D$2:$D$100,MATCH($U352,'Weapons Database'!$A$2:$A$100,0)),""))</x:f>
      </x:c>
      <x:c r="W352" t="str">
        <x:f>IF($U352="","","Weapons Database")</x:f>
      </x:c>
    </x:row>
    <x:row r="353">
      <x:c r="V353" t="str">
        <x:f>IF($U353="","",IFERROR(INDEX('Weapons Database'!$C$2:$C$100,MATCH($U353,'Weapons Database'!$A$2:$A$100,0))&amp;" "&amp;INDEX('Weapons Database'!$D$2:$D$100,MATCH($U353,'Weapons Database'!$A$2:$A$100,0)),""))</x:f>
      </x:c>
      <x:c r="W353" t="str">
        <x:f>IF($U353="","","Weapons Database")</x:f>
      </x:c>
    </x:row>
    <x:row r="354">
      <x:c r="V354" t="str">
        <x:f>IF($U354="","",IFERROR(INDEX('Weapons Database'!$C$2:$C$100,MATCH($U354,'Weapons Database'!$A$2:$A$100,0))&amp;" "&amp;INDEX('Weapons Database'!$D$2:$D$100,MATCH($U354,'Weapons Database'!$A$2:$A$100,0)),""))</x:f>
      </x:c>
      <x:c r="W354" t="str">
        <x:f>IF($U354="","","Weapons Database")</x:f>
      </x:c>
    </x:row>
    <x:row r="355">
      <x:c r="V355" t="str">
        <x:f>IF($U355="","",IFERROR(INDEX('Weapons Database'!$C$2:$C$100,MATCH($U355,'Weapons Database'!$A$2:$A$100,0))&amp;" "&amp;INDEX('Weapons Database'!$D$2:$D$100,MATCH($U355,'Weapons Database'!$A$2:$A$100,0)),""))</x:f>
      </x:c>
      <x:c r="W355" t="str">
        <x:f>IF($U355="","","Weapons Database")</x:f>
      </x:c>
    </x:row>
    <x:row r="356">
      <x:c r="V356" t="str">
        <x:f>IF($U356="","",IFERROR(INDEX('Weapons Database'!$C$2:$C$100,MATCH($U356,'Weapons Database'!$A$2:$A$100,0))&amp;" "&amp;INDEX('Weapons Database'!$D$2:$D$100,MATCH($U356,'Weapons Database'!$A$2:$A$100,0)),""))</x:f>
      </x:c>
      <x:c r="W356" t="str">
        <x:f>IF($U356="","","Weapons Database")</x:f>
      </x:c>
    </x:row>
    <x:row r="357">
      <x:c r="V357" t="str">
        <x:f>IF($U357="","",IFERROR(INDEX('Weapons Database'!$C$2:$C$100,MATCH($U357,'Weapons Database'!$A$2:$A$100,0))&amp;" "&amp;INDEX('Weapons Database'!$D$2:$D$100,MATCH($U357,'Weapons Database'!$A$2:$A$100,0)),""))</x:f>
      </x:c>
      <x:c r="W357" t="str">
        <x:f>IF($U357="","","Weapons Database")</x:f>
      </x:c>
    </x:row>
    <x:row r="358">
      <x:c r="V358" t="str">
        <x:f>IF($U358="","",IFERROR(INDEX('Weapons Database'!$C$2:$C$100,MATCH($U358,'Weapons Database'!$A$2:$A$100,0))&amp;" "&amp;INDEX('Weapons Database'!$D$2:$D$100,MATCH($U358,'Weapons Database'!$A$2:$A$100,0)),""))</x:f>
      </x:c>
      <x:c r="W358" t="str">
        <x:f>IF($U358="","","Weapons Database")</x:f>
      </x:c>
    </x:row>
    <x:row r="359">
      <x:c r="V359" t="str">
        <x:f>IF($U359="","",IFERROR(INDEX('Weapons Database'!$C$2:$C$100,MATCH($U359,'Weapons Database'!$A$2:$A$100,0))&amp;" "&amp;INDEX('Weapons Database'!$D$2:$D$100,MATCH($U359,'Weapons Database'!$A$2:$A$100,0)),""))</x:f>
      </x:c>
      <x:c r="W359" t="str">
        <x:f>IF($U359="","","Weapons Database")</x:f>
      </x:c>
    </x:row>
    <x:row r="360">
      <x:c r="V360" t="str">
        <x:f>IF($U360="","",IFERROR(INDEX('Weapons Database'!$C$2:$C$100,MATCH($U360,'Weapons Database'!$A$2:$A$100,0))&amp;" "&amp;INDEX('Weapons Database'!$D$2:$D$100,MATCH($U360,'Weapons Database'!$A$2:$A$100,0)),""))</x:f>
      </x:c>
      <x:c r="W360" t="str">
        <x:f>IF($U360="","","Weapons Database")</x:f>
      </x:c>
    </x:row>
    <x:row r="361">
      <x:c r="V361" t="str">
        <x:f>IF($U361="","",IFERROR(INDEX('Weapons Database'!$C$2:$C$100,MATCH($U361,'Weapons Database'!$A$2:$A$100,0))&amp;" "&amp;INDEX('Weapons Database'!$D$2:$D$100,MATCH($U361,'Weapons Database'!$A$2:$A$100,0)),""))</x:f>
      </x:c>
      <x:c r="W361" t="str">
        <x:f>IF($U361="","","Weapons Database")</x:f>
      </x:c>
    </x:row>
    <x:row r="362">
      <x:c r="V362" t="str">
        <x:f>IF($U362="","",IFERROR(INDEX('Weapons Database'!$C$2:$C$100,MATCH($U362,'Weapons Database'!$A$2:$A$100,0))&amp;" "&amp;INDEX('Weapons Database'!$D$2:$D$100,MATCH($U362,'Weapons Database'!$A$2:$A$100,0)),""))</x:f>
      </x:c>
      <x:c r="W362" t="str">
        <x:f>IF($U362="","","Weapons Database")</x:f>
      </x:c>
    </x:row>
    <x:row r="363">
      <x:c r="V363" t="str">
        <x:f>IF($U363="","",IFERROR(INDEX('Weapons Database'!$C$2:$C$100,MATCH($U363,'Weapons Database'!$A$2:$A$100,0))&amp;" "&amp;INDEX('Weapons Database'!$D$2:$D$100,MATCH($U363,'Weapons Database'!$A$2:$A$100,0)),""))</x:f>
      </x:c>
      <x:c r="W363" t="str">
        <x:f>IF($U363="","","Weapons Database")</x:f>
      </x:c>
    </x:row>
    <x:row r="364">
      <x:c r="V364" t="str">
        <x:f>IF($U364="","",IFERROR(INDEX('Weapons Database'!$C$2:$C$100,MATCH($U364,'Weapons Database'!$A$2:$A$100,0))&amp;" "&amp;INDEX('Weapons Database'!$D$2:$D$100,MATCH($U364,'Weapons Database'!$A$2:$A$100,0)),""))</x:f>
      </x:c>
      <x:c r="W364" t="str">
        <x:f>IF($U364="","","Weapons Database")</x:f>
      </x:c>
    </x:row>
    <x:row r="365">
      <x:c r="V365" t="str">
        <x:f>IF($U365="","",IFERROR(INDEX('Weapons Database'!$C$2:$C$100,MATCH($U365,'Weapons Database'!$A$2:$A$100,0))&amp;" "&amp;INDEX('Weapons Database'!$D$2:$D$100,MATCH($U365,'Weapons Database'!$A$2:$A$100,0)),""))</x:f>
      </x:c>
      <x:c r="W365" t="str">
        <x:f>IF($U365="","","Weapons Database")</x:f>
      </x:c>
    </x:row>
    <x:row r="366">
      <x:c r="V366" t="str">
        <x:f>IF($U366="","",IFERROR(INDEX('Weapons Database'!$C$2:$C$100,MATCH($U366,'Weapons Database'!$A$2:$A$100,0))&amp;" "&amp;INDEX('Weapons Database'!$D$2:$D$100,MATCH($U366,'Weapons Database'!$A$2:$A$100,0)),""))</x:f>
      </x:c>
      <x:c r="W366" t="str">
        <x:f>IF($U366="","","Weapons Database")</x:f>
      </x:c>
    </x:row>
    <x:row r="367">
      <x:c r="V367" t="str">
        <x:f>IF($U367="","",IFERROR(INDEX('Weapons Database'!$C$2:$C$100,MATCH($U367,'Weapons Database'!$A$2:$A$100,0))&amp;" "&amp;INDEX('Weapons Database'!$D$2:$D$100,MATCH($U367,'Weapons Database'!$A$2:$A$100,0)),""))</x:f>
      </x:c>
      <x:c r="W367" t="str">
        <x:f>IF($U367="","","Weapons Database")</x:f>
      </x:c>
    </x:row>
    <x:row r="368">
      <x:c r="V368" t="str">
        <x:f>IF($U368="","",IFERROR(INDEX('Weapons Database'!$C$2:$C$100,MATCH($U368,'Weapons Database'!$A$2:$A$100,0))&amp;" "&amp;INDEX('Weapons Database'!$D$2:$D$100,MATCH($U368,'Weapons Database'!$A$2:$A$100,0)),""))</x:f>
      </x:c>
      <x:c r="W368" t="str">
        <x:f>IF($U368="","","Weapons Database")</x:f>
      </x:c>
    </x:row>
    <x:row r="369">
      <x:c r="V369" t="str">
        <x:f>IF($U369="","",IFERROR(INDEX('Weapons Database'!$C$2:$C$100,MATCH($U369,'Weapons Database'!$A$2:$A$100,0))&amp;" "&amp;INDEX('Weapons Database'!$D$2:$D$100,MATCH($U369,'Weapons Database'!$A$2:$A$100,0)),""))</x:f>
      </x:c>
      <x:c r="W369" t="str">
        <x:f>IF($U369="","","Weapons Database")</x:f>
      </x:c>
    </x:row>
    <x:row r="370">
      <x:c r="V370" t="str">
        <x:f>IF($U370="","",IFERROR(INDEX('Weapons Database'!$C$2:$C$100,MATCH($U370,'Weapons Database'!$A$2:$A$100,0))&amp;" "&amp;INDEX('Weapons Database'!$D$2:$D$100,MATCH($U370,'Weapons Database'!$A$2:$A$100,0)),""))</x:f>
      </x:c>
      <x:c r="W370" t="str">
        <x:f>IF($U370="","","Weapons Database")</x:f>
      </x:c>
    </x:row>
    <x:row r="371">
      <x:c r="V371" t="str">
        <x:f>IF($U371="","",IFERROR(INDEX('Weapons Database'!$C$2:$C$100,MATCH($U371,'Weapons Database'!$A$2:$A$100,0))&amp;" "&amp;INDEX('Weapons Database'!$D$2:$D$100,MATCH($U371,'Weapons Database'!$A$2:$A$100,0)),""))</x:f>
      </x:c>
      <x:c r="W371" t="str">
        <x:f>IF($U371="","","Weapons Database")</x:f>
      </x:c>
    </x:row>
    <x:row r="372">
      <x:c r="V372" t="str">
        <x:f>IF($U372="","",IFERROR(INDEX('Weapons Database'!$C$2:$C$100,MATCH($U372,'Weapons Database'!$A$2:$A$100,0))&amp;" "&amp;INDEX('Weapons Database'!$D$2:$D$100,MATCH($U372,'Weapons Database'!$A$2:$A$100,0)),""))</x:f>
      </x:c>
      <x:c r="W372" t="str">
        <x:f>IF($U372="","","Weapons Database")</x:f>
      </x:c>
    </x:row>
    <x:row r="373">
      <x:c r="V373" t="str">
        <x:f>IF($U373="","",IFERROR(INDEX('Weapons Database'!$C$2:$C$100,MATCH($U373,'Weapons Database'!$A$2:$A$100,0))&amp;" "&amp;INDEX('Weapons Database'!$D$2:$D$100,MATCH($U373,'Weapons Database'!$A$2:$A$100,0)),""))</x:f>
      </x:c>
      <x:c r="W373" t="str">
        <x:f>IF($U373="","","Weapons Database")</x:f>
      </x:c>
    </x:row>
    <x:row r="374">
      <x:c r="V374" t="str">
        <x:f>IF($U374="","",IFERROR(INDEX('Weapons Database'!$C$2:$C$100,MATCH($U374,'Weapons Database'!$A$2:$A$100,0))&amp;" "&amp;INDEX('Weapons Database'!$D$2:$D$100,MATCH($U374,'Weapons Database'!$A$2:$A$100,0)),""))</x:f>
      </x:c>
      <x:c r="W374" t="str">
        <x:f>IF($U374="","","Weapons Database")</x:f>
      </x:c>
    </x:row>
    <x:row r="375">
      <x:c r="V375" t="str">
        <x:f>IF($U375="","",IFERROR(INDEX('Weapons Database'!$C$2:$C$100,MATCH($U375,'Weapons Database'!$A$2:$A$100,0))&amp;" "&amp;INDEX('Weapons Database'!$D$2:$D$100,MATCH($U375,'Weapons Database'!$A$2:$A$100,0)),""))</x:f>
      </x:c>
      <x:c r="W375" t="str">
        <x:f>IF($U375="","","Weapons Database")</x:f>
      </x:c>
    </x:row>
    <x:row r="376">
      <x:c r="V376" t="str">
        <x:f>IF($U376="","",IFERROR(INDEX('Weapons Database'!$C$2:$C$100,MATCH($U376,'Weapons Database'!$A$2:$A$100,0))&amp;" "&amp;INDEX('Weapons Database'!$D$2:$D$100,MATCH($U376,'Weapons Database'!$A$2:$A$100,0)),""))</x:f>
      </x:c>
      <x:c r="W376" t="str">
        <x:f>IF($U376="","","Weapons Database")</x:f>
      </x:c>
    </x:row>
    <x:row r="377">
      <x:c r="V377" t="str">
        <x:f>IF($U377="","",IFERROR(INDEX('Weapons Database'!$C$2:$C$100,MATCH($U377,'Weapons Database'!$A$2:$A$100,0))&amp;" "&amp;INDEX('Weapons Database'!$D$2:$D$100,MATCH($U377,'Weapons Database'!$A$2:$A$100,0)),""))</x:f>
      </x:c>
      <x:c r="W377" t="str">
        <x:f>IF($U377="","","Weapons Database")</x:f>
      </x:c>
    </x:row>
    <x:row r="378">
      <x:c r="V378" t="str">
        <x:f>IF($U378="","",IFERROR(INDEX('Weapons Database'!$C$2:$C$100,MATCH($U378,'Weapons Database'!$A$2:$A$100,0))&amp;" "&amp;INDEX('Weapons Database'!$D$2:$D$100,MATCH($U378,'Weapons Database'!$A$2:$A$100,0)),""))</x:f>
      </x:c>
      <x:c r="W378" t="str">
        <x:f>IF($U378="","","Weapons Database")</x:f>
      </x:c>
    </x:row>
    <x:row r="379">
      <x:c r="V379" t="str">
        <x:f>IF($U379="","",IFERROR(INDEX('Weapons Database'!$C$2:$C$100,MATCH($U379,'Weapons Database'!$A$2:$A$100,0))&amp;" "&amp;INDEX('Weapons Database'!$D$2:$D$100,MATCH($U379,'Weapons Database'!$A$2:$A$100,0)),""))</x:f>
      </x:c>
      <x:c r="W379" t="str">
        <x:f>IF($U379="","","Weapons Database")</x:f>
      </x:c>
    </x:row>
    <x:row r="380">
      <x:c r="V380" t="str">
        <x:f>IF($U380="","",IFERROR(INDEX('Weapons Database'!$C$2:$C$100,MATCH($U380,'Weapons Database'!$A$2:$A$100,0))&amp;" "&amp;INDEX('Weapons Database'!$D$2:$D$100,MATCH($U380,'Weapons Database'!$A$2:$A$100,0)),""))</x:f>
      </x:c>
      <x:c r="W380" t="str">
        <x:f>IF($U380="","","Weapons Database")</x:f>
      </x:c>
    </x:row>
    <x:row r="381">
      <x:c r="V381" t="str">
        <x:f>IF($U381="","",IFERROR(INDEX('Weapons Database'!$C$2:$C$100,MATCH($U381,'Weapons Database'!$A$2:$A$100,0))&amp;" "&amp;INDEX('Weapons Database'!$D$2:$D$100,MATCH($U381,'Weapons Database'!$A$2:$A$100,0)),""))</x:f>
      </x:c>
      <x:c r="W381" t="str">
        <x:f>IF($U381="","","Weapons Database")</x:f>
      </x:c>
    </x:row>
    <x:row r="382">
      <x:c r="V382" t="str">
        <x:f>IF($U382="","",IFERROR(INDEX('Weapons Database'!$C$2:$C$100,MATCH($U382,'Weapons Database'!$A$2:$A$100,0))&amp;" "&amp;INDEX('Weapons Database'!$D$2:$D$100,MATCH($U382,'Weapons Database'!$A$2:$A$100,0)),""))</x:f>
      </x:c>
      <x:c r="W382" t="str">
        <x:f>IF($U382="","","Weapons Database")</x:f>
      </x:c>
    </x:row>
    <x:row r="383">
      <x:c r="V383" t="str">
        <x:f>IF($U383="","",IFERROR(INDEX('Weapons Database'!$C$2:$C$100,MATCH($U383,'Weapons Database'!$A$2:$A$100,0))&amp;" "&amp;INDEX('Weapons Database'!$D$2:$D$100,MATCH($U383,'Weapons Database'!$A$2:$A$100,0)),""))</x:f>
      </x:c>
      <x:c r="W383" t="str">
        <x:f>IF($U383="","","Weapons Database")</x:f>
      </x:c>
    </x:row>
    <x:row r="384">
      <x:c r="V384" t="str">
        <x:f>IF($U384="","",IFERROR(INDEX('Weapons Database'!$C$2:$C$100,MATCH($U384,'Weapons Database'!$A$2:$A$100,0))&amp;" "&amp;INDEX('Weapons Database'!$D$2:$D$100,MATCH($U384,'Weapons Database'!$A$2:$A$100,0)),""))</x:f>
      </x:c>
      <x:c r="W384" t="str">
        <x:f>IF($U384="","","Weapons Database")</x:f>
      </x:c>
    </x:row>
    <x:row r="385">
      <x:c r="V385" t="str">
        <x:f>IF($U385="","",IFERROR(INDEX('Weapons Database'!$C$2:$C$100,MATCH($U385,'Weapons Database'!$A$2:$A$100,0))&amp;" "&amp;INDEX('Weapons Database'!$D$2:$D$100,MATCH($U385,'Weapons Database'!$A$2:$A$100,0)),""))</x:f>
      </x:c>
      <x:c r="W385" t="str">
        <x:f>IF($U385="","","Weapons Database")</x:f>
      </x:c>
    </x:row>
    <x:row r="386">
      <x:c r="V386" t="str">
        <x:f>IF($U386="","",IFERROR(INDEX('Weapons Database'!$C$2:$C$100,MATCH($U386,'Weapons Database'!$A$2:$A$100,0))&amp;" "&amp;INDEX('Weapons Database'!$D$2:$D$100,MATCH($U386,'Weapons Database'!$A$2:$A$100,0)),""))</x:f>
      </x:c>
      <x:c r="W386" t="str">
        <x:f>IF($U386="","","Weapons Database")</x:f>
      </x:c>
    </x:row>
    <x:row r="387">
      <x:c r="V387" t="str">
        <x:f>IF($U387="","",IFERROR(INDEX('Weapons Database'!$C$2:$C$100,MATCH($U387,'Weapons Database'!$A$2:$A$100,0))&amp;" "&amp;INDEX('Weapons Database'!$D$2:$D$100,MATCH($U387,'Weapons Database'!$A$2:$A$100,0)),""))</x:f>
      </x:c>
      <x:c r="W387" t="str">
        <x:f>IF($U387="","","Weapons Database")</x:f>
      </x:c>
    </x:row>
    <x:row r="388">
      <x:c r="V388" t="str">
        <x:f>IF($U388="","",IFERROR(INDEX('Weapons Database'!$C$2:$C$100,MATCH($U388,'Weapons Database'!$A$2:$A$100,0))&amp;" "&amp;INDEX('Weapons Database'!$D$2:$D$100,MATCH($U388,'Weapons Database'!$A$2:$A$100,0)),""))</x:f>
      </x:c>
      <x:c r="W388" t="str">
        <x:f>IF($U388="","","Weapons Database")</x:f>
      </x:c>
    </x:row>
    <x:row r="389">
      <x:c r="V389" t="str">
        <x:f>IF($U389="","",IFERROR(INDEX('Weapons Database'!$C$2:$C$100,MATCH($U389,'Weapons Database'!$A$2:$A$100,0))&amp;" "&amp;INDEX('Weapons Database'!$D$2:$D$100,MATCH($U389,'Weapons Database'!$A$2:$A$100,0)),""))</x:f>
      </x:c>
      <x:c r="W389" t="str">
        <x:f>IF($U389="","","Weapons Database")</x:f>
      </x:c>
    </x:row>
    <x:row r="390">
      <x:c r="V390" t="str">
        <x:f>IF($U390="","",IFERROR(INDEX('Weapons Database'!$C$2:$C$100,MATCH($U390,'Weapons Database'!$A$2:$A$100,0))&amp;" "&amp;INDEX('Weapons Database'!$D$2:$D$100,MATCH($U390,'Weapons Database'!$A$2:$A$100,0)),""))</x:f>
      </x:c>
      <x:c r="W390" t="str">
        <x:f>IF($U390="","","Weapons Database")</x:f>
      </x:c>
    </x:row>
    <x:row r="391">
      <x:c r="V391" t="str">
        <x:f>IF($U391="","",IFERROR(INDEX('Weapons Database'!$C$2:$C$100,MATCH($U391,'Weapons Database'!$A$2:$A$100,0))&amp;" "&amp;INDEX('Weapons Database'!$D$2:$D$100,MATCH($U391,'Weapons Database'!$A$2:$A$100,0)),""))</x:f>
      </x:c>
      <x:c r="W391" t="str">
        <x:f>IF($U391="","","Weapons Database")</x:f>
      </x:c>
    </x:row>
    <x:row r="392">
      <x:c r="V392" t="str">
        <x:f>IF($U392="","",IFERROR(INDEX('Weapons Database'!$C$2:$C$100,MATCH($U392,'Weapons Database'!$A$2:$A$100,0))&amp;" "&amp;INDEX('Weapons Database'!$D$2:$D$100,MATCH($U392,'Weapons Database'!$A$2:$A$100,0)),""))</x:f>
      </x:c>
      <x:c r="W392" t="str">
        <x:f>IF($U392="","","Weapons Database")</x:f>
      </x:c>
    </x:row>
    <x:row r="393">
      <x:c r="V393" t="str">
        <x:f>IF($U393="","",IFERROR(INDEX('Weapons Database'!$C$2:$C$100,MATCH($U393,'Weapons Database'!$A$2:$A$100,0))&amp;" "&amp;INDEX('Weapons Database'!$D$2:$D$100,MATCH($U393,'Weapons Database'!$A$2:$A$100,0)),""))</x:f>
      </x:c>
      <x:c r="W393" t="str">
        <x:f>IF($U393="","","Weapons Database")</x:f>
      </x:c>
    </x:row>
    <x:row r="394">
      <x:c r="V394" t="str">
        <x:f>IF($U394="","",IFERROR(INDEX('Weapons Database'!$C$2:$C$100,MATCH($U394,'Weapons Database'!$A$2:$A$100,0))&amp;" "&amp;INDEX('Weapons Database'!$D$2:$D$100,MATCH($U394,'Weapons Database'!$A$2:$A$100,0)),""))</x:f>
      </x:c>
      <x:c r="W394" t="str">
        <x:f>IF($U394="","","Weapons Database")</x:f>
      </x:c>
    </x:row>
    <x:row r="395">
      <x:c r="V395" t="str">
        <x:f>IF($U395="","",IFERROR(INDEX('Weapons Database'!$C$2:$C$100,MATCH($U395,'Weapons Database'!$A$2:$A$100,0))&amp;" "&amp;INDEX('Weapons Database'!$D$2:$D$100,MATCH($U395,'Weapons Database'!$A$2:$A$100,0)),""))</x:f>
      </x:c>
      <x:c r="W395" t="str">
        <x:f>IF($U395="","","Weapons Database")</x:f>
      </x:c>
    </x:row>
    <x:row r="396">
      <x:c r="V396" t="str">
        <x:f>IF($U396="","",IFERROR(INDEX('Weapons Database'!$C$2:$C$100,MATCH($U396,'Weapons Database'!$A$2:$A$100,0))&amp;" "&amp;INDEX('Weapons Database'!$D$2:$D$100,MATCH($U396,'Weapons Database'!$A$2:$A$100,0)),""))</x:f>
      </x:c>
      <x:c r="W396" t="str">
        <x:f>IF($U396="","","Weapons Database")</x:f>
      </x:c>
    </x:row>
    <x:row r="397">
      <x:c r="V397" t="str">
        <x:f>IF($U397="","",IFERROR(INDEX('Weapons Database'!$C$2:$C$100,MATCH($U397,'Weapons Database'!$A$2:$A$100,0))&amp;" "&amp;INDEX('Weapons Database'!$D$2:$D$100,MATCH($U397,'Weapons Database'!$A$2:$A$100,0)),""))</x:f>
      </x:c>
      <x:c r="W397" t="str">
        <x:f>IF($U397="","","Weapons Database")</x:f>
      </x:c>
    </x:row>
    <x:row r="398">
      <x:c r="V398" t="str">
        <x:f>IF($U398="","",IFERROR(INDEX('Weapons Database'!$C$2:$C$100,MATCH($U398,'Weapons Database'!$A$2:$A$100,0))&amp;" "&amp;INDEX('Weapons Database'!$D$2:$D$100,MATCH($U398,'Weapons Database'!$A$2:$A$100,0)),""))</x:f>
      </x:c>
      <x:c r="W398" t="str">
        <x:f>IF($U398="","","Weapons Database")</x:f>
      </x:c>
    </x:row>
    <x:row r="399">
      <x:c r="V399" t="str">
        <x:f>IF($U399="","",IFERROR(INDEX('Weapons Database'!$C$2:$C$100,MATCH($U399,'Weapons Database'!$A$2:$A$100,0))&amp;" "&amp;INDEX('Weapons Database'!$D$2:$D$100,MATCH($U399,'Weapons Database'!$A$2:$A$100,0)),""))</x:f>
      </x:c>
      <x:c r="W399" t="str">
        <x:f>IF($U399="","","Weapons Database")</x:f>
      </x:c>
    </x:row>
    <x:row r="400">
      <x:c r="V400" t="str">
        <x:f>IF($U400="","",IFERROR(INDEX('Weapons Database'!$C$2:$C$100,MATCH($U400,'Weapons Database'!$A$2:$A$100,0))&amp;" "&amp;INDEX('Weapons Database'!$D$2:$D$100,MATCH($U400,'Weapons Database'!$A$2:$A$100,0)),""))</x:f>
      </x:c>
      <x:c r="W400" t="str">
        <x:f>IF($U400="","","Weapons Database")</x:f>
      </x:c>
    </x:row>
    <x:row r="401">
      <x:c r="V401" t="str">
        <x:f>IF($U401="","",IFERROR(INDEX('Weapons Database'!$C$2:$C$100,MATCH($U401,'Weapons Database'!$A$2:$A$100,0))&amp;" "&amp;INDEX('Weapons Database'!$D$2:$D$100,MATCH($U401,'Weapons Database'!$A$2:$A$100,0)),""))</x:f>
      </x:c>
      <x:c r="W401" t="str">
        <x:f>IF($U401="","","Weapons Database")</x:f>
      </x:c>
    </x:row>
    <x:row r="402">
      <x:c r="V402" t="str">
        <x:f>IF($U402="","",IFERROR(INDEX('Weapons Database'!$C$2:$C$100,MATCH($U402,'Weapons Database'!$A$2:$A$100,0))&amp;" "&amp;INDEX('Weapons Database'!$D$2:$D$100,MATCH($U402,'Weapons Database'!$A$2:$A$100,0)),""))</x:f>
      </x:c>
      <x:c r="W402" t="str">
        <x:f>IF($U402="","","Weapons Database")</x:f>
      </x:c>
    </x:row>
    <x:row r="403">
      <x:c r="V403" t="str">
        <x:f>IF($U403="","",IFERROR(INDEX('Weapons Database'!$C$2:$C$100,MATCH($U403,'Weapons Database'!$A$2:$A$100,0))&amp;" "&amp;INDEX('Weapons Database'!$D$2:$D$100,MATCH($U403,'Weapons Database'!$A$2:$A$100,0)),""))</x:f>
      </x:c>
      <x:c r="W403" t="str">
        <x:f>IF($U403="","","Weapons Database")</x:f>
      </x:c>
    </x:row>
    <x:row r="404">
      <x:c r="V404" t="str">
        <x:f>IF($U404="","",IFERROR(INDEX('Weapons Database'!$C$2:$C$100,MATCH($U404,'Weapons Database'!$A$2:$A$100,0))&amp;" "&amp;INDEX('Weapons Database'!$D$2:$D$100,MATCH($U404,'Weapons Database'!$A$2:$A$100,0)),""))</x:f>
      </x:c>
      <x:c r="W404" t="str">
        <x:f>IF($U404="","","Weapons Database")</x:f>
      </x:c>
    </x:row>
    <x:row r="405">
      <x:c r="V405" t="str">
        <x:f>IF($U405="","",IFERROR(INDEX('Weapons Database'!$C$2:$C$100,MATCH($U405,'Weapons Database'!$A$2:$A$100,0))&amp;" "&amp;INDEX('Weapons Database'!$D$2:$D$100,MATCH($U405,'Weapons Database'!$A$2:$A$100,0)),""))</x:f>
      </x:c>
      <x:c r="W405" t="str">
        <x:f>IF($U405="","","Weapons Database")</x:f>
      </x:c>
    </x:row>
    <x:row r="406">
      <x:c r="V406" t="str">
        <x:f>IF($U406="","",IFERROR(INDEX('Weapons Database'!$C$2:$C$100,MATCH($U406,'Weapons Database'!$A$2:$A$100,0))&amp;" "&amp;INDEX('Weapons Database'!$D$2:$D$100,MATCH($U406,'Weapons Database'!$A$2:$A$100,0)),""))</x:f>
      </x:c>
      <x:c r="W406" t="str">
        <x:f>IF($U406="","","Weapons Database")</x:f>
      </x:c>
    </x:row>
    <x:row r="407">
      <x:c r="V407" t="str">
        <x:f>IF($U407="","",IFERROR(INDEX('Weapons Database'!$C$2:$C$100,MATCH($U407,'Weapons Database'!$A$2:$A$100,0))&amp;" "&amp;INDEX('Weapons Database'!$D$2:$D$100,MATCH($U407,'Weapons Database'!$A$2:$A$100,0)),""))</x:f>
      </x:c>
      <x:c r="W407" t="str">
        <x:f>IF($U407="","","Weapons Database")</x:f>
      </x:c>
    </x:row>
    <x:row r="408">
      <x:c r="V408" t="str">
        <x:f>IF($U408="","",IFERROR(INDEX('Weapons Database'!$C$2:$C$100,MATCH($U408,'Weapons Database'!$A$2:$A$100,0))&amp;" "&amp;INDEX('Weapons Database'!$D$2:$D$100,MATCH($U408,'Weapons Database'!$A$2:$A$100,0)),""))</x:f>
      </x:c>
      <x:c r="W408" t="str">
        <x:f>IF($U408="","","Weapons Database")</x:f>
      </x:c>
    </x:row>
    <x:row r="409">
      <x:c r="V409" t="str">
        <x:f>IF($U409="","",IFERROR(INDEX('Weapons Database'!$C$2:$C$100,MATCH($U409,'Weapons Database'!$A$2:$A$100,0))&amp;" "&amp;INDEX('Weapons Database'!$D$2:$D$100,MATCH($U409,'Weapons Database'!$A$2:$A$100,0)),""))</x:f>
      </x:c>
      <x:c r="W409" t="str">
        <x:f>IF($U409="","","Weapons Database")</x:f>
      </x:c>
    </x:row>
    <x:row r="410">
      <x:c r="V410" t="str">
        <x:f>IF($U410="","",IFERROR(INDEX('Weapons Database'!$C$2:$C$100,MATCH($U410,'Weapons Database'!$A$2:$A$100,0))&amp;" "&amp;INDEX('Weapons Database'!$D$2:$D$100,MATCH($U410,'Weapons Database'!$A$2:$A$100,0)),""))</x:f>
      </x:c>
      <x:c r="W410" t="str">
        <x:f>IF($U410="","","Weapons Database")</x:f>
      </x:c>
    </x:row>
    <x:row r="411">
      <x:c r="V411" t="str">
        <x:f>IF($U411="","",IFERROR(INDEX('Weapons Database'!$C$2:$C$100,MATCH($U411,'Weapons Database'!$A$2:$A$100,0))&amp;" "&amp;INDEX('Weapons Database'!$D$2:$D$100,MATCH($U411,'Weapons Database'!$A$2:$A$100,0)),""))</x:f>
      </x:c>
      <x:c r="W411" t="str">
        <x:f>IF($U411="","","Weapons Database")</x:f>
      </x:c>
    </x:row>
    <x:row r="412">
      <x:c r="V412" t="str">
        <x:f>IF($U412="","",IFERROR(INDEX('Weapons Database'!$C$2:$C$100,MATCH($U412,'Weapons Database'!$A$2:$A$100,0))&amp;" "&amp;INDEX('Weapons Database'!$D$2:$D$100,MATCH($U412,'Weapons Database'!$A$2:$A$100,0)),""))</x:f>
      </x:c>
      <x:c r="W412" t="str">
        <x:f>IF($U412="","","Weapons Database")</x:f>
      </x:c>
    </x:row>
    <x:row r="413">
      <x:c r="V413" t="str">
        <x:f>IF($U413="","",IFERROR(INDEX('Weapons Database'!$C$2:$C$100,MATCH($U413,'Weapons Database'!$A$2:$A$100,0))&amp;" "&amp;INDEX('Weapons Database'!$D$2:$D$100,MATCH($U413,'Weapons Database'!$A$2:$A$100,0)),""))</x:f>
      </x:c>
      <x:c r="W413" t="str">
        <x:f>IF($U413="","","Weapons Database")</x:f>
      </x:c>
    </x:row>
    <x:row r="414">
      <x:c r="V414" t="str">
        <x:f>IF($U414="","",IFERROR(INDEX('Weapons Database'!$C$2:$C$100,MATCH($U414,'Weapons Database'!$A$2:$A$100,0))&amp;" "&amp;INDEX('Weapons Database'!$D$2:$D$100,MATCH($U414,'Weapons Database'!$A$2:$A$100,0)),""))</x:f>
      </x:c>
      <x:c r="W414" t="str">
        <x:f>IF($U414="","","Weapons Database")</x:f>
      </x:c>
    </x:row>
    <x:row r="415">
      <x:c r="V415" t="str">
        <x:f>IF($U415="","",IFERROR(INDEX('Weapons Database'!$C$2:$C$100,MATCH($U415,'Weapons Database'!$A$2:$A$100,0))&amp;" "&amp;INDEX('Weapons Database'!$D$2:$D$100,MATCH($U415,'Weapons Database'!$A$2:$A$100,0)),""))</x:f>
      </x:c>
      <x:c r="W415" t="str">
        <x:f>IF($U415="","","Weapons Database")</x:f>
      </x:c>
    </x:row>
    <x:row r="416">
      <x:c r="V416" t="str">
        <x:f>IF($U416="","",IFERROR(INDEX('Weapons Database'!$C$2:$C$100,MATCH($U416,'Weapons Database'!$A$2:$A$100,0))&amp;" "&amp;INDEX('Weapons Database'!$D$2:$D$100,MATCH($U416,'Weapons Database'!$A$2:$A$100,0)),""))</x:f>
      </x:c>
      <x:c r="W416" t="str">
        <x:f>IF($U416="","","Weapons Database")</x:f>
      </x:c>
    </x:row>
    <x:row r="417">
      <x:c r="V417" t="str">
        <x:f>IF($U417="","",IFERROR(INDEX('Weapons Database'!$C$2:$C$100,MATCH($U417,'Weapons Database'!$A$2:$A$100,0))&amp;" "&amp;INDEX('Weapons Database'!$D$2:$D$100,MATCH($U417,'Weapons Database'!$A$2:$A$100,0)),""))</x:f>
      </x:c>
      <x:c r="W417" t="str">
        <x:f>IF($U417="","","Weapons Database")</x:f>
      </x:c>
    </x:row>
    <x:row r="418">
      <x:c r="V418" t="str">
        <x:f>IF($U418="","",IFERROR(INDEX('Weapons Database'!$C$2:$C$100,MATCH($U418,'Weapons Database'!$A$2:$A$100,0))&amp;" "&amp;INDEX('Weapons Database'!$D$2:$D$100,MATCH($U418,'Weapons Database'!$A$2:$A$100,0)),""))</x:f>
      </x:c>
      <x:c r="W418" t="str">
        <x:f>IF($U418="","","Weapons Database")</x:f>
      </x:c>
    </x:row>
    <x:row r="419">
      <x:c r="V419" t="str">
        <x:f>IF($U419="","",IFERROR(INDEX('Weapons Database'!$C$2:$C$100,MATCH($U419,'Weapons Database'!$A$2:$A$100,0))&amp;" "&amp;INDEX('Weapons Database'!$D$2:$D$100,MATCH($U419,'Weapons Database'!$A$2:$A$100,0)),""))</x:f>
      </x:c>
      <x:c r="W419" t="str">
        <x:f>IF($U419="","","Weapons Database")</x:f>
      </x:c>
    </x:row>
    <x:row r="420">
      <x:c r="V420" t="str">
        <x:f>IF($U420="","",IFERROR(INDEX('Weapons Database'!$C$2:$C$100,MATCH($U420,'Weapons Database'!$A$2:$A$100,0))&amp;" "&amp;INDEX('Weapons Database'!$D$2:$D$100,MATCH($U420,'Weapons Database'!$A$2:$A$100,0)),""))</x:f>
      </x:c>
      <x:c r="W420" t="str">
        <x:f>IF($U420="","","Weapons Database")</x:f>
      </x:c>
    </x:row>
    <x:row r="421">
      <x:c r="V421" t="str">
        <x:f>IF($U421="","",IFERROR(INDEX('Weapons Database'!$C$2:$C$100,MATCH($U421,'Weapons Database'!$A$2:$A$100,0))&amp;" "&amp;INDEX('Weapons Database'!$D$2:$D$100,MATCH($U421,'Weapons Database'!$A$2:$A$100,0)),""))</x:f>
      </x:c>
      <x:c r="W421" t="str">
        <x:f>IF($U421="","","Weapons Database")</x:f>
      </x:c>
    </x:row>
    <x:row r="422">
      <x:c r="V422" t="str">
        <x:f>IF($U422="","",IFERROR(INDEX('Weapons Database'!$C$2:$C$100,MATCH($U422,'Weapons Database'!$A$2:$A$100,0))&amp;" "&amp;INDEX('Weapons Database'!$D$2:$D$100,MATCH($U422,'Weapons Database'!$A$2:$A$100,0)),""))</x:f>
      </x:c>
      <x:c r="W422" t="str">
        <x:f>IF($U422="","","Weapons Database")</x:f>
      </x:c>
    </x:row>
    <x:row r="423">
      <x:c r="V423" t="str">
        <x:f>IF($U423="","",IFERROR(INDEX('Weapons Database'!$C$2:$C$100,MATCH($U423,'Weapons Database'!$A$2:$A$100,0))&amp;" "&amp;INDEX('Weapons Database'!$D$2:$D$100,MATCH($U423,'Weapons Database'!$A$2:$A$100,0)),""))</x:f>
      </x:c>
      <x:c r="W423" t="str">
        <x:f>IF($U423="","","Weapons Database")</x:f>
      </x:c>
    </x:row>
    <x:row r="424">
      <x:c r="V424" t="str">
        <x:f>IF($U424="","",IFERROR(INDEX('Weapons Database'!$C$2:$C$100,MATCH($U424,'Weapons Database'!$A$2:$A$100,0))&amp;" "&amp;INDEX('Weapons Database'!$D$2:$D$100,MATCH($U424,'Weapons Database'!$A$2:$A$100,0)),""))</x:f>
      </x:c>
      <x:c r="W424" t="str">
        <x:f>IF($U424="","","Weapons Database")</x:f>
      </x:c>
    </x:row>
    <x:row r="425">
      <x:c r="V425" t="str">
        <x:f>IF($U425="","",IFERROR(INDEX('Weapons Database'!$C$2:$C$100,MATCH($U425,'Weapons Database'!$A$2:$A$100,0))&amp;" "&amp;INDEX('Weapons Database'!$D$2:$D$100,MATCH($U425,'Weapons Database'!$A$2:$A$100,0)),""))</x:f>
      </x:c>
      <x:c r="W425" t="str">
        <x:f>IF($U425="","","Weapons Database")</x:f>
      </x:c>
    </x:row>
    <x:row r="426">
      <x:c r="V426" t="str">
        <x:f>IF($U426="","",IFERROR(INDEX('Weapons Database'!$C$2:$C$100,MATCH($U426,'Weapons Database'!$A$2:$A$100,0))&amp;" "&amp;INDEX('Weapons Database'!$D$2:$D$100,MATCH($U426,'Weapons Database'!$A$2:$A$100,0)),""))</x:f>
      </x:c>
      <x:c r="W426" t="str">
        <x:f>IF($U426="","","Weapons Database")</x:f>
      </x:c>
    </x:row>
    <x:row r="427">
      <x:c r="V427" t="str">
        <x:f>IF($U427="","",IFERROR(INDEX('Weapons Database'!$C$2:$C$100,MATCH($U427,'Weapons Database'!$A$2:$A$100,0))&amp;" "&amp;INDEX('Weapons Database'!$D$2:$D$100,MATCH($U427,'Weapons Database'!$A$2:$A$100,0)),""))</x:f>
      </x:c>
      <x:c r="W427" t="str">
        <x:f>IF($U427="","","Weapons Database")</x:f>
      </x:c>
    </x:row>
    <x:row r="428">
      <x:c r="V428" t="str">
        <x:f>IF($U428="","",IFERROR(INDEX('Weapons Database'!$C$2:$C$100,MATCH($U428,'Weapons Database'!$A$2:$A$100,0))&amp;" "&amp;INDEX('Weapons Database'!$D$2:$D$100,MATCH($U428,'Weapons Database'!$A$2:$A$100,0)),""))</x:f>
      </x:c>
      <x:c r="W428" t="str">
        <x:f>IF($U428="","","Weapons Database")</x:f>
      </x:c>
    </x:row>
    <x:row r="429">
      <x:c r="V429" t="str">
        <x:f>IF($U429="","",IFERROR(INDEX('Weapons Database'!$C$2:$C$100,MATCH($U429,'Weapons Database'!$A$2:$A$100,0))&amp;" "&amp;INDEX('Weapons Database'!$D$2:$D$100,MATCH($U429,'Weapons Database'!$A$2:$A$100,0)),""))</x:f>
      </x:c>
      <x:c r="W429" t="str">
        <x:f>IF($U429="","","Weapons Database")</x:f>
      </x:c>
    </x:row>
    <x:row r="430">
      <x:c r="V430" t="str">
        <x:f>IF($U430="","",IFERROR(INDEX('Weapons Database'!$C$2:$C$100,MATCH($U430,'Weapons Database'!$A$2:$A$100,0))&amp;" "&amp;INDEX('Weapons Database'!$D$2:$D$100,MATCH($U430,'Weapons Database'!$A$2:$A$100,0)),""))</x:f>
      </x:c>
      <x:c r="W430" t="str">
        <x:f>IF($U430="","","Weapons Database")</x:f>
      </x:c>
    </x:row>
    <x:row r="431">
      <x:c r="V431" t="str">
        <x:f>IF($U431="","",IFERROR(INDEX('Weapons Database'!$C$2:$C$100,MATCH($U431,'Weapons Database'!$A$2:$A$100,0))&amp;" "&amp;INDEX('Weapons Database'!$D$2:$D$100,MATCH($U431,'Weapons Database'!$A$2:$A$100,0)),""))</x:f>
      </x:c>
      <x:c r="W431" t="str">
        <x:f>IF($U431="","","Weapons Database")</x:f>
      </x:c>
    </x:row>
    <x:row r="432">
      <x:c r="V432" t="str">
        <x:f>IF($U432="","",IFERROR(INDEX('Weapons Database'!$C$2:$C$100,MATCH($U432,'Weapons Database'!$A$2:$A$100,0))&amp;" "&amp;INDEX('Weapons Database'!$D$2:$D$100,MATCH($U432,'Weapons Database'!$A$2:$A$100,0)),""))</x:f>
      </x:c>
      <x:c r="W432" t="str">
        <x:f>IF($U432="","","Weapons Database")</x:f>
      </x:c>
    </x:row>
    <x:row r="433">
      <x:c r="V433" t="str">
        <x:f>IF($U433="","",IFERROR(INDEX('Weapons Database'!$C$2:$C$100,MATCH($U433,'Weapons Database'!$A$2:$A$100,0))&amp;" "&amp;INDEX('Weapons Database'!$D$2:$D$100,MATCH($U433,'Weapons Database'!$A$2:$A$100,0)),""))</x:f>
      </x:c>
      <x:c r="W433" t="str">
        <x:f>IF($U433="","","Weapons Database")</x:f>
      </x:c>
    </x:row>
    <x:row r="434">
      <x:c r="V434" t="str">
        <x:f>IF($U434="","",IFERROR(INDEX('Weapons Database'!$C$2:$C$100,MATCH($U434,'Weapons Database'!$A$2:$A$100,0))&amp;" "&amp;INDEX('Weapons Database'!$D$2:$D$100,MATCH($U434,'Weapons Database'!$A$2:$A$100,0)),""))</x:f>
      </x:c>
      <x:c r="W434" t="str">
        <x:f>IF($U434="","","Weapons Database")</x:f>
      </x:c>
    </x:row>
    <x:row r="435">
      <x:c r="V435" t="str">
        <x:f>IF($U435="","",IFERROR(INDEX('Weapons Database'!$C$2:$C$100,MATCH($U435,'Weapons Database'!$A$2:$A$100,0))&amp;" "&amp;INDEX('Weapons Database'!$D$2:$D$100,MATCH($U435,'Weapons Database'!$A$2:$A$100,0)),""))</x:f>
      </x:c>
      <x:c r="W435" t="str">
        <x:f>IF($U435="","","Weapons Database")</x:f>
      </x:c>
    </x:row>
    <x:row r="436">
      <x:c r="V436" t="str">
        <x:f>IF($U436="","",IFERROR(INDEX('Weapons Database'!$C$2:$C$100,MATCH($U436,'Weapons Database'!$A$2:$A$100,0))&amp;" "&amp;INDEX('Weapons Database'!$D$2:$D$100,MATCH($U436,'Weapons Database'!$A$2:$A$100,0)),""))</x:f>
      </x:c>
      <x:c r="W436" t="str">
        <x:f>IF($U436="","","Weapons Database")</x:f>
      </x:c>
    </x:row>
    <x:row r="437">
      <x:c r="V437" t="str">
        <x:f>IF($U437="","",IFERROR(INDEX('Weapons Database'!$C$2:$C$100,MATCH($U437,'Weapons Database'!$A$2:$A$100,0))&amp;" "&amp;INDEX('Weapons Database'!$D$2:$D$100,MATCH($U437,'Weapons Database'!$A$2:$A$100,0)),""))</x:f>
      </x:c>
      <x:c r="W437" t="str">
        <x:f>IF($U437="","","Weapons Database")</x:f>
      </x:c>
    </x:row>
    <x:row r="438">
      <x:c r="V438" t="str">
        <x:f>IF($U438="","",IFERROR(INDEX('Weapons Database'!$C$2:$C$100,MATCH($U438,'Weapons Database'!$A$2:$A$100,0))&amp;" "&amp;INDEX('Weapons Database'!$D$2:$D$100,MATCH($U438,'Weapons Database'!$A$2:$A$100,0)),""))</x:f>
      </x:c>
      <x:c r="W438" t="str">
        <x:f>IF($U438="","","Weapons Database")</x:f>
      </x:c>
    </x:row>
    <x:row r="439">
      <x:c r="V439" t="str">
        <x:f>IF($U439="","",IFERROR(INDEX('Weapons Database'!$C$2:$C$100,MATCH($U439,'Weapons Database'!$A$2:$A$100,0))&amp;" "&amp;INDEX('Weapons Database'!$D$2:$D$100,MATCH($U439,'Weapons Database'!$A$2:$A$100,0)),""))</x:f>
      </x:c>
      <x:c r="W439" t="str">
        <x:f>IF($U439="","","Weapons Database")</x:f>
      </x:c>
    </x:row>
    <x:row r="440">
      <x:c r="V440" t="str">
        <x:f>IF($U440="","",IFERROR(INDEX('Weapons Database'!$C$2:$C$100,MATCH($U440,'Weapons Database'!$A$2:$A$100,0))&amp;" "&amp;INDEX('Weapons Database'!$D$2:$D$100,MATCH($U440,'Weapons Database'!$A$2:$A$100,0)),""))</x:f>
      </x:c>
      <x:c r="W440" t="str">
        <x:f>IF($U440="","","Weapons Database")</x:f>
      </x:c>
    </x:row>
    <x:row r="441">
      <x:c r="V441" t="str">
        <x:f>IF($U441="","",IFERROR(INDEX('Weapons Database'!$C$2:$C$100,MATCH($U441,'Weapons Database'!$A$2:$A$100,0))&amp;" "&amp;INDEX('Weapons Database'!$D$2:$D$100,MATCH($U441,'Weapons Database'!$A$2:$A$100,0)),""))</x:f>
      </x:c>
      <x:c r="W441" t="str">
        <x:f>IF($U441="","","Weapons Database")</x:f>
      </x:c>
    </x:row>
    <x:row r="442">
      <x:c r="V442" t="str">
        <x:f>IF($U442="","",IFERROR(INDEX('Weapons Database'!$C$2:$C$100,MATCH($U442,'Weapons Database'!$A$2:$A$100,0))&amp;" "&amp;INDEX('Weapons Database'!$D$2:$D$100,MATCH($U442,'Weapons Database'!$A$2:$A$100,0)),""))</x:f>
      </x:c>
      <x:c r="W442" t="str">
        <x:f>IF($U442="","","Weapons Database")</x:f>
      </x:c>
    </x:row>
    <x:row r="443">
      <x:c r="V443" t="str">
        <x:f>IF($U443="","",IFERROR(INDEX('Weapons Database'!$C$2:$C$100,MATCH($U443,'Weapons Database'!$A$2:$A$100,0))&amp;" "&amp;INDEX('Weapons Database'!$D$2:$D$100,MATCH($U443,'Weapons Database'!$A$2:$A$100,0)),""))</x:f>
      </x:c>
      <x:c r="W443" t="str">
        <x:f>IF($U443="","","Weapons Database")</x:f>
      </x:c>
    </x:row>
    <x:row r="444">
      <x:c r="V444" t="str">
        <x:f>IF($U444="","",IFERROR(INDEX('Weapons Database'!$C$2:$C$100,MATCH($U444,'Weapons Database'!$A$2:$A$100,0))&amp;" "&amp;INDEX('Weapons Database'!$D$2:$D$100,MATCH($U444,'Weapons Database'!$A$2:$A$100,0)),""))</x:f>
      </x:c>
      <x:c r="W444" t="str">
        <x:f>IF($U444="","","Weapons Database")</x:f>
      </x:c>
    </x:row>
    <x:row r="445">
      <x:c r="V445" t="str">
        <x:f>IF($U445="","",IFERROR(INDEX('Weapons Database'!$C$2:$C$100,MATCH($U445,'Weapons Database'!$A$2:$A$100,0))&amp;" "&amp;INDEX('Weapons Database'!$D$2:$D$100,MATCH($U445,'Weapons Database'!$A$2:$A$100,0)),""))</x:f>
      </x:c>
      <x:c r="W445" t="str">
        <x:f>IF($U445="","","Weapons Database")</x:f>
      </x:c>
    </x:row>
    <x:row r="446">
      <x:c r="V446" t="str">
        <x:f>IF($U446="","",IFERROR(INDEX('Weapons Database'!$C$2:$C$100,MATCH($U446,'Weapons Database'!$A$2:$A$100,0))&amp;" "&amp;INDEX('Weapons Database'!$D$2:$D$100,MATCH($U446,'Weapons Database'!$A$2:$A$100,0)),""))</x:f>
      </x:c>
      <x:c r="W446" t="str">
        <x:f>IF($U446="","","Weapons Database")</x:f>
      </x:c>
    </x:row>
    <x:row r="447">
      <x:c r="V447" t="str">
        <x:f>IF($U447="","",IFERROR(INDEX('Weapons Database'!$C$2:$C$100,MATCH($U447,'Weapons Database'!$A$2:$A$100,0))&amp;" "&amp;INDEX('Weapons Database'!$D$2:$D$100,MATCH($U447,'Weapons Database'!$A$2:$A$100,0)),""))</x:f>
      </x:c>
      <x:c r="W447" t="str">
        <x:f>IF($U447="","","Weapons Database")</x:f>
      </x:c>
    </x:row>
    <x:row r="448">
      <x:c r="V448" t="str">
        <x:f>IF($U448="","",IFERROR(INDEX('Weapons Database'!$C$2:$C$100,MATCH($U448,'Weapons Database'!$A$2:$A$100,0))&amp;" "&amp;INDEX('Weapons Database'!$D$2:$D$100,MATCH($U448,'Weapons Database'!$A$2:$A$100,0)),""))</x:f>
      </x:c>
      <x:c r="W448" t="str">
        <x:f>IF($U448="","","Weapons Database")</x:f>
      </x:c>
    </x:row>
    <x:row r="449">
      <x:c r="V449" t="str">
        <x:f>IF($U449="","",IFERROR(INDEX('Weapons Database'!$C$2:$C$100,MATCH($U449,'Weapons Database'!$A$2:$A$100,0))&amp;" "&amp;INDEX('Weapons Database'!$D$2:$D$100,MATCH($U449,'Weapons Database'!$A$2:$A$100,0)),""))</x:f>
      </x:c>
      <x:c r="W449" t="str">
        <x:f>IF($U449="","","Weapons Database")</x:f>
      </x:c>
    </x:row>
    <x:row r="450">
      <x:c r="V450" t="str">
        <x:f>IF($U450="","",IFERROR(INDEX('Weapons Database'!$C$2:$C$100,MATCH($U450,'Weapons Database'!$A$2:$A$100,0))&amp;" "&amp;INDEX('Weapons Database'!$D$2:$D$100,MATCH($U450,'Weapons Database'!$A$2:$A$100,0)),""))</x:f>
      </x:c>
      <x:c r="W450" t="str">
        <x:f>IF($U450="","","Weapons Database")</x:f>
      </x:c>
    </x:row>
    <x:row r="451">
      <x:c r="V451" t="str">
        <x:f>IF($U451="","",IFERROR(INDEX('Weapons Database'!$C$2:$C$100,MATCH($U451,'Weapons Database'!$A$2:$A$100,0))&amp;" "&amp;INDEX('Weapons Database'!$D$2:$D$100,MATCH($U451,'Weapons Database'!$A$2:$A$100,0)),""))</x:f>
      </x:c>
      <x:c r="W451" t="str">
        <x:f>IF($U451="","","Weapons Database")</x:f>
      </x:c>
    </x:row>
    <x:row r="452">
      <x:c r="V452" t="str">
        <x:f>IF($U452="","",IFERROR(INDEX('Weapons Database'!$C$2:$C$100,MATCH($U452,'Weapons Database'!$A$2:$A$100,0))&amp;" "&amp;INDEX('Weapons Database'!$D$2:$D$100,MATCH($U452,'Weapons Database'!$A$2:$A$100,0)),""))</x:f>
      </x:c>
      <x:c r="W452" t="str">
        <x:f>IF($U452="","","Weapons Database")</x:f>
      </x:c>
    </x:row>
    <x:row r="453">
      <x:c r="V453" t="str">
        <x:f>IF($U453="","",IFERROR(INDEX('Weapons Database'!$C$2:$C$100,MATCH($U453,'Weapons Database'!$A$2:$A$100,0))&amp;" "&amp;INDEX('Weapons Database'!$D$2:$D$100,MATCH($U453,'Weapons Database'!$A$2:$A$100,0)),""))</x:f>
      </x:c>
      <x:c r="W453" t="str">
        <x:f>IF($U453="","","Weapons Database")</x:f>
      </x:c>
    </x:row>
    <x:row r="454">
      <x:c r="V454" t="str">
        <x:f>IF($U454="","",IFERROR(INDEX('Weapons Database'!$C$2:$C$100,MATCH($U454,'Weapons Database'!$A$2:$A$100,0))&amp;" "&amp;INDEX('Weapons Database'!$D$2:$D$100,MATCH($U454,'Weapons Database'!$A$2:$A$100,0)),""))</x:f>
      </x:c>
      <x:c r="W454" t="str">
        <x:f>IF($U454="","","Weapons Database")</x:f>
      </x:c>
    </x:row>
    <x:row r="455">
      <x:c r="V455" t="str">
        <x:f>IF($U455="","",IFERROR(INDEX('Weapons Database'!$C$2:$C$100,MATCH($U455,'Weapons Database'!$A$2:$A$100,0))&amp;" "&amp;INDEX('Weapons Database'!$D$2:$D$100,MATCH($U455,'Weapons Database'!$A$2:$A$100,0)),""))</x:f>
      </x:c>
      <x:c r="W455" t="str">
        <x:f>IF($U455="","","Weapons Database")</x:f>
      </x:c>
    </x:row>
    <x:row r="456">
      <x:c r="V456" t="str">
        <x:f>IF($U456="","",IFERROR(INDEX('Weapons Database'!$C$2:$C$100,MATCH($U456,'Weapons Database'!$A$2:$A$100,0))&amp;" "&amp;INDEX('Weapons Database'!$D$2:$D$100,MATCH($U456,'Weapons Database'!$A$2:$A$100,0)),""))</x:f>
      </x:c>
      <x:c r="W456" t="str">
        <x:f>IF($U456="","","Weapons Database")</x:f>
      </x:c>
    </x:row>
    <x:row r="457">
      <x:c r="V457" t="str">
        <x:f>IF($U457="","",IFERROR(INDEX('Weapons Database'!$C$2:$C$100,MATCH($U457,'Weapons Database'!$A$2:$A$100,0))&amp;" "&amp;INDEX('Weapons Database'!$D$2:$D$100,MATCH($U457,'Weapons Database'!$A$2:$A$100,0)),""))</x:f>
      </x:c>
      <x:c r="W457" t="str">
        <x:f>IF($U457="","","Weapons Database")</x:f>
      </x:c>
    </x:row>
    <x:row r="458">
      <x:c r="V458" t="str">
        <x:f>IF($U458="","",IFERROR(INDEX('Weapons Database'!$C$2:$C$100,MATCH($U458,'Weapons Database'!$A$2:$A$100,0))&amp;" "&amp;INDEX('Weapons Database'!$D$2:$D$100,MATCH($U458,'Weapons Database'!$A$2:$A$100,0)),""))</x:f>
      </x:c>
      <x:c r="W458" t="str">
        <x:f>IF($U458="","","Weapons Database")</x:f>
      </x:c>
    </x:row>
    <x:row r="459">
      <x:c r="V459" t="str">
        <x:f>IF($U459="","",IFERROR(INDEX('Weapons Database'!$C$2:$C$100,MATCH($U459,'Weapons Database'!$A$2:$A$100,0))&amp;" "&amp;INDEX('Weapons Database'!$D$2:$D$100,MATCH($U459,'Weapons Database'!$A$2:$A$100,0)),""))</x:f>
      </x:c>
      <x:c r="W459" t="str">
        <x:f>IF($U459="","","Weapons Database")</x:f>
      </x:c>
    </x:row>
    <x:row r="460">
      <x:c r="V460" t="str">
        <x:f>IF($U460="","",IFERROR(INDEX('Weapons Database'!$C$2:$C$100,MATCH($U460,'Weapons Database'!$A$2:$A$100,0))&amp;" "&amp;INDEX('Weapons Database'!$D$2:$D$100,MATCH($U460,'Weapons Database'!$A$2:$A$100,0)),""))</x:f>
      </x:c>
      <x:c r="W460" t="str">
        <x:f>IF($U460="","","Weapons Database")</x:f>
      </x:c>
    </x:row>
    <x:row r="461">
      <x:c r="V461" t="str">
        <x:f>IF($U461="","",IFERROR(INDEX('Weapons Database'!$C$2:$C$100,MATCH($U461,'Weapons Database'!$A$2:$A$100,0))&amp;" "&amp;INDEX('Weapons Database'!$D$2:$D$100,MATCH($U461,'Weapons Database'!$A$2:$A$100,0)),""))</x:f>
      </x:c>
      <x:c r="W461" t="str">
        <x:f>IF($U461="","","Weapons Database")</x:f>
      </x:c>
    </x:row>
    <x:row r="462">
      <x:c r="V462" t="str">
        <x:f>IF($U462="","",IFERROR(INDEX('Weapons Database'!$C$2:$C$100,MATCH($U462,'Weapons Database'!$A$2:$A$100,0))&amp;" "&amp;INDEX('Weapons Database'!$D$2:$D$100,MATCH($U462,'Weapons Database'!$A$2:$A$100,0)),""))</x:f>
      </x:c>
      <x:c r="W462" t="str">
        <x:f>IF($U462="","","Weapons Database")</x:f>
      </x:c>
    </x:row>
    <x:row r="463">
      <x:c r="V463" t="str">
        <x:f>IF($U463="","",IFERROR(INDEX('Weapons Database'!$C$2:$C$100,MATCH($U463,'Weapons Database'!$A$2:$A$100,0))&amp;" "&amp;INDEX('Weapons Database'!$D$2:$D$100,MATCH($U463,'Weapons Database'!$A$2:$A$100,0)),""))</x:f>
      </x:c>
      <x:c r="W463" t="str">
        <x:f>IF($U463="","","Weapons Database")</x:f>
      </x:c>
    </x:row>
    <x:row r="464">
      <x:c r="V464" t="str">
        <x:f>IF($U464="","",IFERROR(INDEX('Weapons Database'!$C$2:$C$100,MATCH($U464,'Weapons Database'!$A$2:$A$100,0))&amp;" "&amp;INDEX('Weapons Database'!$D$2:$D$100,MATCH($U464,'Weapons Database'!$A$2:$A$100,0)),""))</x:f>
      </x:c>
      <x:c r="W464" t="str">
        <x:f>IF($U464="","","Weapons Database")</x:f>
      </x:c>
    </x:row>
    <x:row r="465">
      <x:c r="V465" t="str">
        <x:f>IF($U465="","",IFERROR(INDEX('Weapons Database'!$C$2:$C$100,MATCH($U465,'Weapons Database'!$A$2:$A$100,0))&amp;" "&amp;INDEX('Weapons Database'!$D$2:$D$100,MATCH($U465,'Weapons Database'!$A$2:$A$100,0)),""))</x:f>
      </x:c>
      <x:c r="W465" t="str">
        <x:f>IF($U465="","","Weapons Database")</x:f>
      </x:c>
    </x:row>
    <x:row r="466">
      <x:c r="V466" t="str">
        <x:f>IF($U466="","",IFERROR(INDEX('Weapons Database'!$C$2:$C$100,MATCH($U466,'Weapons Database'!$A$2:$A$100,0))&amp;" "&amp;INDEX('Weapons Database'!$D$2:$D$100,MATCH($U466,'Weapons Database'!$A$2:$A$100,0)),""))</x:f>
      </x:c>
      <x:c r="W466" t="str">
        <x:f>IF($U466="","","Weapons Database")</x:f>
      </x:c>
    </x:row>
    <x:row r="467">
      <x:c r="V467" t="str">
        <x:f>IF($U467="","",IFERROR(INDEX('Weapons Database'!$C$2:$C$100,MATCH($U467,'Weapons Database'!$A$2:$A$100,0))&amp;" "&amp;INDEX('Weapons Database'!$D$2:$D$100,MATCH($U467,'Weapons Database'!$A$2:$A$100,0)),""))</x:f>
      </x:c>
      <x:c r="W467" t="str">
        <x:f>IF($U467="","","Weapons Database")</x:f>
      </x:c>
    </x:row>
    <x:row r="468">
      <x:c r="V468" t="str">
        <x:f>IF($U468="","",IFERROR(INDEX('Weapons Database'!$C$2:$C$100,MATCH($U468,'Weapons Database'!$A$2:$A$100,0))&amp;" "&amp;INDEX('Weapons Database'!$D$2:$D$100,MATCH($U468,'Weapons Database'!$A$2:$A$100,0)),""))</x:f>
      </x:c>
      <x:c r="W468" t="str">
        <x:f>IF($U468="","","Weapons Database")</x:f>
      </x:c>
    </x:row>
    <x:row r="469">
      <x:c r="V469" t="str">
        <x:f>IF($U469="","",IFERROR(INDEX('Weapons Database'!$C$2:$C$100,MATCH($U469,'Weapons Database'!$A$2:$A$100,0))&amp;" "&amp;INDEX('Weapons Database'!$D$2:$D$100,MATCH($U469,'Weapons Database'!$A$2:$A$100,0)),""))</x:f>
      </x:c>
      <x:c r="W469" t="str">
        <x:f>IF($U469="","","Weapons Database")</x:f>
      </x:c>
    </x:row>
    <x:row r="470">
      <x:c r="V470" t="str">
        <x:f>IF($U470="","",IFERROR(INDEX('Weapons Database'!$C$2:$C$100,MATCH($U470,'Weapons Database'!$A$2:$A$100,0))&amp;" "&amp;INDEX('Weapons Database'!$D$2:$D$100,MATCH($U470,'Weapons Database'!$A$2:$A$100,0)),""))</x:f>
      </x:c>
      <x:c r="W470" t="str">
        <x:f>IF($U470="","","Weapons Database")</x:f>
      </x:c>
    </x:row>
    <x:row r="471">
      <x:c r="V471" t="str">
        <x:f>IF($U471="","",IFERROR(INDEX('Weapons Database'!$C$2:$C$100,MATCH($U471,'Weapons Database'!$A$2:$A$100,0))&amp;" "&amp;INDEX('Weapons Database'!$D$2:$D$100,MATCH($U471,'Weapons Database'!$A$2:$A$100,0)),""))</x:f>
      </x:c>
      <x:c r="W471" t="str">
        <x:f>IF($U471="","","Weapons Database")</x:f>
      </x:c>
    </x:row>
    <x:row r="472">
      <x:c r="V472" t="str">
        <x:f>IF($U472="","",IFERROR(INDEX('Weapons Database'!$C$2:$C$100,MATCH($U472,'Weapons Database'!$A$2:$A$100,0))&amp;" "&amp;INDEX('Weapons Database'!$D$2:$D$100,MATCH($U472,'Weapons Database'!$A$2:$A$100,0)),""))</x:f>
      </x:c>
      <x:c r="W472" t="str">
        <x:f>IF($U472="","","Weapons Database")</x:f>
      </x:c>
    </x:row>
    <x:row r="473">
      <x:c r="V473" t="str">
        <x:f>IF($U473="","",IFERROR(INDEX('Weapons Database'!$C$2:$C$100,MATCH($U473,'Weapons Database'!$A$2:$A$100,0))&amp;" "&amp;INDEX('Weapons Database'!$D$2:$D$100,MATCH($U473,'Weapons Database'!$A$2:$A$100,0)),""))</x:f>
      </x:c>
      <x:c r="W473" t="str">
        <x:f>IF($U473="","","Weapons Database")</x:f>
      </x:c>
    </x:row>
    <x:row r="474">
      <x:c r="V474" t="str">
        <x:f>IF($U474="","",IFERROR(INDEX('Weapons Database'!$C$2:$C$100,MATCH($U474,'Weapons Database'!$A$2:$A$100,0))&amp;" "&amp;INDEX('Weapons Database'!$D$2:$D$100,MATCH($U474,'Weapons Database'!$A$2:$A$100,0)),""))</x:f>
      </x:c>
      <x:c r="W474" t="str">
        <x:f>IF($U474="","","Weapons Database")</x:f>
      </x:c>
    </x:row>
    <x:row r="475">
      <x:c r="V475" t="str">
        <x:f>IF($U475="","",IFERROR(INDEX('Weapons Database'!$C$2:$C$100,MATCH($U475,'Weapons Database'!$A$2:$A$100,0))&amp;" "&amp;INDEX('Weapons Database'!$D$2:$D$100,MATCH($U475,'Weapons Database'!$A$2:$A$100,0)),""))</x:f>
      </x:c>
      <x:c r="W475" t="str">
        <x:f>IF($U475="","","Weapons Database")</x:f>
      </x:c>
    </x:row>
    <x:row r="476">
      <x:c r="V476" t="str">
        <x:f>IF($U476="","",IFERROR(INDEX('Weapons Database'!$C$2:$C$100,MATCH($U476,'Weapons Database'!$A$2:$A$100,0))&amp;" "&amp;INDEX('Weapons Database'!$D$2:$D$100,MATCH($U476,'Weapons Database'!$A$2:$A$100,0)),""))</x:f>
      </x:c>
      <x:c r="W476" t="str">
        <x:f>IF($U476="","","Weapons Database")</x:f>
      </x:c>
    </x:row>
    <x:row r="477">
      <x:c r="V477" t="str">
        <x:f>IF($U477="","",IFERROR(INDEX('Weapons Database'!$C$2:$C$100,MATCH($U477,'Weapons Database'!$A$2:$A$100,0))&amp;" "&amp;INDEX('Weapons Database'!$D$2:$D$100,MATCH($U477,'Weapons Database'!$A$2:$A$100,0)),""))</x:f>
      </x:c>
      <x:c r="W477" t="str">
        <x:f>IF($U477="","","Weapons Database")</x:f>
      </x:c>
    </x:row>
    <x:row r="478">
      <x:c r="V478" t="str">
        <x:f>IF($U478="","",IFERROR(INDEX('Weapons Database'!$C$2:$C$100,MATCH($U478,'Weapons Database'!$A$2:$A$100,0))&amp;" "&amp;INDEX('Weapons Database'!$D$2:$D$100,MATCH($U478,'Weapons Database'!$A$2:$A$100,0)),""))</x:f>
      </x:c>
      <x:c r="W478" t="str">
        <x:f>IF($U478="","","Weapons Database")</x:f>
      </x:c>
    </x:row>
    <x:row r="479">
      <x:c r="V479" t="str">
        <x:f>IF($U479="","",IFERROR(INDEX('Weapons Database'!$C$2:$C$100,MATCH($U479,'Weapons Database'!$A$2:$A$100,0))&amp;" "&amp;INDEX('Weapons Database'!$D$2:$D$100,MATCH($U479,'Weapons Database'!$A$2:$A$100,0)),""))</x:f>
      </x:c>
      <x:c r="W479" t="str">
        <x:f>IF($U479="","","Weapons Database")</x:f>
      </x:c>
    </x:row>
    <x:row r="480">
      <x:c r="V480" t="str">
        <x:f>IF($U480="","",IFERROR(INDEX('Weapons Database'!$C$2:$C$100,MATCH($U480,'Weapons Database'!$A$2:$A$100,0))&amp;" "&amp;INDEX('Weapons Database'!$D$2:$D$100,MATCH($U480,'Weapons Database'!$A$2:$A$100,0)),""))</x:f>
      </x:c>
      <x:c r="W480" t="str">
        <x:f>IF($U480="","","Weapons Database")</x:f>
      </x:c>
    </x:row>
    <x:row r="481">
      <x:c r="V481" t="str">
        <x:f>IF($U481="","",IFERROR(INDEX('Weapons Database'!$C$2:$C$100,MATCH($U481,'Weapons Database'!$A$2:$A$100,0))&amp;" "&amp;INDEX('Weapons Database'!$D$2:$D$100,MATCH($U481,'Weapons Database'!$A$2:$A$100,0)),""))</x:f>
      </x:c>
      <x:c r="W481" t="str">
        <x:f>IF($U481="","","Weapons Database")</x:f>
      </x:c>
    </x:row>
    <x:row r="482">
      <x:c r="V482" t="str">
        <x:f>IF($U482="","",IFERROR(INDEX('Weapons Database'!$C$2:$C$100,MATCH($U482,'Weapons Database'!$A$2:$A$100,0))&amp;" "&amp;INDEX('Weapons Database'!$D$2:$D$100,MATCH($U482,'Weapons Database'!$A$2:$A$100,0)),""))</x:f>
      </x:c>
      <x:c r="W482" t="str">
        <x:f>IF($U482="","","Weapons Database")</x:f>
      </x:c>
    </x:row>
    <x:row r="483">
      <x:c r="V483" t="str">
        <x:f>IF($U483="","",IFERROR(INDEX('Weapons Database'!$C$2:$C$100,MATCH($U483,'Weapons Database'!$A$2:$A$100,0))&amp;" "&amp;INDEX('Weapons Database'!$D$2:$D$100,MATCH($U483,'Weapons Database'!$A$2:$A$100,0)),""))</x:f>
      </x:c>
      <x:c r="W483" t="str">
        <x:f>IF($U483="","","Weapons Database")</x:f>
      </x:c>
    </x:row>
    <x:row r="484">
      <x:c r="V484" t="str">
        <x:f>IF($U484="","",IFERROR(INDEX('Weapons Database'!$C$2:$C$100,MATCH($U484,'Weapons Database'!$A$2:$A$100,0))&amp;" "&amp;INDEX('Weapons Database'!$D$2:$D$100,MATCH($U484,'Weapons Database'!$A$2:$A$100,0)),""))</x:f>
      </x:c>
      <x:c r="W484" t="str">
        <x:f>IF($U484="","","Weapons Database")</x:f>
      </x:c>
    </x:row>
    <x:row r="485">
      <x:c r="V485" t="str">
        <x:f>IF($U485="","",IFERROR(INDEX('Weapons Database'!$C$2:$C$100,MATCH($U485,'Weapons Database'!$A$2:$A$100,0))&amp;" "&amp;INDEX('Weapons Database'!$D$2:$D$100,MATCH($U485,'Weapons Database'!$A$2:$A$100,0)),""))</x:f>
      </x:c>
      <x:c r="W485" t="str">
        <x:f>IF($U485="","","Weapons Database")</x:f>
      </x:c>
    </x:row>
    <x:row r="486">
      <x:c r="V486" t="str">
        <x:f>IF($U486="","",IFERROR(INDEX('Weapons Database'!$C$2:$C$100,MATCH($U486,'Weapons Database'!$A$2:$A$100,0))&amp;" "&amp;INDEX('Weapons Database'!$D$2:$D$100,MATCH($U486,'Weapons Database'!$A$2:$A$100,0)),""))</x:f>
      </x:c>
      <x:c r="W486" t="str">
        <x:f>IF($U486="","","Weapons Database")</x:f>
      </x:c>
    </x:row>
    <x:row r="487">
      <x:c r="V487" t="str">
        <x:f>IF($U487="","",IFERROR(INDEX('Weapons Database'!$C$2:$C$100,MATCH($U487,'Weapons Database'!$A$2:$A$100,0))&amp;" "&amp;INDEX('Weapons Database'!$D$2:$D$100,MATCH($U487,'Weapons Database'!$A$2:$A$100,0)),""))</x:f>
      </x:c>
      <x:c r="W487" t="str">
        <x:f>IF($U487="","","Weapons Database")</x:f>
      </x:c>
    </x:row>
    <x:row r="488">
      <x:c r="V488" t="str">
        <x:f>IF($U488="","",IFERROR(INDEX('Weapons Database'!$C$2:$C$100,MATCH($U488,'Weapons Database'!$A$2:$A$100,0))&amp;" "&amp;INDEX('Weapons Database'!$D$2:$D$100,MATCH($U488,'Weapons Database'!$A$2:$A$100,0)),""))</x:f>
      </x:c>
      <x:c r="W488" t="str">
        <x:f>IF($U488="","","Weapons Database")</x:f>
      </x:c>
    </x:row>
    <x:row r="489">
      <x:c r="V489" t="str">
        <x:f>IF($U489="","",IFERROR(INDEX('Weapons Database'!$C$2:$C$100,MATCH($U489,'Weapons Database'!$A$2:$A$100,0))&amp;" "&amp;INDEX('Weapons Database'!$D$2:$D$100,MATCH($U489,'Weapons Database'!$A$2:$A$100,0)),""))</x:f>
      </x:c>
      <x:c r="W489" t="str">
        <x:f>IF($U489="","","Weapons Database")</x:f>
      </x:c>
    </x:row>
    <x:row r="490">
      <x:c r="V490" t="str">
        <x:f>IF($U490="","",IFERROR(INDEX('Weapons Database'!$C$2:$C$100,MATCH($U490,'Weapons Database'!$A$2:$A$100,0))&amp;" "&amp;INDEX('Weapons Database'!$D$2:$D$100,MATCH($U490,'Weapons Database'!$A$2:$A$100,0)),""))</x:f>
      </x:c>
      <x:c r="W490" t="str">
        <x:f>IF($U490="","","Weapons Database")</x:f>
      </x:c>
    </x:row>
    <x:row r="491">
      <x:c r="V491" t="str">
        <x:f>IF($U491="","",IFERROR(INDEX('Weapons Database'!$C$2:$C$100,MATCH($U491,'Weapons Database'!$A$2:$A$100,0))&amp;" "&amp;INDEX('Weapons Database'!$D$2:$D$100,MATCH($U491,'Weapons Database'!$A$2:$A$100,0)),""))</x:f>
      </x:c>
      <x:c r="W491" t="str">
        <x:f>IF($U491="","","Weapons Database")</x:f>
      </x:c>
    </x:row>
    <x:row r="492">
      <x:c r="V492" t="str">
        <x:f>IF($U492="","",IFERROR(INDEX('Weapons Database'!$C$2:$C$100,MATCH($U492,'Weapons Database'!$A$2:$A$100,0))&amp;" "&amp;INDEX('Weapons Database'!$D$2:$D$100,MATCH($U492,'Weapons Database'!$A$2:$A$100,0)),""))</x:f>
      </x:c>
      <x:c r="W492" t="str">
        <x:f>IF($U492="","","Weapons Database")</x:f>
      </x:c>
    </x:row>
    <x:row r="493">
      <x:c r="V493" t="str">
        <x:f>IF($U493="","",IFERROR(INDEX('Weapons Database'!$C$2:$C$100,MATCH($U493,'Weapons Database'!$A$2:$A$100,0))&amp;" "&amp;INDEX('Weapons Database'!$D$2:$D$100,MATCH($U493,'Weapons Database'!$A$2:$A$100,0)),""))</x:f>
      </x:c>
      <x:c r="W493" t="str">
        <x:f>IF($U493="","","Weapons Database")</x:f>
      </x:c>
    </x:row>
    <x:row r="494">
      <x:c r="V494" t="str">
        <x:f>IF($U494="","",IFERROR(INDEX('Weapons Database'!$C$2:$C$100,MATCH($U494,'Weapons Database'!$A$2:$A$100,0))&amp;" "&amp;INDEX('Weapons Database'!$D$2:$D$100,MATCH($U494,'Weapons Database'!$A$2:$A$100,0)),""))</x:f>
      </x:c>
      <x:c r="W494" t="str">
        <x:f>IF($U494="","","Weapons Database")</x:f>
      </x:c>
    </x:row>
    <x:row r="495">
      <x:c r="V495" t="str">
        <x:f>IF($U495="","",IFERROR(INDEX('Weapons Database'!$C$2:$C$100,MATCH($U495,'Weapons Database'!$A$2:$A$100,0))&amp;" "&amp;INDEX('Weapons Database'!$D$2:$D$100,MATCH($U495,'Weapons Database'!$A$2:$A$100,0)),""))</x:f>
      </x:c>
      <x:c r="W495" t="str">
        <x:f>IF($U495="","","Weapons Database")</x:f>
      </x:c>
    </x:row>
    <x:row r="496">
      <x:c r="V496" t="str">
        <x:f>IF($U496="","",IFERROR(INDEX('Weapons Database'!$C$2:$C$100,MATCH($U496,'Weapons Database'!$A$2:$A$100,0))&amp;" "&amp;INDEX('Weapons Database'!$D$2:$D$100,MATCH($U496,'Weapons Database'!$A$2:$A$100,0)),""))</x:f>
      </x:c>
      <x:c r="W496" t="str">
        <x:f>IF($U496="","","Weapons Database")</x:f>
      </x:c>
    </x:row>
    <x:row r="497">
      <x:c r="V497" t="str">
        <x:f>IF($U497="","",IFERROR(INDEX('Weapons Database'!$C$2:$C$100,MATCH($U497,'Weapons Database'!$A$2:$A$100,0))&amp;" "&amp;INDEX('Weapons Database'!$D$2:$D$100,MATCH($U497,'Weapons Database'!$A$2:$A$100,0)),""))</x:f>
      </x:c>
      <x:c r="W497" t="str">
        <x:f>IF($U497="","","Weapons Database")</x:f>
      </x:c>
    </x:row>
    <x:row r="498">
      <x:c r="V498" t="str">
        <x:f>IF($U498="","",IFERROR(INDEX('Weapons Database'!$C$2:$C$100,MATCH($U498,'Weapons Database'!$A$2:$A$100,0))&amp;" "&amp;INDEX('Weapons Database'!$D$2:$D$100,MATCH($U498,'Weapons Database'!$A$2:$A$100,0)),""))</x:f>
      </x:c>
      <x:c r="W498" t="str">
        <x:f>IF($U498="","","Weapons Database")</x:f>
      </x:c>
    </x:row>
    <x:row r="499">
      <x:c r="V499" t="str">
        <x:f>IF($U499="","",IFERROR(INDEX('Weapons Database'!$C$2:$C$100,MATCH($U499,'Weapons Database'!$A$2:$A$100,0))&amp;" "&amp;INDEX('Weapons Database'!$D$2:$D$100,MATCH($U499,'Weapons Database'!$A$2:$A$100,0)),""))</x:f>
      </x:c>
      <x:c r="W499" t="str">
        <x:f>IF($U499="","","Weapons Database")</x:f>
      </x:c>
    </x:row>
    <x:row r="500">
      <x:c r="V500" t="str">
        <x:f>IF($U500="","",IFERROR(INDEX('Weapons Database'!$C$2:$C$100,MATCH($U500,'Weapons Database'!$A$2:$A$100,0))&amp;" "&amp;INDEX('Weapons Database'!$D$2:$D$100,MATCH($U500,'Weapons Database'!$A$2:$A$100,0)),""))</x:f>
      </x:c>
      <x:c r="W500" t="str">
        <x:f>IF($U500="","","Weapons Database")</x:f>
      </x:c>
    </x:row>
  </x:sheetData>
  <x:dataValidations count="1">
    <x:dataValidation type="list" sqref="U3:U500">
      <x:formula1>'Weapons Database'!$A$2:$A$38</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baseColWidth="8" defaultRowHeight="15"/>
  <x:cols>
    <x:col min="1" max="1" width="45" customWidth="1"/>
    <x:col min="2" max="2" width="11" customWidth="1"/>
    <x:col min="3" max="3" width="10" customWidth="1"/>
    <x:col min="4" max="4" width="10" customWidth="1"/>
    <x:col min="5" max="5" width="18" customWidth="1"/>
    <x:col min="6" max="6" width="10" customWidth="1"/>
    <x:col min="7" max="7" width="22" customWidth="1"/>
    <x:col min="8" max="8" width="21" customWidth="1"/>
    <x:col min="9" max="9" width="23" customWidth="1"/>
    <x:col min="10" max="10" width="21" customWidth="1"/>
    <x:col min="11" max="11" width="13" customWidth="1"/>
    <x:col min="12" max="12" width="15" customWidth="1"/>
    <x:col min="13" max="13" width="11" customWidth="1"/>
    <x:col min="14" max="14" width="10" customWidth="1"/>
    <x:col min="15" max="15" width="11" customWidth="1"/>
    <x:col min="16" max="16" width="10" customWidth="1"/>
    <x:col min="17" max="17" width="10" customWidth="1"/>
    <x:col min="18" max="18" width="19" customWidth="1"/>
    <x:col min="19" max="19" width="19" customWidth="1"/>
    <x:col min="20" max="20" width="22" customWidth="1"/>
    <x:col min="21" max="21" width="16" customWidth="1"/>
    <x:col min="22" max="22" width="45" customWidth="1"/>
    <x:col min="23" max="23" width="15" customWidth="1"/>
    <x:col min="24" max="24" width="18" customWidth="1"/>
    <x:col min="25" max="25" width="22" hidden="0" customWidth="1"/>
    <x:col min="26" max="26" width="22" hidden="0" customWidth="1"/>
    <x:col min="27" max="27" width="22" hidden="0" customWidth="1"/>
  </x:cols>
  <x:sheetData>
    <x:row r="1" ht="18" customHeight="1">
      <x:c r="A1" s="5" t="inlineStr">
        <x:is>
          <x:t xml:space="preserve">Action Targets — Per-Target Mechanical Results</x:t>
        </x:is>
      </x:c>
    </x:row>
    <x:row r="2" ht="18" customHeight="1">
      <x:c r="A2" s="4" t="inlineStr">
        <x:is>
          <x:t xml:space="preserve">Action Target ID</x:t>
        </x:is>
      </x:c>
      <x:c r="B2" s="4" t="inlineStr">
        <x:is>
          <x:t xml:space="preserve">Action ID</x:t>
        </x:is>
      </x:c>
      <x:c r="C2" s="4" t="inlineStr">
        <x:is>
          <x:t xml:space="preserve">Round</x:t>
        </x:is>
      </x:c>
      <x:c r="D2" s="4" t="inlineStr">
        <x:is>
          <x:t xml:space="preserve">Turn #</x:t>
        </x:is>
      </x:c>
      <x:c r="E2" s="4" t="inlineStr">
        <x:is>
          <x:t xml:space="preserve">Initiative Order</x:t>
        </x:is>
      </x:c>
      <x:c r="F2" s="4" t="inlineStr">
        <x:is>
          <x:t xml:space="preserve">Actor ID</x:t>
        </x:is>
      </x:c>
      <x:c r="G2" s="4" t="inlineStr">
        <x:is>
          <x:t xml:space="preserve">Actor Combatant Name</x:t>
        </x:is>
      </x:c>
      <x:c r="H2" s="4" t="inlineStr">
        <x:is>
          <x:t xml:space="preserve">Target Combatant ID</x:t>
        </x:is>
      </x:c>
      <x:c r="I2" s="4" t="inlineStr">
        <x:is>
          <x:t xml:space="preserve">Target Combatant Name</x:t>
        </x:is>
      </x:c>
      <x:c r="J2" s="4" t="inlineStr">
        <x:is>
          <x:t xml:space="preserve">Action Type</x:t>
        </x:is>
      </x:c>
      <x:c r="K2" s="4" t="inlineStr">
        <x:is>
          <x:t xml:space="preserve">Attack Roll</x:t>
        </x:is>
      </x:c>
      <x:c r="L2" s="4" t="inlineStr">
        <x:is>
          <x:t xml:space="preserve">Hit/Miss/Save</x:t>
        </x:is>
      </x:c>
      <x:c r="M2" s="4" t="inlineStr">
        <x:is>
          <x:t xml:space="preserve">Save Type</x:t>
        </x:is>
      </x:c>
      <x:c r="N2" s="4" t="inlineStr">
        <x:is>
          <x:t xml:space="preserve">Save DC</x:t>
        </x:is>
      </x:c>
      <x:c r="O2" s="4" t="inlineStr">
        <x:is>
          <x:t xml:space="preserve">Save Roll</x:t>
        </x:is>
      </x:c>
      <x:c r="P2" s="4" t="inlineStr">
        <x:is>
          <x:t xml:space="preserve">Damage</x:t>
        </x:is>
      </x:c>
      <x:c r="Q2" s="4" t="inlineStr">
        <x:is>
          <x:t xml:space="preserve">Healing</x:t>
        </x:is>
      </x:c>
      <x:c r="R2" s="4" t="inlineStr">
        <x:is>
          <x:t xml:space="preserve">Condition Applied</x:t>
        </x:is>
      </x:c>
      <x:c r="S2" s="4" t="inlineStr">
        <x:is>
          <x:t xml:space="preserve">Condition Removed</x:t>
        </x:is>
      </x:c>
      <x:c r="T2" s="4" t="inlineStr">
        <x:is>
          <x:t xml:space="preserve">Resource Used</x:t>
        </x:is>
      </x:c>
      <x:c r="U2" s="4" t="inlineStr">
        <x:is>
          <x:t xml:space="preserve">Movement</x:t>
        </x:is>
      </x:c>
      <x:c r="V2" s="4" t="inlineStr">
        <x:is>
          <x:t xml:space="preserve">Result / Notes</x:t>
        </x:is>
      </x:c>
      <x:c r="W2" s="4" t="inlineStr">
        <x:is>
          <x:t xml:space="preserve">Rules Flag</x:t>
        </x:is>
      </x:c>
      <x:c r="X2" s="4" t="inlineStr">
        <x:is>
          <x:t xml:space="preserve">Timestamp</x:t>
        </x:is>
      </x:c>
      <x:c r="Y2" s="135" t="str">
        <x:v>Weapon / Item Used</x:v>
      </x:c>
      <x:c r="Z2" s="135" t="str">
        <x:v>Attack Damage Formula</x:v>
      </x:c>
      <x:c r="AA2" s="135" t="str">
        <x:v>Equipment Source</x:v>
      </x:c>
    </x:row>
    <x:row r="3" ht="18" customHeight="1">
      <x:c r="A3" s="2"/>
      <x:c r="B3" s="2"/>
      <x:c r="C3" s="2"/>
      <x:c r="D3" s="2"/>
      <x:c r="E3" s="2"/>
      <x:c r="F3" s="2"/>
      <x:c r="G3" s="2"/>
      <x:c r="H3" s="2"/>
      <x:c r="I3" s="2"/>
      <x:c r="J3" s="2"/>
      <x:c r="K3" s="2"/>
      <x:c r="L3" s="2"/>
      <x:c r="M3" s="2"/>
      <x:c r="N3" s="2"/>
      <x:c r="O3" s="2"/>
      <x:c r="P3" s="2"/>
      <x:c r="Q3" s="2"/>
      <x:c r="R3" s="2"/>
      <x:c r="S3" s="2"/>
      <x:c r="T3" s="2"/>
      <x:c r="U3" s="2"/>
      <x:c r="V3" s="2"/>
      <x:c r="W3" s="2"/>
      <x:c r="X3" s="2"/>
      <x:c r="Z3" t="str">
        <x:f>IF($Y3="","",IFERROR(INDEX('Weapons Database'!$C$2:$C$100,MATCH($Y3,'Weapons Database'!$A$2:$A$100,0))&amp;" "&amp;INDEX('Weapons Database'!$D$2:$D$100,MATCH($Y3,'Weapons Database'!$A$2:$A$100,0)),""))</x:f>
      </x:c>
      <x:c r="AA3" t="str">
        <x:f>IF($Y3="","","Weapons Database")</x:f>
      </x:c>
    </x:row>
    <x:row r="4" ht="18" customHeight="1">
      <x:c r="A4" s="2"/>
      <x:c r="B4" s="2"/>
      <x:c r="C4" s="2"/>
      <x:c r="D4" s="2"/>
      <x:c r="E4" s="2"/>
      <x:c r="F4" s="2"/>
      <x:c r="G4" s="2"/>
      <x:c r="H4" s="2"/>
      <x:c r="I4" s="2"/>
      <x:c r="J4" s="2"/>
      <x:c r="K4" s="2"/>
      <x:c r="L4" s="2"/>
      <x:c r="M4" s="2"/>
      <x:c r="N4" s="2"/>
      <x:c r="O4" s="2"/>
      <x:c r="P4" s="2"/>
      <x:c r="Q4" s="2"/>
      <x:c r="R4" s="2"/>
      <x:c r="S4" s="2"/>
      <x:c r="T4" s="2"/>
      <x:c r="U4" s="2"/>
      <x:c r="V4" s="2"/>
      <x:c r="W4" s="2"/>
      <x:c r="X4" s="2"/>
      <x:c r="Z4" t="str">
        <x:f>IF($Y4="","",IFERROR(INDEX('Weapons Database'!$C$2:$C$100,MATCH($Y4,'Weapons Database'!$A$2:$A$100,0))&amp;" "&amp;INDEX('Weapons Database'!$D$2:$D$100,MATCH($Y4,'Weapons Database'!$A$2:$A$100,0)),""))</x:f>
      </x:c>
      <x:c r="AA4" t="str">
        <x:f>IF($Y4="","","Weapons Database")</x:f>
      </x:c>
    </x:row>
    <x:row r="5" ht="18" customHeight="1">
      <x:c r="A5" s="2"/>
      <x:c r="B5" s="2"/>
      <x:c r="C5" s="2"/>
      <x:c r="D5" s="2"/>
      <x:c r="E5" s="2"/>
      <x:c r="F5" s="2"/>
      <x:c r="G5" s="2"/>
      <x:c r="H5" s="2"/>
      <x:c r="I5" s="2"/>
      <x:c r="J5" s="2"/>
      <x:c r="K5" s="2"/>
      <x:c r="L5" s="2"/>
      <x:c r="M5" s="2"/>
      <x:c r="N5" s="2"/>
      <x:c r="O5" s="2"/>
      <x:c r="P5" s="2"/>
      <x:c r="Q5" s="2"/>
      <x:c r="R5" s="2"/>
      <x:c r="S5" s="2"/>
      <x:c r="T5" s="2"/>
      <x:c r="U5" s="2"/>
      <x:c r="V5" s="2"/>
      <x:c r="W5" s="2"/>
      <x:c r="X5" s="2"/>
      <x:c r="Z5" t="str">
        <x:f>IF($Y5="","",IFERROR(INDEX('Weapons Database'!$C$2:$C$100,MATCH($Y5,'Weapons Database'!$A$2:$A$100,0))&amp;" "&amp;INDEX('Weapons Database'!$D$2:$D$100,MATCH($Y5,'Weapons Database'!$A$2:$A$100,0)),""))</x:f>
      </x:c>
      <x:c r="AA5" t="str">
        <x:f>IF($Y5="","","Weapons Database")</x:f>
      </x:c>
    </x:row>
    <x:row r="6" ht="18" customHeight="1">
      <x:c r="A6" s="2"/>
      <x:c r="B6" s="2"/>
      <x:c r="C6" s="2"/>
      <x:c r="D6" s="2"/>
      <x:c r="E6" s="2"/>
      <x:c r="F6" s="2"/>
      <x:c r="G6" s="2"/>
      <x:c r="H6" s="2"/>
      <x:c r="I6" s="2"/>
      <x:c r="J6" s="2"/>
      <x:c r="K6" s="2"/>
      <x:c r="L6" s="2"/>
      <x:c r="M6" s="2"/>
      <x:c r="N6" s="2"/>
      <x:c r="O6" s="2"/>
      <x:c r="P6" s="2"/>
      <x:c r="Q6" s="2"/>
      <x:c r="R6" s="2"/>
      <x:c r="S6" s="2"/>
      <x:c r="T6" s="2"/>
      <x:c r="U6" s="2"/>
      <x:c r="V6" s="2"/>
      <x:c r="W6" s="2"/>
      <x:c r="X6" s="2"/>
      <x:c r="Z6" t="str">
        <x:f>IF($Y6="","",IFERROR(INDEX('Weapons Database'!$C$2:$C$100,MATCH($Y6,'Weapons Database'!$A$2:$A$100,0))&amp;" "&amp;INDEX('Weapons Database'!$D$2:$D$100,MATCH($Y6,'Weapons Database'!$A$2:$A$100,0)),""))</x:f>
      </x:c>
      <x:c r="AA6" t="str">
        <x:f>IF($Y6="","","Weapons Database")</x:f>
      </x:c>
    </x:row>
    <x:row r="7" ht="18" customHeight="1">
      <x:c r="A7" s="2"/>
      <x:c r="B7" s="2"/>
      <x:c r="C7" s="2"/>
      <x:c r="D7" s="2"/>
      <x:c r="E7" s="2"/>
      <x:c r="F7" s="2"/>
      <x:c r="G7" s="2"/>
      <x:c r="H7" s="2"/>
      <x:c r="I7" s="2"/>
      <x:c r="J7" s="2"/>
      <x:c r="K7" s="2"/>
      <x:c r="L7" s="2"/>
      <x:c r="M7" s="2"/>
      <x:c r="N7" s="2"/>
      <x:c r="O7" s="2"/>
      <x:c r="P7" s="2"/>
      <x:c r="Q7" s="2"/>
      <x:c r="R7" s="2"/>
      <x:c r="S7" s="2"/>
      <x:c r="T7" s="2"/>
      <x:c r="U7" s="2"/>
      <x:c r="V7" s="2"/>
      <x:c r="W7" s="2"/>
      <x:c r="X7" s="2"/>
      <x:c r="Z7" t="str">
        <x:f>IF($Y7="","",IFERROR(INDEX('Weapons Database'!$C$2:$C$100,MATCH($Y7,'Weapons Database'!$A$2:$A$100,0))&amp;" "&amp;INDEX('Weapons Database'!$D$2:$D$100,MATCH($Y7,'Weapons Database'!$A$2:$A$100,0)),""))</x:f>
      </x:c>
      <x:c r="AA7" t="str">
        <x:f>IF($Y7="","","Weapons Database")</x:f>
      </x:c>
    </x:row>
    <x:row r="8" ht="18" customHeight="1">
      <x:c r="A8" s="2"/>
      <x:c r="B8" s="2"/>
      <x:c r="C8" s="2"/>
      <x:c r="D8" s="2"/>
      <x:c r="E8" s="2"/>
      <x:c r="F8" s="2"/>
      <x:c r="G8" s="2"/>
      <x:c r="H8" s="2"/>
      <x:c r="I8" s="2"/>
      <x:c r="J8" s="2"/>
      <x:c r="K8" s="2"/>
      <x:c r="L8" s="2"/>
      <x:c r="M8" s="2"/>
      <x:c r="N8" s="2"/>
      <x:c r="O8" s="2"/>
      <x:c r="P8" s="2"/>
      <x:c r="Q8" s="2"/>
      <x:c r="R8" s="2"/>
      <x:c r="S8" s="2"/>
      <x:c r="T8" s="2"/>
      <x:c r="U8" s="2"/>
      <x:c r="V8" s="2"/>
      <x:c r="W8" s="2"/>
      <x:c r="X8" s="2"/>
      <x:c r="Z8" t="str">
        <x:f>IF($Y8="","",IFERROR(INDEX('Weapons Database'!$C$2:$C$100,MATCH($Y8,'Weapons Database'!$A$2:$A$100,0))&amp;" "&amp;INDEX('Weapons Database'!$D$2:$D$100,MATCH($Y8,'Weapons Database'!$A$2:$A$100,0)),""))</x:f>
      </x:c>
      <x:c r="AA8" t="str">
        <x:f>IF($Y8="","","Weapons Database")</x:f>
      </x:c>
    </x:row>
    <x:row r="9" ht="18" customHeight="1">
      <x:c r="A9" s="2"/>
      <x:c r="B9" s="2"/>
      <x:c r="C9" s="2"/>
      <x:c r="D9" s="2"/>
      <x:c r="E9" s="2"/>
      <x:c r="F9" s="2"/>
      <x:c r="G9" s="2"/>
      <x:c r="H9" s="2"/>
      <x:c r="I9" s="2"/>
      <x:c r="J9" s="2"/>
      <x:c r="K9" s="2"/>
      <x:c r="L9" s="2"/>
      <x:c r="M9" s="2"/>
      <x:c r="N9" s="2"/>
      <x:c r="O9" s="2"/>
      <x:c r="P9" s="2"/>
      <x:c r="Q9" s="2"/>
      <x:c r="R9" s="2"/>
      <x:c r="S9" s="2"/>
      <x:c r="T9" s="2"/>
      <x:c r="U9" s="2"/>
      <x:c r="V9" s="2"/>
      <x:c r="W9" s="2"/>
      <x:c r="X9" s="2"/>
      <x:c r="Z9" t="str">
        <x:f>IF($Y9="","",IFERROR(INDEX('Weapons Database'!$C$2:$C$100,MATCH($Y9,'Weapons Database'!$A$2:$A$100,0))&amp;" "&amp;INDEX('Weapons Database'!$D$2:$D$100,MATCH($Y9,'Weapons Database'!$A$2:$A$100,0)),""))</x:f>
      </x:c>
      <x:c r="AA9" t="str">
        <x:f>IF($Y9="","","Weapons Database")</x:f>
      </x:c>
    </x:row>
    <x:row r="10" ht="18" customHeight="1">
      <x:c r="A10" s="2"/>
      <x:c r="B10" s="2"/>
      <x:c r="C10" s="2"/>
      <x:c r="D10" s="2"/>
      <x:c r="E10" s="2"/>
      <x:c r="F10" s="2"/>
      <x:c r="G10" s="2"/>
      <x:c r="H10" s="2"/>
      <x:c r="I10" s="2"/>
      <x:c r="J10" s="2"/>
      <x:c r="K10" s="2"/>
      <x:c r="L10" s="2"/>
      <x:c r="M10" s="2"/>
      <x:c r="N10" s="2"/>
      <x:c r="O10" s="2"/>
      <x:c r="P10" s="2"/>
      <x:c r="Q10" s="2"/>
      <x:c r="R10" s="2"/>
      <x:c r="S10" s="2"/>
      <x:c r="T10" s="2"/>
      <x:c r="U10" s="2"/>
      <x:c r="V10" s="2"/>
      <x:c r="W10" s="2"/>
      <x:c r="X10" s="2"/>
      <x:c r="Z10" t="str">
        <x:f>IF($Y10="","",IFERROR(INDEX('Weapons Database'!$C$2:$C$100,MATCH($Y10,'Weapons Database'!$A$2:$A$100,0))&amp;" "&amp;INDEX('Weapons Database'!$D$2:$D$100,MATCH($Y10,'Weapons Database'!$A$2:$A$100,0)),""))</x:f>
      </x:c>
      <x:c r="AA10" t="str">
        <x:f>IF($Y10="","","Weapons Database")</x:f>
      </x:c>
    </x:row>
    <x:row r="11" ht="18" customHeight="1">
      <x:c r="A11" s="2"/>
      <x:c r="B11" s="2"/>
      <x:c r="C11" s="2"/>
      <x:c r="D11" s="2"/>
      <x:c r="E11" s="2"/>
      <x:c r="F11" s="2"/>
      <x:c r="G11" s="2"/>
      <x:c r="H11" s="2"/>
      <x:c r="I11" s="2"/>
      <x:c r="J11" s="2"/>
      <x:c r="K11" s="2"/>
      <x:c r="L11" s="2"/>
      <x:c r="M11" s="2"/>
      <x:c r="N11" s="2"/>
      <x:c r="O11" s="2"/>
      <x:c r="P11" s="2"/>
      <x:c r="Q11" s="2"/>
      <x:c r="R11" s="2"/>
      <x:c r="S11" s="2"/>
      <x:c r="T11" s="2"/>
      <x:c r="U11" s="2"/>
      <x:c r="V11" s="2"/>
      <x:c r="W11" s="2"/>
      <x:c r="X11" s="2"/>
      <x:c r="Z11" t="str">
        <x:f>IF($Y11="","",IFERROR(INDEX('Weapons Database'!$C$2:$C$100,MATCH($Y11,'Weapons Database'!$A$2:$A$100,0))&amp;" "&amp;INDEX('Weapons Database'!$D$2:$D$100,MATCH($Y11,'Weapons Database'!$A$2:$A$100,0)),""))</x:f>
      </x:c>
      <x:c r="AA11" t="str">
        <x:f>IF($Y11="","","Weapons Database")</x:f>
      </x:c>
    </x:row>
    <x:row r="12" ht="18" customHeight="1">
      <x:c r="A12" s="2"/>
      <x:c r="B12" s="2"/>
      <x:c r="C12" s="2"/>
      <x:c r="D12" s="2"/>
      <x:c r="E12" s="2"/>
      <x:c r="F12" s="2"/>
      <x:c r="G12" s="2"/>
      <x:c r="H12" s="2"/>
      <x:c r="I12" s="2"/>
      <x:c r="J12" s="2"/>
      <x:c r="K12" s="2"/>
      <x:c r="L12" s="2"/>
      <x:c r="M12" s="2"/>
      <x:c r="N12" s="2"/>
      <x:c r="O12" s="2"/>
      <x:c r="P12" s="2"/>
      <x:c r="Q12" s="2"/>
      <x:c r="R12" s="2"/>
      <x:c r="S12" s="2"/>
      <x:c r="T12" s="2"/>
      <x:c r="U12" s="2"/>
      <x:c r="V12" s="2"/>
      <x:c r="W12" s="2"/>
      <x:c r="X12" s="2"/>
      <x:c r="Z12" t="str">
        <x:f>IF($Y12="","",IFERROR(INDEX('Weapons Database'!$C$2:$C$100,MATCH($Y12,'Weapons Database'!$A$2:$A$100,0))&amp;" "&amp;INDEX('Weapons Database'!$D$2:$D$100,MATCH($Y12,'Weapons Database'!$A$2:$A$100,0)),""))</x:f>
      </x:c>
      <x:c r="AA12" t="str">
        <x:f>IF($Y12="","","Weapons Database")</x:f>
      </x:c>
    </x:row>
    <x:row r="13" ht="18" customHeight="1">
      <x:c r="A13" s="2"/>
      <x:c r="B13" s="2"/>
      <x:c r="C13" s="2"/>
      <x:c r="D13" s="2"/>
      <x:c r="E13" s="2"/>
      <x:c r="F13" s="2"/>
      <x:c r="G13" s="2"/>
      <x:c r="H13" s="2"/>
      <x:c r="I13" s="2"/>
      <x:c r="J13" s="2"/>
      <x:c r="K13" s="2"/>
      <x:c r="L13" s="2"/>
      <x:c r="M13" s="2"/>
      <x:c r="N13" s="2"/>
      <x:c r="O13" s="2"/>
      <x:c r="P13" s="2"/>
      <x:c r="Q13" s="2"/>
      <x:c r="R13" s="2"/>
      <x:c r="S13" s="2"/>
      <x:c r="T13" s="2"/>
      <x:c r="U13" s="2"/>
      <x:c r="V13" s="2"/>
      <x:c r="W13" s="2"/>
      <x:c r="X13" s="2"/>
      <x:c r="Z13" t="str">
        <x:f>IF($Y13="","",IFERROR(INDEX('Weapons Database'!$C$2:$C$100,MATCH($Y13,'Weapons Database'!$A$2:$A$100,0))&amp;" "&amp;INDEX('Weapons Database'!$D$2:$D$100,MATCH($Y13,'Weapons Database'!$A$2:$A$100,0)),""))</x:f>
      </x:c>
      <x:c r="AA13" t="str">
        <x:f>IF($Y13="","","Weapons Database")</x:f>
      </x:c>
    </x:row>
    <x:row r="14" ht="18" customHeight="1">
      <x:c r="A14" s="2"/>
      <x:c r="B14" s="2"/>
      <x:c r="C14" s="2"/>
      <x:c r="D14" s="2"/>
      <x:c r="E14" s="2"/>
      <x:c r="F14" s="2"/>
      <x:c r="G14" s="2"/>
      <x:c r="H14" s="2"/>
      <x:c r="I14" s="2"/>
      <x:c r="J14" s="2"/>
      <x:c r="K14" s="2"/>
      <x:c r="L14" s="2"/>
      <x:c r="M14" s="2"/>
      <x:c r="N14" s="2"/>
      <x:c r="O14" s="2"/>
      <x:c r="P14" s="2"/>
      <x:c r="Q14" s="2"/>
      <x:c r="R14" s="2"/>
      <x:c r="S14" s="2"/>
      <x:c r="T14" s="2"/>
      <x:c r="U14" s="2"/>
      <x:c r="V14" s="2"/>
      <x:c r="W14" s="2"/>
      <x:c r="X14" s="2"/>
      <x:c r="Z14" t="str">
        <x:f>IF($Y14="","",IFERROR(INDEX('Weapons Database'!$C$2:$C$100,MATCH($Y14,'Weapons Database'!$A$2:$A$100,0))&amp;" "&amp;INDEX('Weapons Database'!$D$2:$D$100,MATCH($Y14,'Weapons Database'!$A$2:$A$100,0)),""))</x:f>
      </x:c>
      <x:c r="AA14" t="str">
        <x:f>IF($Y14="","","Weapons Database")</x:f>
      </x:c>
    </x:row>
    <x:row r="15" ht="18" customHeight="1">
      <x:c r="A15" s="2"/>
      <x:c r="B15" s="2"/>
      <x:c r="C15" s="2"/>
      <x:c r="D15" s="2"/>
      <x:c r="E15" s="2"/>
      <x:c r="F15" s="2"/>
      <x:c r="G15" s="2"/>
      <x:c r="H15" s="2"/>
      <x:c r="I15" s="2"/>
      <x:c r="J15" s="2"/>
      <x:c r="K15" s="2"/>
      <x:c r="L15" s="2"/>
      <x:c r="M15" s="2"/>
      <x:c r="N15" s="2"/>
      <x:c r="O15" s="2"/>
      <x:c r="P15" s="2"/>
      <x:c r="Q15" s="2"/>
      <x:c r="R15" s="2"/>
      <x:c r="S15" s="2"/>
      <x:c r="T15" s="2"/>
      <x:c r="U15" s="2"/>
      <x:c r="V15" s="2"/>
      <x:c r="W15" s="2"/>
      <x:c r="X15" s="2"/>
      <x:c r="Z15" t="str">
        <x:f>IF($Y15="","",IFERROR(INDEX('Weapons Database'!$C$2:$C$100,MATCH($Y15,'Weapons Database'!$A$2:$A$100,0))&amp;" "&amp;INDEX('Weapons Database'!$D$2:$D$100,MATCH($Y15,'Weapons Database'!$A$2:$A$100,0)),""))</x:f>
      </x:c>
      <x:c r="AA15" t="str">
        <x:f>IF($Y15="","","Weapons Database")</x:f>
      </x:c>
    </x:row>
    <x:row r="16" ht="18" customHeight="1">
      <x:c r="A16" s="2"/>
      <x:c r="B16" s="2"/>
      <x:c r="C16" s="2"/>
      <x:c r="D16" s="2"/>
      <x:c r="E16" s="2"/>
      <x:c r="F16" s="2"/>
      <x:c r="G16" s="2"/>
      <x:c r="H16" s="2"/>
      <x:c r="I16" s="2"/>
      <x:c r="J16" s="2"/>
      <x:c r="K16" s="2"/>
      <x:c r="L16" s="2"/>
      <x:c r="M16" s="2"/>
      <x:c r="N16" s="2"/>
      <x:c r="O16" s="2"/>
      <x:c r="P16" s="2"/>
      <x:c r="Q16" s="2"/>
      <x:c r="R16" s="2"/>
      <x:c r="S16" s="2"/>
      <x:c r="T16" s="2"/>
      <x:c r="U16" s="2"/>
      <x:c r="V16" s="2"/>
      <x:c r="W16" s="2"/>
      <x:c r="X16" s="2"/>
      <x:c r="Z16" t="str">
        <x:f>IF($Y16="","",IFERROR(INDEX('Weapons Database'!$C$2:$C$100,MATCH($Y16,'Weapons Database'!$A$2:$A$100,0))&amp;" "&amp;INDEX('Weapons Database'!$D$2:$D$100,MATCH($Y16,'Weapons Database'!$A$2:$A$100,0)),""))</x:f>
      </x:c>
      <x:c r="AA16" t="str">
        <x:f>IF($Y16="","","Weapons Database")</x:f>
      </x:c>
    </x:row>
    <x:row r="17" ht="18" customHeight="1">
      <x:c r="A17" s="2"/>
      <x:c r="B17" s="2"/>
      <x:c r="C17" s="2"/>
      <x:c r="D17" s="2"/>
      <x:c r="E17" s="2"/>
      <x:c r="F17" s="2"/>
      <x:c r="G17" s="2"/>
      <x:c r="H17" s="2"/>
      <x:c r="I17" s="2"/>
      <x:c r="J17" s="2"/>
      <x:c r="K17" s="2"/>
      <x:c r="L17" s="2"/>
      <x:c r="M17" s="2"/>
      <x:c r="N17" s="2"/>
      <x:c r="O17" s="2"/>
      <x:c r="P17" s="2"/>
      <x:c r="Q17" s="2"/>
      <x:c r="R17" s="2"/>
      <x:c r="S17" s="2"/>
      <x:c r="T17" s="2"/>
      <x:c r="U17" s="2"/>
      <x:c r="V17" s="2"/>
      <x:c r="W17" s="2"/>
      <x:c r="X17" s="2"/>
      <x:c r="Z17" t="str">
        <x:f>IF($Y17="","",IFERROR(INDEX('Weapons Database'!$C$2:$C$100,MATCH($Y17,'Weapons Database'!$A$2:$A$100,0))&amp;" "&amp;INDEX('Weapons Database'!$D$2:$D$100,MATCH($Y17,'Weapons Database'!$A$2:$A$100,0)),""))</x:f>
      </x:c>
      <x:c r="AA17" t="str">
        <x:f>IF($Y17="","","Weapons Database")</x:f>
      </x:c>
    </x:row>
    <x:row r="18" ht="18" customHeight="1">
      <x:c r="A18" s="2"/>
      <x:c r="B18" s="2"/>
      <x:c r="C18" s="2"/>
      <x:c r="D18" s="2"/>
      <x:c r="E18" s="2"/>
      <x:c r="F18" s="2"/>
      <x:c r="G18" s="2"/>
      <x:c r="H18" s="2"/>
      <x:c r="I18" s="2"/>
      <x:c r="J18" s="2"/>
      <x:c r="K18" s="2"/>
      <x:c r="L18" s="2"/>
      <x:c r="M18" s="2"/>
      <x:c r="N18" s="2"/>
      <x:c r="O18" s="2"/>
      <x:c r="P18" s="2"/>
      <x:c r="Q18" s="2"/>
      <x:c r="R18" s="2"/>
      <x:c r="S18" s="2"/>
      <x:c r="T18" s="2"/>
      <x:c r="U18" s="2"/>
      <x:c r="V18" s="2"/>
      <x:c r="W18" s="2"/>
      <x:c r="X18" s="2"/>
      <x:c r="Z18" t="str">
        <x:f>IF($Y18="","",IFERROR(INDEX('Weapons Database'!$C$2:$C$100,MATCH($Y18,'Weapons Database'!$A$2:$A$100,0))&amp;" "&amp;INDEX('Weapons Database'!$D$2:$D$100,MATCH($Y18,'Weapons Database'!$A$2:$A$100,0)),""))</x:f>
      </x:c>
      <x:c r="AA18" t="str">
        <x:f>IF($Y18="","","Weapons Database")</x:f>
      </x:c>
    </x:row>
    <x:row r="19" ht="18" customHeight="1">
      <x:c r="A19" s="2"/>
      <x:c r="B19" s="2"/>
      <x:c r="C19" s="2"/>
      <x:c r="D19" s="2"/>
      <x:c r="E19" s="2"/>
      <x:c r="F19" s="2"/>
      <x:c r="G19" s="2"/>
      <x:c r="H19" s="2"/>
      <x:c r="I19" s="2"/>
      <x:c r="J19" s="2"/>
      <x:c r="K19" s="2"/>
      <x:c r="L19" s="2"/>
      <x:c r="M19" s="2"/>
      <x:c r="N19" s="2"/>
      <x:c r="O19" s="2"/>
      <x:c r="P19" s="2"/>
      <x:c r="Q19" s="2"/>
      <x:c r="R19" s="2"/>
      <x:c r="S19" s="2"/>
      <x:c r="T19" s="2"/>
      <x:c r="U19" s="2"/>
      <x:c r="V19" s="2"/>
      <x:c r="W19" s="2"/>
      <x:c r="X19" s="2"/>
      <x:c r="Z19" t="str">
        <x:f>IF($Y19="","",IFERROR(INDEX('Weapons Database'!$C$2:$C$100,MATCH($Y19,'Weapons Database'!$A$2:$A$100,0))&amp;" "&amp;INDEX('Weapons Database'!$D$2:$D$100,MATCH($Y19,'Weapons Database'!$A$2:$A$100,0)),""))</x:f>
      </x:c>
      <x:c r="AA19" t="str">
        <x:f>IF($Y19="","","Weapons Database")</x:f>
      </x:c>
    </x:row>
    <x:row r="20" ht="18" customHeight="1">
      <x:c r="A20" s="2"/>
      <x:c r="B20" s="2"/>
      <x:c r="C20" s="2"/>
      <x:c r="D20" s="2"/>
      <x:c r="E20" s="2"/>
      <x:c r="F20" s="2"/>
      <x:c r="G20" s="2"/>
      <x:c r="H20" s="2"/>
      <x:c r="I20" s="2"/>
      <x:c r="J20" s="2"/>
      <x:c r="K20" s="2"/>
      <x:c r="L20" s="2"/>
      <x:c r="M20" s="2"/>
      <x:c r="N20" s="2"/>
      <x:c r="O20" s="2"/>
      <x:c r="P20" s="2"/>
      <x:c r="Q20" s="2"/>
      <x:c r="R20" s="2"/>
      <x:c r="S20" s="2"/>
      <x:c r="T20" s="2"/>
      <x:c r="U20" s="2"/>
      <x:c r="V20" s="2"/>
      <x:c r="W20" s="2"/>
      <x:c r="X20" s="2"/>
      <x:c r="Z20" t="str">
        <x:f>IF($Y20="","",IFERROR(INDEX('Weapons Database'!$C$2:$C$100,MATCH($Y20,'Weapons Database'!$A$2:$A$100,0))&amp;" "&amp;INDEX('Weapons Database'!$D$2:$D$100,MATCH($Y20,'Weapons Database'!$A$2:$A$100,0)),""))</x:f>
      </x:c>
      <x:c r="AA20" t="str">
        <x:f>IF($Y20="","","Weapons Database")</x:f>
      </x:c>
    </x:row>
    <x:row r="21" ht="18" customHeight="1">
      <x:c r="A21" s="2"/>
      <x:c r="B21" s="2"/>
      <x:c r="C21" s="2"/>
      <x:c r="D21" s="2"/>
      <x:c r="E21" s="2"/>
      <x:c r="F21" s="2"/>
      <x:c r="G21" s="2"/>
      <x:c r="H21" s="2"/>
      <x:c r="I21" s="2"/>
      <x:c r="J21" s="2"/>
      <x:c r="K21" s="2"/>
      <x:c r="L21" s="2"/>
      <x:c r="M21" s="2"/>
      <x:c r="N21" s="2"/>
      <x:c r="O21" s="2"/>
      <x:c r="P21" s="2"/>
      <x:c r="Q21" s="2"/>
      <x:c r="R21" s="2"/>
      <x:c r="S21" s="2"/>
      <x:c r="T21" s="2"/>
      <x:c r="U21" s="2"/>
      <x:c r="V21" s="2"/>
      <x:c r="W21" s="2"/>
      <x:c r="X21" s="2"/>
      <x:c r="Z21" t="str">
        <x:f>IF($Y21="","",IFERROR(INDEX('Weapons Database'!$C$2:$C$100,MATCH($Y21,'Weapons Database'!$A$2:$A$100,0))&amp;" "&amp;INDEX('Weapons Database'!$D$2:$D$100,MATCH($Y21,'Weapons Database'!$A$2:$A$100,0)),""))</x:f>
      </x:c>
      <x:c r="AA21" t="str">
        <x:f>IF($Y21="","","Weapons Database")</x:f>
      </x:c>
    </x:row>
    <x:row r="22" ht="18" customHeight="1">
      <x:c r="A22" s="2"/>
      <x:c r="B22" s="2"/>
      <x:c r="C22" s="2"/>
      <x:c r="D22" s="2"/>
      <x:c r="E22" s="2"/>
      <x:c r="F22" s="2"/>
      <x:c r="G22" s="2"/>
      <x:c r="H22" s="2"/>
      <x:c r="I22" s="2"/>
      <x:c r="J22" s="2"/>
      <x:c r="K22" s="2"/>
      <x:c r="L22" s="2"/>
      <x:c r="M22" s="2"/>
      <x:c r="N22" s="2"/>
      <x:c r="O22" s="2"/>
      <x:c r="P22" s="2"/>
      <x:c r="Q22" s="2"/>
      <x:c r="R22" s="2"/>
      <x:c r="S22" s="2"/>
      <x:c r="T22" s="2"/>
      <x:c r="U22" s="2"/>
      <x:c r="V22" s="2"/>
      <x:c r="W22" s="2"/>
      <x:c r="X22" s="2"/>
      <x:c r="Z22" t="str">
        <x:f>IF($Y22="","",IFERROR(INDEX('Weapons Database'!$C$2:$C$100,MATCH($Y22,'Weapons Database'!$A$2:$A$100,0))&amp;" "&amp;INDEX('Weapons Database'!$D$2:$D$100,MATCH($Y22,'Weapons Database'!$A$2:$A$100,0)),""))</x:f>
      </x:c>
      <x:c r="AA22" t="str">
        <x:f>IF($Y22="","","Weapons Database")</x:f>
      </x:c>
    </x:row>
    <x:row r="23" ht="18" customHeight="1">
      <x:c r="A23" s="2"/>
      <x:c r="B23" s="2"/>
      <x:c r="C23" s="2"/>
      <x:c r="D23" s="2"/>
      <x:c r="E23" s="2"/>
      <x:c r="F23" s="2"/>
      <x:c r="G23" s="2"/>
      <x:c r="H23" s="2"/>
      <x:c r="I23" s="2"/>
      <x:c r="J23" s="2"/>
      <x:c r="K23" s="2"/>
      <x:c r="L23" s="2"/>
      <x:c r="M23" s="2"/>
      <x:c r="N23" s="2"/>
      <x:c r="O23" s="2"/>
      <x:c r="P23" s="2"/>
      <x:c r="Q23" s="2"/>
      <x:c r="R23" s="2"/>
      <x:c r="S23" s="2"/>
      <x:c r="T23" s="2"/>
      <x:c r="U23" s="2"/>
      <x:c r="V23" s="2"/>
      <x:c r="W23" s="2"/>
      <x:c r="X23" s="2"/>
      <x:c r="Z23" t="str">
        <x:f>IF($Y23="","",IFERROR(INDEX('Weapons Database'!$C$2:$C$100,MATCH($Y23,'Weapons Database'!$A$2:$A$100,0))&amp;" "&amp;INDEX('Weapons Database'!$D$2:$D$100,MATCH($Y23,'Weapons Database'!$A$2:$A$100,0)),""))</x:f>
      </x:c>
      <x:c r="AA23" t="str">
        <x:f>IF($Y23="","","Weapons Database")</x:f>
      </x:c>
    </x:row>
    <x:row r="24" ht="18" customHeight="1">
      <x:c r="A24" s="2"/>
      <x:c r="B24" s="2"/>
      <x:c r="C24" s="2"/>
      <x:c r="D24" s="2"/>
      <x:c r="E24" s="2"/>
      <x:c r="F24" s="2"/>
      <x:c r="G24" s="2"/>
      <x:c r="H24" s="2"/>
      <x:c r="I24" s="2"/>
      <x:c r="J24" s="2"/>
      <x:c r="K24" s="2"/>
      <x:c r="L24" s="2"/>
      <x:c r="M24" s="2"/>
      <x:c r="N24" s="2"/>
      <x:c r="O24" s="2"/>
      <x:c r="P24" s="2"/>
      <x:c r="Q24" s="2"/>
      <x:c r="R24" s="2"/>
      <x:c r="S24" s="2"/>
      <x:c r="T24" s="2"/>
      <x:c r="U24" s="2"/>
      <x:c r="V24" s="2"/>
      <x:c r="W24" s="2"/>
      <x:c r="X24" s="2"/>
      <x:c r="Z24" t="str">
        <x:f>IF($Y24="","",IFERROR(INDEX('Weapons Database'!$C$2:$C$100,MATCH($Y24,'Weapons Database'!$A$2:$A$100,0))&amp;" "&amp;INDEX('Weapons Database'!$D$2:$D$100,MATCH($Y24,'Weapons Database'!$A$2:$A$100,0)),""))</x:f>
      </x:c>
      <x:c r="AA24" t="str">
        <x:f>IF($Y24="","","Weapons Database")</x:f>
      </x:c>
    </x:row>
    <x:row r="25" ht="18" customHeight="1">
      <x:c r="A25" s="2"/>
      <x:c r="B25" s="2"/>
      <x:c r="C25" s="2"/>
      <x:c r="D25" s="2"/>
      <x:c r="E25" s="2"/>
      <x:c r="F25" s="2"/>
      <x:c r="G25" s="2"/>
      <x:c r="H25" s="2"/>
      <x:c r="I25" s="2"/>
      <x:c r="J25" s="2"/>
      <x:c r="K25" s="2"/>
      <x:c r="L25" s="2"/>
      <x:c r="M25" s="2"/>
      <x:c r="N25" s="2"/>
      <x:c r="O25" s="2"/>
      <x:c r="P25" s="2"/>
      <x:c r="Q25" s="2"/>
      <x:c r="R25" s="2"/>
      <x:c r="S25" s="2"/>
      <x:c r="T25" s="2"/>
      <x:c r="U25" s="2"/>
      <x:c r="V25" s="2"/>
      <x:c r="W25" s="2"/>
      <x:c r="X25" s="2"/>
      <x:c r="Z25" t="str">
        <x:f>IF($Y25="","",IFERROR(INDEX('Weapons Database'!$C$2:$C$100,MATCH($Y25,'Weapons Database'!$A$2:$A$100,0))&amp;" "&amp;INDEX('Weapons Database'!$D$2:$D$100,MATCH($Y25,'Weapons Database'!$A$2:$A$100,0)),""))</x:f>
      </x:c>
      <x:c r="AA25" t="str">
        <x:f>IF($Y25="","","Weapons Database")</x:f>
      </x:c>
    </x:row>
    <x:row r="26" ht="18" customHeight="1">
      <x:c r="A26" s="2"/>
      <x:c r="B26" s="2"/>
      <x:c r="C26" s="2"/>
      <x:c r="D26" s="2"/>
      <x:c r="E26" s="2"/>
      <x:c r="F26" s="2"/>
      <x:c r="G26" s="2"/>
      <x:c r="H26" s="2"/>
      <x:c r="I26" s="2"/>
      <x:c r="J26" s="2"/>
      <x:c r="K26" s="2"/>
      <x:c r="L26" s="2"/>
      <x:c r="M26" s="2"/>
      <x:c r="N26" s="2"/>
      <x:c r="O26" s="2"/>
      <x:c r="P26" s="2"/>
      <x:c r="Q26" s="2"/>
      <x:c r="R26" s="2"/>
      <x:c r="S26" s="2"/>
      <x:c r="T26" s="2"/>
      <x:c r="U26" s="2"/>
      <x:c r="V26" s="2"/>
      <x:c r="W26" s="2"/>
      <x:c r="X26" s="2"/>
      <x:c r="Z26" t="str">
        <x:f>IF($Y26="","",IFERROR(INDEX('Weapons Database'!$C$2:$C$100,MATCH($Y26,'Weapons Database'!$A$2:$A$100,0))&amp;" "&amp;INDEX('Weapons Database'!$D$2:$D$100,MATCH($Y26,'Weapons Database'!$A$2:$A$100,0)),""))</x:f>
      </x:c>
      <x:c r="AA26" t="str">
        <x:f>IF($Y26="","","Weapons Database")</x:f>
      </x:c>
    </x:row>
    <x:row r="27" ht="18" customHeight="1">
      <x:c r="A27" s="2"/>
      <x:c r="B27" s="2"/>
      <x:c r="C27" s="2"/>
      <x:c r="D27" s="2"/>
      <x:c r="E27" s="2"/>
      <x:c r="F27" s="2"/>
      <x:c r="G27" s="2"/>
      <x:c r="H27" s="2"/>
      <x:c r="I27" s="2"/>
      <x:c r="J27" s="2"/>
      <x:c r="K27" s="2"/>
      <x:c r="L27" s="2"/>
      <x:c r="M27" s="2"/>
      <x:c r="N27" s="2"/>
      <x:c r="O27" s="2"/>
      <x:c r="P27" s="2"/>
      <x:c r="Q27" s="2"/>
      <x:c r="R27" s="2"/>
      <x:c r="S27" s="2"/>
      <x:c r="T27" s="2"/>
      <x:c r="U27" s="2"/>
      <x:c r="V27" s="2"/>
      <x:c r="W27" s="2"/>
      <x:c r="X27" s="2"/>
      <x:c r="Z27" t="str">
        <x:f>IF($Y27="","",IFERROR(INDEX('Weapons Database'!$C$2:$C$100,MATCH($Y27,'Weapons Database'!$A$2:$A$100,0))&amp;" "&amp;INDEX('Weapons Database'!$D$2:$D$100,MATCH($Y27,'Weapons Database'!$A$2:$A$100,0)),""))</x:f>
      </x:c>
      <x:c r="AA27" t="str">
        <x:f>IF($Y27="","","Weapons Database")</x:f>
      </x:c>
    </x:row>
    <x:row r="28" ht="18" customHeight="1">
      <x:c r="A28" s="2"/>
      <x:c r="B28" s="2"/>
      <x:c r="C28" s="2"/>
      <x:c r="D28" s="2"/>
      <x:c r="E28" s="2"/>
      <x:c r="F28" s="2"/>
      <x:c r="G28" s="2"/>
      <x:c r="H28" s="2"/>
      <x:c r="I28" s="2"/>
      <x:c r="J28" s="2"/>
      <x:c r="K28" s="2"/>
      <x:c r="L28" s="2"/>
      <x:c r="M28" s="2"/>
      <x:c r="N28" s="2"/>
      <x:c r="O28" s="2"/>
      <x:c r="P28" s="2"/>
      <x:c r="Q28" s="2"/>
      <x:c r="R28" s="2"/>
      <x:c r="S28" s="2"/>
      <x:c r="T28" s="2"/>
      <x:c r="U28" s="2"/>
      <x:c r="V28" s="2"/>
      <x:c r="W28" s="2"/>
      <x:c r="X28" s="2"/>
      <x:c r="Z28" t="str">
        <x:f>IF($Y28="","",IFERROR(INDEX('Weapons Database'!$C$2:$C$100,MATCH($Y28,'Weapons Database'!$A$2:$A$100,0))&amp;" "&amp;INDEX('Weapons Database'!$D$2:$D$100,MATCH($Y28,'Weapons Database'!$A$2:$A$100,0)),""))</x:f>
      </x:c>
      <x:c r="AA28" t="str">
        <x:f>IF($Y28="","","Weapons Database")</x:f>
      </x:c>
    </x:row>
    <x:row r="29" ht="18" customHeight="1">
      <x:c r="A29" s="2"/>
      <x:c r="B29" s="2"/>
      <x:c r="C29" s="2"/>
      <x:c r="D29" s="2"/>
      <x:c r="E29" s="2"/>
      <x:c r="F29" s="2"/>
      <x:c r="G29" s="2"/>
      <x:c r="H29" s="2"/>
      <x:c r="I29" s="2"/>
      <x:c r="J29" s="2"/>
      <x:c r="K29" s="2"/>
      <x:c r="L29" s="2"/>
      <x:c r="M29" s="2"/>
      <x:c r="N29" s="2"/>
      <x:c r="O29" s="2"/>
      <x:c r="P29" s="2"/>
      <x:c r="Q29" s="2"/>
      <x:c r="R29" s="2"/>
      <x:c r="S29" s="2"/>
      <x:c r="T29" s="2"/>
      <x:c r="U29" s="2"/>
      <x:c r="V29" s="2"/>
      <x:c r="W29" s="2"/>
      <x:c r="X29" s="2"/>
      <x:c r="Z29" t="str">
        <x:f>IF($Y29="","",IFERROR(INDEX('Weapons Database'!$C$2:$C$100,MATCH($Y29,'Weapons Database'!$A$2:$A$100,0))&amp;" "&amp;INDEX('Weapons Database'!$D$2:$D$100,MATCH($Y29,'Weapons Database'!$A$2:$A$100,0)),""))</x:f>
      </x:c>
      <x:c r="AA29" t="str">
        <x:f>IF($Y29="","","Weapons Database")</x:f>
      </x:c>
    </x:row>
    <x:row r="30" ht="18" customHeight="1">
      <x:c r="A30" s="2"/>
      <x:c r="B30" s="2"/>
      <x:c r="C30" s="2"/>
      <x:c r="D30" s="2"/>
      <x:c r="E30" s="2"/>
      <x:c r="F30" s="2"/>
      <x:c r="G30" s="2"/>
      <x:c r="H30" s="2"/>
      <x:c r="I30" s="2"/>
      <x:c r="J30" s="2"/>
      <x:c r="K30" s="2"/>
      <x:c r="L30" s="2"/>
      <x:c r="M30" s="2"/>
      <x:c r="N30" s="2"/>
      <x:c r="O30" s="2"/>
      <x:c r="P30" s="2"/>
      <x:c r="Q30" s="2"/>
      <x:c r="R30" s="2"/>
      <x:c r="S30" s="2"/>
      <x:c r="T30" s="2"/>
      <x:c r="U30" s="2"/>
      <x:c r="V30" s="2"/>
      <x:c r="W30" s="2"/>
      <x:c r="X30" s="2"/>
      <x:c r="Z30" t="str">
        <x:f>IF($Y30="","",IFERROR(INDEX('Weapons Database'!$C$2:$C$100,MATCH($Y30,'Weapons Database'!$A$2:$A$100,0))&amp;" "&amp;INDEX('Weapons Database'!$D$2:$D$100,MATCH($Y30,'Weapons Database'!$A$2:$A$100,0)),""))</x:f>
      </x:c>
      <x:c r="AA30" t="str">
        <x:f>IF($Y30="","","Weapons Database")</x:f>
      </x:c>
    </x:row>
    <x:row r="31" ht="18" customHeight="1">
      <x:c r="A31" s="2"/>
      <x:c r="B31" s="2"/>
      <x:c r="C31" s="2"/>
      <x:c r="D31" s="2"/>
      <x:c r="E31" s="2"/>
      <x:c r="F31" s="2"/>
      <x:c r="G31" s="2"/>
      <x:c r="H31" s="2"/>
      <x:c r="I31" s="2"/>
      <x:c r="J31" s="2"/>
      <x:c r="K31" s="2"/>
      <x:c r="L31" s="2"/>
      <x:c r="M31" s="2"/>
      <x:c r="N31" s="2"/>
      <x:c r="O31" s="2"/>
      <x:c r="P31" s="2"/>
      <x:c r="Q31" s="2"/>
      <x:c r="R31" s="2"/>
      <x:c r="S31" s="2"/>
      <x:c r="T31" s="2"/>
      <x:c r="U31" s="2"/>
      <x:c r="V31" s="2"/>
      <x:c r="W31" s="2"/>
      <x:c r="X31" s="2"/>
      <x:c r="Z31" t="str">
        <x:f>IF($Y31="","",IFERROR(INDEX('Weapons Database'!$C$2:$C$100,MATCH($Y31,'Weapons Database'!$A$2:$A$100,0))&amp;" "&amp;INDEX('Weapons Database'!$D$2:$D$100,MATCH($Y31,'Weapons Database'!$A$2:$A$100,0)),""))</x:f>
      </x:c>
      <x:c r="AA31" t="str">
        <x:f>IF($Y31="","","Weapons Database")</x:f>
      </x:c>
    </x:row>
    <x:row r="32" ht="18" customHeight="1">
      <x:c r="A32" s="2"/>
      <x:c r="B32" s="2"/>
      <x:c r="C32" s="2"/>
      <x:c r="D32" s="2"/>
      <x:c r="E32" s="2"/>
      <x:c r="F32" s="2"/>
      <x:c r="G32" s="2"/>
      <x:c r="H32" s="2"/>
      <x:c r="I32" s="2"/>
      <x:c r="J32" s="2"/>
      <x:c r="K32" s="2"/>
      <x:c r="L32" s="2"/>
      <x:c r="M32" s="2"/>
      <x:c r="N32" s="2"/>
      <x:c r="O32" s="2"/>
      <x:c r="P32" s="2"/>
      <x:c r="Q32" s="2"/>
      <x:c r="R32" s="2"/>
      <x:c r="S32" s="2"/>
      <x:c r="T32" s="2"/>
      <x:c r="U32" s="2"/>
      <x:c r="V32" s="2"/>
      <x:c r="W32" s="2"/>
      <x:c r="X32" s="2"/>
      <x:c r="Z32" t="str">
        <x:f>IF($Y32="","",IFERROR(INDEX('Weapons Database'!$C$2:$C$100,MATCH($Y32,'Weapons Database'!$A$2:$A$100,0))&amp;" "&amp;INDEX('Weapons Database'!$D$2:$D$100,MATCH($Y32,'Weapons Database'!$A$2:$A$100,0)),""))</x:f>
      </x:c>
      <x:c r="AA32" t="str">
        <x:f>IF($Y32="","","Weapons Database")</x:f>
      </x:c>
    </x:row>
    <x:row r="33" ht="18" customHeight="1">
      <x:c r="A33" s="2"/>
      <x:c r="B33" s="2"/>
      <x:c r="C33" s="2"/>
      <x:c r="D33" s="2"/>
      <x:c r="E33" s="2"/>
      <x:c r="F33" s="2"/>
      <x:c r="G33" s="2"/>
      <x:c r="H33" s="2"/>
      <x:c r="I33" s="2"/>
      <x:c r="J33" s="2"/>
      <x:c r="K33" s="2"/>
      <x:c r="L33" s="2"/>
      <x:c r="M33" s="2"/>
      <x:c r="N33" s="2"/>
      <x:c r="O33" s="2"/>
      <x:c r="P33" s="2"/>
      <x:c r="Q33" s="2"/>
      <x:c r="R33" s="2"/>
      <x:c r="S33" s="2"/>
      <x:c r="T33" s="2"/>
      <x:c r="U33" s="2"/>
      <x:c r="V33" s="2"/>
      <x:c r="W33" s="2"/>
      <x:c r="X33" s="2"/>
      <x:c r="Z33" t="str">
        <x:f>IF($Y33="","",IFERROR(INDEX('Weapons Database'!$C$2:$C$100,MATCH($Y33,'Weapons Database'!$A$2:$A$100,0))&amp;" "&amp;INDEX('Weapons Database'!$D$2:$D$100,MATCH($Y33,'Weapons Database'!$A$2:$A$100,0)),""))</x:f>
      </x:c>
      <x:c r="AA33" t="str">
        <x:f>IF($Y33="","","Weapons Database")</x:f>
      </x:c>
    </x:row>
    <x:row r="34" ht="18" customHeight="1">
      <x:c r="A34" s="2"/>
      <x:c r="B34" s="2"/>
      <x:c r="C34" s="2"/>
      <x:c r="D34" s="2"/>
      <x:c r="E34" s="2"/>
      <x:c r="F34" s="2"/>
      <x:c r="G34" s="2"/>
      <x:c r="H34" s="2"/>
      <x:c r="I34" s="2"/>
      <x:c r="J34" s="2"/>
      <x:c r="K34" s="2"/>
      <x:c r="L34" s="2"/>
      <x:c r="M34" s="2"/>
      <x:c r="N34" s="2"/>
      <x:c r="O34" s="2"/>
      <x:c r="P34" s="2"/>
      <x:c r="Q34" s="2"/>
      <x:c r="R34" s="2"/>
      <x:c r="S34" s="2"/>
      <x:c r="T34" s="2"/>
      <x:c r="U34" s="2"/>
      <x:c r="V34" s="2"/>
      <x:c r="W34" s="2"/>
      <x:c r="X34" s="2"/>
      <x:c r="Z34" t="str">
        <x:f>IF($Y34="","",IFERROR(INDEX('Weapons Database'!$C$2:$C$100,MATCH($Y34,'Weapons Database'!$A$2:$A$100,0))&amp;" "&amp;INDEX('Weapons Database'!$D$2:$D$100,MATCH($Y34,'Weapons Database'!$A$2:$A$100,0)),""))</x:f>
      </x:c>
      <x:c r="AA34" t="str">
        <x:f>IF($Y34="","","Weapons Database")</x:f>
      </x:c>
    </x:row>
    <x:row r="35" ht="18" customHeight="1">
      <x:c r="A35" s="2"/>
      <x:c r="B35" s="2"/>
      <x:c r="C35" s="2"/>
      <x:c r="D35" s="2"/>
      <x:c r="E35" s="2"/>
      <x:c r="F35" s="2"/>
      <x:c r="G35" s="2"/>
      <x:c r="H35" s="2"/>
      <x:c r="I35" s="2"/>
      <x:c r="J35" s="2"/>
      <x:c r="K35" s="2"/>
      <x:c r="L35" s="2"/>
      <x:c r="M35" s="2"/>
      <x:c r="N35" s="2"/>
      <x:c r="O35" s="2"/>
      <x:c r="P35" s="2"/>
      <x:c r="Q35" s="2"/>
      <x:c r="R35" s="2"/>
      <x:c r="S35" s="2"/>
      <x:c r="T35" s="2"/>
      <x:c r="U35" s="2"/>
      <x:c r="V35" s="2"/>
      <x:c r="W35" s="2"/>
      <x:c r="X35" s="2"/>
      <x:c r="Z35" t="str">
        <x:f>IF($Y35="","",IFERROR(INDEX('Weapons Database'!$C$2:$C$100,MATCH($Y35,'Weapons Database'!$A$2:$A$100,0))&amp;" "&amp;INDEX('Weapons Database'!$D$2:$D$100,MATCH($Y35,'Weapons Database'!$A$2:$A$100,0)),""))</x:f>
      </x:c>
      <x:c r="AA35" t="str">
        <x:f>IF($Y35="","","Weapons Database")</x:f>
      </x:c>
    </x:row>
    <x:row r="36" ht="18" customHeight="1">
      <x:c r="A36" s="2"/>
      <x:c r="B36" s="2"/>
      <x:c r="C36" s="2"/>
      <x:c r="D36" s="2"/>
      <x:c r="E36" s="2"/>
      <x:c r="F36" s="2"/>
      <x:c r="G36" s="2"/>
      <x:c r="H36" s="2"/>
      <x:c r="I36" s="2"/>
      <x:c r="J36" s="2"/>
      <x:c r="K36" s="2"/>
      <x:c r="L36" s="2"/>
      <x:c r="M36" s="2"/>
      <x:c r="N36" s="2"/>
      <x:c r="O36" s="2"/>
      <x:c r="P36" s="2"/>
      <x:c r="Q36" s="2"/>
      <x:c r="R36" s="2"/>
      <x:c r="S36" s="2"/>
      <x:c r="T36" s="2"/>
      <x:c r="U36" s="2"/>
      <x:c r="V36" s="2"/>
      <x:c r="W36" s="2"/>
      <x:c r="X36" s="2"/>
      <x:c r="Z36" t="str">
        <x:f>IF($Y36="","",IFERROR(INDEX('Weapons Database'!$C$2:$C$100,MATCH($Y36,'Weapons Database'!$A$2:$A$100,0))&amp;" "&amp;INDEX('Weapons Database'!$D$2:$D$100,MATCH($Y36,'Weapons Database'!$A$2:$A$100,0)),""))</x:f>
      </x:c>
      <x:c r="AA36" t="str">
        <x:f>IF($Y36="","","Weapons Database")</x:f>
      </x:c>
    </x:row>
    <x:row r="37" ht="18" customHeight="1">
      <x:c r="A37" s="2"/>
      <x:c r="B37" s="2"/>
      <x:c r="C37" s="2"/>
      <x:c r="D37" s="2"/>
      <x:c r="E37" s="2"/>
      <x:c r="F37" s="2"/>
      <x:c r="G37" s="2"/>
      <x:c r="H37" s="2"/>
      <x:c r="I37" s="2"/>
      <x:c r="J37" s="2"/>
      <x:c r="K37" s="2"/>
      <x:c r="L37" s="2"/>
      <x:c r="M37" s="2"/>
      <x:c r="N37" s="2"/>
      <x:c r="O37" s="2"/>
      <x:c r="P37" s="2"/>
      <x:c r="Q37" s="2"/>
      <x:c r="R37" s="2"/>
      <x:c r="S37" s="2"/>
      <x:c r="T37" s="2"/>
      <x:c r="U37" s="2"/>
      <x:c r="V37" s="2"/>
      <x:c r="W37" s="2"/>
      <x:c r="X37" s="2"/>
      <x:c r="Z37" t="str">
        <x:f>IF($Y37="","",IFERROR(INDEX('Weapons Database'!$C$2:$C$100,MATCH($Y37,'Weapons Database'!$A$2:$A$100,0))&amp;" "&amp;INDEX('Weapons Database'!$D$2:$D$100,MATCH($Y37,'Weapons Database'!$A$2:$A$100,0)),""))</x:f>
      </x:c>
      <x:c r="AA37" t="str">
        <x:f>IF($Y37="","","Weapons Database")</x:f>
      </x:c>
    </x:row>
    <x:row r="38">
      <x:c r="Z38" t="str">
        <x:f>IF($Y38="","",IFERROR(INDEX('Weapons Database'!$C$2:$C$100,MATCH($Y38,'Weapons Database'!$A$2:$A$100,0))&amp;" "&amp;INDEX('Weapons Database'!$D$2:$D$100,MATCH($Y38,'Weapons Database'!$A$2:$A$100,0)),""))</x:f>
      </x:c>
      <x:c r="AA38" t="str">
        <x:f>IF($Y38="","","Weapons Database")</x:f>
      </x:c>
    </x:row>
    <x:row r="39">
      <x:c r="Z39" t="str">
        <x:f>IF($Y39="","",IFERROR(INDEX('Weapons Database'!$C$2:$C$100,MATCH($Y39,'Weapons Database'!$A$2:$A$100,0))&amp;" "&amp;INDEX('Weapons Database'!$D$2:$D$100,MATCH($Y39,'Weapons Database'!$A$2:$A$100,0)),""))</x:f>
      </x:c>
      <x:c r="AA39" t="str">
        <x:f>IF($Y39="","","Weapons Database")</x:f>
      </x:c>
    </x:row>
    <x:row r="40">
      <x:c r="Z40" t="str">
        <x:f>IF($Y40="","",IFERROR(INDEX('Weapons Database'!$C$2:$C$100,MATCH($Y40,'Weapons Database'!$A$2:$A$100,0))&amp;" "&amp;INDEX('Weapons Database'!$D$2:$D$100,MATCH($Y40,'Weapons Database'!$A$2:$A$100,0)),""))</x:f>
      </x:c>
      <x:c r="AA40" t="str">
        <x:f>IF($Y40="","","Weapons Database")</x:f>
      </x:c>
    </x:row>
    <x:row r="41">
      <x:c r="Z41" t="str">
        <x:f>IF($Y41="","",IFERROR(INDEX('Weapons Database'!$C$2:$C$100,MATCH($Y41,'Weapons Database'!$A$2:$A$100,0))&amp;" "&amp;INDEX('Weapons Database'!$D$2:$D$100,MATCH($Y41,'Weapons Database'!$A$2:$A$100,0)),""))</x:f>
      </x:c>
      <x:c r="AA41" t="str">
        <x:f>IF($Y41="","","Weapons Database")</x:f>
      </x:c>
    </x:row>
    <x:row r="42">
      <x:c r="Z42" t="str">
        <x:f>IF($Y42="","",IFERROR(INDEX('Weapons Database'!$C$2:$C$100,MATCH($Y42,'Weapons Database'!$A$2:$A$100,0))&amp;" "&amp;INDEX('Weapons Database'!$D$2:$D$100,MATCH($Y42,'Weapons Database'!$A$2:$A$100,0)),""))</x:f>
      </x:c>
      <x:c r="AA42" t="str">
        <x:f>IF($Y42="","","Weapons Database")</x:f>
      </x:c>
    </x:row>
    <x:row r="43">
      <x:c r="Z43" t="str">
        <x:f>IF($Y43="","",IFERROR(INDEX('Weapons Database'!$C$2:$C$100,MATCH($Y43,'Weapons Database'!$A$2:$A$100,0))&amp;" "&amp;INDEX('Weapons Database'!$D$2:$D$100,MATCH($Y43,'Weapons Database'!$A$2:$A$100,0)),""))</x:f>
      </x:c>
      <x:c r="AA43" t="str">
        <x:f>IF($Y43="","","Weapons Database")</x:f>
      </x:c>
    </x:row>
    <x:row r="44">
      <x:c r="Z44" t="str">
        <x:f>IF($Y44="","",IFERROR(INDEX('Weapons Database'!$C$2:$C$100,MATCH($Y44,'Weapons Database'!$A$2:$A$100,0))&amp;" "&amp;INDEX('Weapons Database'!$D$2:$D$100,MATCH($Y44,'Weapons Database'!$A$2:$A$100,0)),""))</x:f>
      </x:c>
      <x:c r="AA44" t="str">
        <x:f>IF($Y44="","","Weapons Database")</x:f>
      </x:c>
    </x:row>
    <x:row r="45">
      <x:c r="Z45" t="str">
        <x:f>IF($Y45="","",IFERROR(INDEX('Weapons Database'!$C$2:$C$100,MATCH($Y45,'Weapons Database'!$A$2:$A$100,0))&amp;" "&amp;INDEX('Weapons Database'!$D$2:$D$100,MATCH($Y45,'Weapons Database'!$A$2:$A$100,0)),""))</x:f>
      </x:c>
      <x:c r="AA45" t="str">
        <x:f>IF($Y45="","","Weapons Database")</x:f>
      </x:c>
    </x:row>
    <x:row r="46">
      <x:c r="Z46" t="str">
        <x:f>IF($Y46="","",IFERROR(INDEX('Weapons Database'!$C$2:$C$100,MATCH($Y46,'Weapons Database'!$A$2:$A$100,0))&amp;" "&amp;INDEX('Weapons Database'!$D$2:$D$100,MATCH($Y46,'Weapons Database'!$A$2:$A$100,0)),""))</x:f>
      </x:c>
      <x:c r="AA46" t="str">
        <x:f>IF($Y46="","","Weapons Database")</x:f>
      </x:c>
    </x:row>
    <x:row r="47">
      <x:c r="Z47" t="str">
        <x:f>IF($Y47="","",IFERROR(INDEX('Weapons Database'!$C$2:$C$100,MATCH($Y47,'Weapons Database'!$A$2:$A$100,0))&amp;" "&amp;INDEX('Weapons Database'!$D$2:$D$100,MATCH($Y47,'Weapons Database'!$A$2:$A$100,0)),""))</x:f>
      </x:c>
      <x:c r="AA47" t="str">
        <x:f>IF($Y47="","","Weapons Database")</x:f>
      </x:c>
    </x:row>
    <x:row r="48">
      <x:c r="Z48" t="str">
        <x:f>IF($Y48="","",IFERROR(INDEX('Weapons Database'!$C$2:$C$100,MATCH($Y48,'Weapons Database'!$A$2:$A$100,0))&amp;" "&amp;INDEX('Weapons Database'!$D$2:$D$100,MATCH($Y48,'Weapons Database'!$A$2:$A$100,0)),""))</x:f>
      </x:c>
      <x:c r="AA48" t="str">
        <x:f>IF($Y48="","","Weapons Database")</x:f>
      </x:c>
    </x:row>
    <x:row r="49">
      <x:c r="Z49" t="str">
        <x:f>IF($Y49="","",IFERROR(INDEX('Weapons Database'!$C$2:$C$100,MATCH($Y49,'Weapons Database'!$A$2:$A$100,0))&amp;" "&amp;INDEX('Weapons Database'!$D$2:$D$100,MATCH($Y49,'Weapons Database'!$A$2:$A$100,0)),""))</x:f>
      </x:c>
      <x:c r="AA49" t="str">
        <x:f>IF($Y49="","","Weapons Database")</x:f>
      </x:c>
    </x:row>
    <x:row r="50">
      <x:c r="Z50" t="str">
        <x:f>IF($Y50="","",IFERROR(INDEX('Weapons Database'!$C$2:$C$100,MATCH($Y50,'Weapons Database'!$A$2:$A$100,0))&amp;" "&amp;INDEX('Weapons Database'!$D$2:$D$100,MATCH($Y50,'Weapons Database'!$A$2:$A$100,0)),""))</x:f>
      </x:c>
      <x:c r="AA50" t="str">
        <x:f>IF($Y50="","","Weapons Database")</x:f>
      </x:c>
    </x:row>
    <x:row r="51">
      <x:c r="Z51" t="str">
        <x:f>IF($Y51="","",IFERROR(INDEX('Weapons Database'!$C$2:$C$100,MATCH($Y51,'Weapons Database'!$A$2:$A$100,0))&amp;" "&amp;INDEX('Weapons Database'!$D$2:$D$100,MATCH($Y51,'Weapons Database'!$A$2:$A$100,0)),""))</x:f>
      </x:c>
      <x:c r="AA51" t="str">
        <x:f>IF($Y51="","","Weapons Database")</x:f>
      </x:c>
    </x:row>
    <x:row r="52">
      <x:c r="Z52" t="str">
        <x:f>IF($Y52="","",IFERROR(INDEX('Weapons Database'!$C$2:$C$100,MATCH($Y52,'Weapons Database'!$A$2:$A$100,0))&amp;" "&amp;INDEX('Weapons Database'!$D$2:$D$100,MATCH($Y52,'Weapons Database'!$A$2:$A$100,0)),""))</x:f>
      </x:c>
      <x:c r="AA52" t="str">
        <x:f>IF($Y52="","","Weapons Database")</x:f>
      </x:c>
    </x:row>
    <x:row r="53">
      <x:c r="Z53" t="str">
        <x:f>IF($Y53="","",IFERROR(INDEX('Weapons Database'!$C$2:$C$100,MATCH($Y53,'Weapons Database'!$A$2:$A$100,0))&amp;" "&amp;INDEX('Weapons Database'!$D$2:$D$100,MATCH($Y53,'Weapons Database'!$A$2:$A$100,0)),""))</x:f>
      </x:c>
      <x:c r="AA53" t="str">
        <x:f>IF($Y53="","","Weapons Database")</x:f>
      </x:c>
    </x:row>
    <x:row r="54">
      <x:c r="Z54" t="str">
        <x:f>IF($Y54="","",IFERROR(INDEX('Weapons Database'!$C$2:$C$100,MATCH($Y54,'Weapons Database'!$A$2:$A$100,0))&amp;" "&amp;INDEX('Weapons Database'!$D$2:$D$100,MATCH($Y54,'Weapons Database'!$A$2:$A$100,0)),""))</x:f>
      </x:c>
      <x:c r="AA54" t="str">
        <x:f>IF($Y54="","","Weapons Database")</x:f>
      </x:c>
    </x:row>
    <x:row r="55">
      <x:c r="Z55" t="str">
        <x:f>IF($Y55="","",IFERROR(INDEX('Weapons Database'!$C$2:$C$100,MATCH($Y55,'Weapons Database'!$A$2:$A$100,0))&amp;" "&amp;INDEX('Weapons Database'!$D$2:$D$100,MATCH($Y55,'Weapons Database'!$A$2:$A$100,0)),""))</x:f>
      </x:c>
      <x:c r="AA55" t="str">
        <x:f>IF($Y55="","","Weapons Database")</x:f>
      </x:c>
    </x:row>
    <x:row r="56">
      <x:c r="Z56" t="str">
        <x:f>IF($Y56="","",IFERROR(INDEX('Weapons Database'!$C$2:$C$100,MATCH($Y56,'Weapons Database'!$A$2:$A$100,0))&amp;" "&amp;INDEX('Weapons Database'!$D$2:$D$100,MATCH($Y56,'Weapons Database'!$A$2:$A$100,0)),""))</x:f>
      </x:c>
      <x:c r="AA56" t="str">
        <x:f>IF($Y56="","","Weapons Database")</x:f>
      </x:c>
    </x:row>
    <x:row r="57">
      <x:c r="Z57" t="str">
        <x:f>IF($Y57="","",IFERROR(INDEX('Weapons Database'!$C$2:$C$100,MATCH($Y57,'Weapons Database'!$A$2:$A$100,0))&amp;" "&amp;INDEX('Weapons Database'!$D$2:$D$100,MATCH($Y57,'Weapons Database'!$A$2:$A$100,0)),""))</x:f>
      </x:c>
      <x:c r="AA57" t="str">
        <x:f>IF($Y57="","","Weapons Database")</x:f>
      </x:c>
    </x:row>
    <x:row r="58">
      <x:c r="Z58" t="str">
        <x:f>IF($Y58="","",IFERROR(INDEX('Weapons Database'!$C$2:$C$100,MATCH($Y58,'Weapons Database'!$A$2:$A$100,0))&amp;" "&amp;INDEX('Weapons Database'!$D$2:$D$100,MATCH($Y58,'Weapons Database'!$A$2:$A$100,0)),""))</x:f>
      </x:c>
      <x:c r="AA58" t="str">
        <x:f>IF($Y58="","","Weapons Database")</x:f>
      </x:c>
    </x:row>
    <x:row r="59">
      <x:c r="Z59" t="str">
        <x:f>IF($Y59="","",IFERROR(INDEX('Weapons Database'!$C$2:$C$100,MATCH($Y59,'Weapons Database'!$A$2:$A$100,0))&amp;" "&amp;INDEX('Weapons Database'!$D$2:$D$100,MATCH($Y59,'Weapons Database'!$A$2:$A$100,0)),""))</x:f>
      </x:c>
      <x:c r="AA59" t="str">
        <x:f>IF($Y59="","","Weapons Database")</x:f>
      </x:c>
    </x:row>
    <x:row r="60">
      <x:c r="Z60" t="str">
        <x:f>IF($Y60="","",IFERROR(INDEX('Weapons Database'!$C$2:$C$100,MATCH($Y60,'Weapons Database'!$A$2:$A$100,0))&amp;" "&amp;INDEX('Weapons Database'!$D$2:$D$100,MATCH($Y60,'Weapons Database'!$A$2:$A$100,0)),""))</x:f>
      </x:c>
      <x:c r="AA60" t="str">
        <x:f>IF($Y60="","","Weapons Database")</x:f>
      </x:c>
    </x:row>
    <x:row r="61">
      <x:c r="Z61" t="str">
        <x:f>IF($Y61="","",IFERROR(INDEX('Weapons Database'!$C$2:$C$100,MATCH($Y61,'Weapons Database'!$A$2:$A$100,0))&amp;" "&amp;INDEX('Weapons Database'!$D$2:$D$100,MATCH($Y61,'Weapons Database'!$A$2:$A$100,0)),""))</x:f>
      </x:c>
      <x:c r="AA61" t="str">
        <x:f>IF($Y61="","","Weapons Database")</x:f>
      </x:c>
    </x:row>
    <x:row r="62">
      <x:c r="Z62" t="str">
        <x:f>IF($Y62="","",IFERROR(INDEX('Weapons Database'!$C$2:$C$100,MATCH($Y62,'Weapons Database'!$A$2:$A$100,0))&amp;" "&amp;INDEX('Weapons Database'!$D$2:$D$100,MATCH($Y62,'Weapons Database'!$A$2:$A$100,0)),""))</x:f>
      </x:c>
      <x:c r="AA62" t="str">
        <x:f>IF($Y62="","","Weapons Database")</x:f>
      </x:c>
    </x:row>
    <x:row r="63">
      <x:c r="Z63" t="str">
        <x:f>IF($Y63="","",IFERROR(INDEX('Weapons Database'!$C$2:$C$100,MATCH($Y63,'Weapons Database'!$A$2:$A$100,0))&amp;" "&amp;INDEX('Weapons Database'!$D$2:$D$100,MATCH($Y63,'Weapons Database'!$A$2:$A$100,0)),""))</x:f>
      </x:c>
      <x:c r="AA63" t="str">
        <x:f>IF($Y63="","","Weapons Database")</x:f>
      </x:c>
    </x:row>
    <x:row r="64">
      <x:c r="Z64" t="str">
        <x:f>IF($Y64="","",IFERROR(INDEX('Weapons Database'!$C$2:$C$100,MATCH($Y64,'Weapons Database'!$A$2:$A$100,0))&amp;" "&amp;INDEX('Weapons Database'!$D$2:$D$100,MATCH($Y64,'Weapons Database'!$A$2:$A$100,0)),""))</x:f>
      </x:c>
      <x:c r="AA64" t="str">
        <x:f>IF($Y64="","","Weapons Database")</x:f>
      </x:c>
    </x:row>
    <x:row r="65">
      <x:c r="Z65" t="str">
        <x:f>IF($Y65="","",IFERROR(INDEX('Weapons Database'!$C$2:$C$100,MATCH($Y65,'Weapons Database'!$A$2:$A$100,0))&amp;" "&amp;INDEX('Weapons Database'!$D$2:$D$100,MATCH($Y65,'Weapons Database'!$A$2:$A$100,0)),""))</x:f>
      </x:c>
      <x:c r="AA65" t="str">
        <x:f>IF($Y65="","","Weapons Database")</x:f>
      </x:c>
    </x:row>
    <x:row r="66">
      <x:c r="Z66" t="str">
        <x:f>IF($Y66="","",IFERROR(INDEX('Weapons Database'!$C$2:$C$100,MATCH($Y66,'Weapons Database'!$A$2:$A$100,0))&amp;" "&amp;INDEX('Weapons Database'!$D$2:$D$100,MATCH($Y66,'Weapons Database'!$A$2:$A$100,0)),""))</x:f>
      </x:c>
      <x:c r="AA66" t="str">
        <x:f>IF($Y66="","","Weapons Database")</x:f>
      </x:c>
    </x:row>
    <x:row r="67">
      <x:c r="Z67" t="str">
        <x:f>IF($Y67="","",IFERROR(INDEX('Weapons Database'!$C$2:$C$100,MATCH($Y67,'Weapons Database'!$A$2:$A$100,0))&amp;" "&amp;INDEX('Weapons Database'!$D$2:$D$100,MATCH($Y67,'Weapons Database'!$A$2:$A$100,0)),""))</x:f>
      </x:c>
      <x:c r="AA67" t="str">
        <x:f>IF($Y67="","","Weapons Database")</x:f>
      </x:c>
    </x:row>
    <x:row r="68">
      <x:c r="Z68" t="str">
        <x:f>IF($Y68="","",IFERROR(INDEX('Weapons Database'!$C$2:$C$100,MATCH($Y68,'Weapons Database'!$A$2:$A$100,0))&amp;" "&amp;INDEX('Weapons Database'!$D$2:$D$100,MATCH($Y68,'Weapons Database'!$A$2:$A$100,0)),""))</x:f>
      </x:c>
      <x:c r="AA68" t="str">
        <x:f>IF($Y68="","","Weapons Database")</x:f>
      </x:c>
    </x:row>
    <x:row r="69">
      <x:c r="Z69" t="str">
        <x:f>IF($Y69="","",IFERROR(INDEX('Weapons Database'!$C$2:$C$100,MATCH($Y69,'Weapons Database'!$A$2:$A$100,0))&amp;" "&amp;INDEX('Weapons Database'!$D$2:$D$100,MATCH($Y69,'Weapons Database'!$A$2:$A$100,0)),""))</x:f>
      </x:c>
      <x:c r="AA69" t="str">
        <x:f>IF($Y69="","","Weapons Database")</x:f>
      </x:c>
    </x:row>
    <x:row r="70">
      <x:c r="Z70" t="str">
        <x:f>IF($Y70="","",IFERROR(INDEX('Weapons Database'!$C$2:$C$100,MATCH($Y70,'Weapons Database'!$A$2:$A$100,0))&amp;" "&amp;INDEX('Weapons Database'!$D$2:$D$100,MATCH($Y70,'Weapons Database'!$A$2:$A$100,0)),""))</x:f>
      </x:c>
      <x:c r="AA70" t="str">
        <x:f>IF($Y70="","","Weapons Database")</x:f>
      </x:c>
    </x:row>
    <x:row r="71">
      <x:c r="Z71" t="str">
        <x:f>IF($Y71="","",IFERROR(INDEX('Weapons Database'!$C$2:$C$100,MATCH($Y71,'Weapons Database'!$A$2:$A$100,0))&amp;" "&amp;INDEX('Weapons Database'!$D$2:$D$100,MATCH($Y71,'Weapons Database'!$A$2:$A$100,0)),""))</x:f>
      </x:c>
      <x:c r="AA71" t="str">
        <x:f>IF($Y71="","","Weapons Database")</x:f>
      </x:c>
    </x:row>
    <x:row r="72">
      <x:c r="Z72" t="str">
        <x:f>IF($Y72="","",IFERROR(INDEX('Weapons Database'!$C$2:$C$100,MATCH($Y72,'Weapons Database'!$A$2:$A$100,0))&amp;" "&amp;INDEX('Weapons Database'!$D$2:$D$100,MATCH($Y72,'Weapons Database'!$A$2:$A$100,0)),""))</x:f>
      </x:c>
      <x:c r="AA72" t="str">
        <x:f>IF($Y72="","","Weapons Database")</x:f>
      </x:c>
    </x:row>
    <x:row r="73">
      <x:c r="Z73" t="str">
        <x:f>IF($Y73="","",IFERROR(INDEX('Weapons Database'!$C$2:$C$100,MATCH($Y73,'Weapons Database'!$A$2:$A$100,0))&amp;" "&amp;INDEX('Weapons Database'!$D$2:$D$100,MATCH($Y73,'Weapons Database'!$A$2:$A$100,0)),""))</x:f>
      </x:c>
      <x:c r="AA73" t="str">
        <x:f>IF($Y73="","","Weapons Database")</x:f>
      </x:c>
    </x:row>
    <x:row r="74">
      <x:c r="Z74" t="str">
        <x:f>IF($Y74="","",IFERROR(INDEX('Weapons Database'!$C$2:$C$100,MATCH($Y74,'Weapons Database'!$A$2:$A$100,0))&amp;" "&amp;INDEX('Weapons Database'!$D$2:$D$100,MATCH($Y74,'Weapons Database'!$A$2:$A$100,0)),""))</x:f>
      </x:c>
      <x:c r="AA74" t="str">
        <x:f>IF($Y74="","","Weapons Database")</x:f>
      </x:c>
    </x:row>
    <x:row r="75">
      <x:c r="Z75" t="str">
        <x:f>IF($Y75="","",IFERROR(INDEX('Weapons Database'!$C$2:$C$100,MATCH($Y75,'Weapons Database'!$A$2:$A$100,0))&amp;" "&amp;INDEX('Weapons Database'!$D$2:$D$100,MATCH($Y75,'Weapons Database'!$A$2:$A$100,0)),""))</x:f>
      </x:c>
      <x:c r="AA75" t="str">
        <x:f>IF($Y75="","","Weapons Database")</x:f>
      </x:c>
    </x:row>
    <x:row r="76">
      <x:c r="Z76" t="str">
        <x:f>IF($Y76="","",IFERROR(INDEX('Weapons Database'!$C$2:$C$100,MATCH($Y76,'Weapons Database'!$A$2:$A$100,0))&amp;" "&amp;INDEX('Weapons Database'!$D$2:$D$100,MATCH($Y76,'Weapons Database'!$A$2:$A$100,0)),""))</x:f>
      </x:c>
      <x:c r="AA76" t="str">
        <x:f>IF($Y76="","","Weapons Database")</x:f>
      </x:c>
    </x:row>
    <x:row r="77">
      <x:c r="Z77" t="str">
        <x:f>IF($Y77="","",IFERROR(INDEX('Weapons Database'!$C$2:$C$100,MATCH($Y77,'Weapons Database'!$A$2:$A$100,0))&amp;" "&amp;INDEX('Weapons Database'!$D$2:$D$100,MATCH($Y77,'Weapons Database'!$A$2:$A$100,0)),""))</x:f>
      </x:c>
      <x:c r="AA77" t="str">
        <x:f>IF($Y77="","","Weapons Database")</x:f>
      </x:c>
    </x:row>
    <x:row r="78">
      <x:c r="Z78" t="str">
        <x:f>IF($Y78="","",IFERROR(INDEX('Weapons Database'!$C$2:$C$100,MATCH($Y78,'Weapons Database'!$A$2:$A$100,0))&amp;" "&amp;INDEX('Weapons Database'!$D$2:$D$100,MATCH($Y78,'Weapons Database'!$A$2:$A$100,0)),""))</x:f>
      </x:c>
      <x:c r="AA78" t="str">
        <x:f>IF($Y78="","","Weapons Database")</x:f>
      </x:c>
    </x:row>
    <x:row r="79">
      <x:c r="Z79" t="str">
        <x:f>IF($Y79="","",IFERROR(INDEX('Weapons Database'!$C$2:$C$100,MATCH($Y79,'Weapons Database'!$A$2:$A$100,0))&amp;" "&amp;INDEX('Weapons Database'!$D$2:$D$100,MATCH($Y79,'Weapons Database'!$A$2:$A$100,0)),""))</x:f>
      </x:c>
      <x:c r="AA79" t="str">
        <x:f>IF($Y79="","","Weapons Database")</x:f>
      </x:c>
    </x:row>
    <x:row r="80">
      <x:c r="Z80" t="str">
        <x:f>IF($Y80="","",IFERROR(INDEX('Weapons Database'!$C$2:$C$100,MATCH($Y80,'Weapons Database'!$A$2:$A$100,0))&amp;" "&amp;INDEX('Weapons Database'!$D$2:$D$100,MATCH($Y80,'Weapons Database'!$A$2:$A$100,0)),""))</x:f>
      </x:c>
      <x:c r="AA80" t="str">
        <x:f>IF($Y80="","","Weapons Database")</x:f>
      </x:c>
    </x:row>
    <x:row r="81">
      <x:c r="Z81" t="str">
        <x:f>IF($Y81="","",IFERROR(INDEX('Weapons Database'!$C$2:$C$100,MATCH($Y81,'Weapons Database'!$A$2:$A$100,0))&amp;" "&amp;INDEX('Weapons Database'!$D$2:$D$100,MATCH($Y81,'Weapons Database'!$A$2:$A$100,0)),""))</x:f>
      </x:c>
      <x:c r="AA81" t="str">
        <x:f>IF($Y81="","","Weapons Database")</x:f>
      </x:c>
    </x:row>
    <x:row r="82">
      <x:c r="Z82" t="str">
        <x:f>IF($Y82="","",IFERROR(INDEX('Weapons Database'!$C$2:$C$100,MATCH($Y82,'Weapons Database'!$A$2:$A$100,0))&amp;" "&amp;INDEX('Weapons Database'!$D$2:$D$100,MATCH($Y82,'Weapons Database'!$A$2:$A$100,0)),""))</x:f>
      </x:c>
      <x:c r="AA82" t="str">
        <x:f>IF($Y82="","","Weapons Database")</x:f>
      </x:c>
    </x:row>
    <x:row r="83">
      <x:c r="Z83" t="str">
        <x:f>IF($Y83="","",IFERROR(INDEX('Weapons Database'!$C$2:$C$100,MATCH($Y83,'Weapons Database'!$A$2:$A$100,0))&amp;" "&amp;INDEX('Weapons Database'!$D$2:$D$100,MATCH($Y83,'Weapons Database'!$A$2:$A$100,0)),""))</x:f>
      </x:c>
      <x:c r="AA83" t="str">
        <x:f>IF($Y83="","","Weapons Database")</x:f>
      </x:c>
    </x:row>
    <x:row r="84">
      <x:c r="Z84" t="str">
        <x:f>IF($Y84="","",IFERROR(INDEX('Weapons Database'!$C$2:$C$100,MATCH($Y84,'Weapons Database'!$A$2:$A$100,0))&amp;" "&amp;INDEX('Weapons Database'!$D$2:$D$100,MATCH($Y84,'Weapons Database'!$A$2:$A$100,0)),""))</x:f>
      </x:c>
      <x:c r="AA84" t="str">
        <x:f>IF($Y84="","","Weapons Database")</x:f>
      </x:c>
    </x:row>
    <x:row r="85">
      <x:c r="Z85" t="str">
        <x:f>IF($Y85="","",IFERROR(INDEX('Weapons Database'!$C$2:$C$100,MATCH($Y85,'Weapons Database'!$A$2:$A$100,0))&amp;" "&amp;INDEX('Weapons Database'!$D$2:$D$100,MATCH($Y85,'Weapons Database'!$A$2:$A$100,0)),""))</x:f>
      </x:c>
      <x:c r="AA85" t="str">
        <x:f>IF($Y85="","","Weapons Database")</x:f>
      </x:c>
    </x:row>
    <x:row r="86">
      <x:c r="Z86" t="str">
        <x:f>IF($Y86="","",IFERROR(INDEX('Weapons Database'!$C$2:$C$100,MATCH($Y86,'Weapons Database'!$A$2:$A$100,0))&amp;" "&amp;INDEX('Weapons Database'!$D$2:$D$100,MATCH($Y86,'Weapons Database'!$A$2:$A$100,0)),""))</x:f>
      </x:c>
      <x:c r="AA86" t="str">
        <x:f>IF($Y86="","","Weapons Database")</x:f>
      </x:c>
    </x:row>
    <x:row r="87">
      <x:c r="Z87" t="str">
        <x:f>IF($Y87="","",IFERROR(INDEX('Weapons Database'!$C$2:$C$100,MATCH($Y87,'Weapons Database'!$A$2:$A$100,0))&amp;" "&amp;INDEX('Weapons Database'!$D$2:$D$100,MATCH($Y87,'Weapons Database'!$A$2:$A$100,0)),""))</x:f>
      </x:c>
      <x:c r="AA87" t="str">
        <x:f>IF($Y87="","","Weapons Database")</x:f>
      </x:c>
    </x:row>
    <x:row r="88">
      <x:c r="Z88" t="str">
        <x:f>IF($Y88="","",IFERROR(INDEX('Weapons Database'!$C$2:$C$100,MATCH($Y88,'Weapons Database'!$A$2:$A$100,0))&amp;" "&amp;INDEX('Weapons Database'!$D$2:$D$100,MATCH($Y88,'Weapons Database'!$A$2:$A$100,0)),""))</x:f>
      </x:c>
      <x:c r="AA88" t="str">
        <x:f>IF($Y88="","","Weapons Database")</x:f>
      </x:c>
    </x:row>
    <x:row r="89">
      <x:c r="Z89" t="str">
        <x:f>IF($Y89="","",IFERROR(INDEX('Weapons Database'!$C$2:$C$100,MATCH($Y89,'Weapons Database'!$A$2:$A$100,0))&amp;" "&amp;INDEX('Weapons Database'!$D$2:$D$100,MATCH($Y89,'Weapons Database'!$A$2:$A$100,0)),""))</x:f>
      </x:c>
      <x:c r="AA89" t="str">
        <x:f>IF($Y89="","","Weapons Database")</x:f>
      </x:c>
    </x:row>
    <x:row r="90">
      <x:c r="Z90" t="str">
        <x:f>IF($Y90="","",IFERROR(INDEX('Weapons Database'!$C$2:$C$100,MATCH($Y90,'Weapons Database'!$A$2:$A$100,0))&amp;" "&amp;INDEX('Weapons Database'!$D$2:$D$100,MATCH($Y90,'Weapons Database'!$A$2:$A$100,0)),""))</x:f>
      </x:c>
      <x:c r="AA90" t="str">
        <x:f>IF($Y90="","","Weapons Database")</x:f>
      </x:c>
    </x:row>
    <x:row r="91">
      <x:c r="Z91" t="str">
        <x:f>IF($Y91="","",IFERROR(INDEX('Weapons Database'!$C$2:$C$100,MATCH($Y91,'Weapons Database'!$A$2:$A$100,0))&amp;" "&amp;INDEX('Weapons Database'!$D$2:$D$100,MATCH($Y91,'Weapons Database'!$A$2:$A$100,0)),""))</x:f>
      </x:c>
      <x:c r="AA91" t="str">
        <x:f>IF($Y91="","","Weapons Database")</x:f>
      </x:c>
    </x:row>
    <x:row r="92">
      <x:c r="Z92" t="str">
        <x:f>IF($Y92="","",IFERROR(INDEX('Weapons Database'!$C$2:$C$100,MATCH($Y92,'Weapons Database'!$A$2:$A$100,0))&amp;" "&amp;INDEX('Weapons Database'!$D$2:$D$100,MATCH($Y92,'Weapons Database'!$A$2:$A$100,0)),""))</x:f>
      </x:c>
      <x:c r="AA92" t="str">
        <x:f>IF($Y92="","","Weapons Database")</x:f>
      </x:c>
    </x:row>
    <x:row r="93">
      <x:c r="Z93" t="str">
        <x:f>IF($Y93="","",IFERROR(INDEX('Weapons Database'!$C$2:$C$100,MATCH($Y93,'Weapons Database'!$A$2:$A$100,0))&amp;" "&amp;INDEX('Weapons Database'!$D$2:$D$100,MATCH($Y93,'Weapons Database'!$A$2:$A$100,0)),""))</x:f>
      </x:c>
      <x:c r="AA93" t="str">
        <x:f>IF($Y93="","","Weapons Database")</x:f>
      </x:c>
    </x:row>
    <x:row r="94">
      <x:c r="Z94" t="str">
        <x:f>IF($Y94="","",IFERROR(INDEX('Weapons Database'!$C$2:$C$100,MATCH($Y94,'Weapons Database'!$A$2:$A$100,0))&amp;" "&amp;INDEX('Weapons Database'!$D$2:$D$100,MATCH($Y94,'Weapons Database'!$A$2:$A$100,0)),""))</x:f>
      </x:c>
      <x:c r="AA94" t="str">
        <x:f>IF($Y94="","","Weapons Database")</x:f>
      </x:c>
    </x:row>
    <x:row r="95">
      <x:c r="Z95" t="str">
        <x:f>IF($Y95="","",IFERROR(INDEX('Weapons Database'!$C$2:$C$100,MATCH($Y95,'Weapons Database'!$A$2:$A$100,0))&amp;" "&amp;INDEX('Weapons Database'!$D$2:$D$100,MATCH($Y95,'Weapons Database'!$A$2:$A$100,0)),""))</x:f>
      </x:c>
      <x:c r="AA95" t="str">
        <x:f>IF($Y95="","","Weapons Database")</x:f>
      </x:c>
    </x:row>
    <x:row r="96">
      <x:c r="Z96" t="str">
        <x:f>IF($Y96="","",IFERROR(INDEX('Weapons Database'!$C$2:$C$100,MATCH($Y96,'Weapons Database'!$A$2:$A$100,0))&amp;" "&amp;INDEX('Weapons Database'!$D$2:$D$100,MATCH($Y96,'Weapons Database'!$A$2:$A$100,0)),""))</x:f>
      </x:c>
      <x:c r="AA96" t="str">
        <x:f>IF($Y96="","","Weapons Database")</x:f>
      </x:c>
    </x:row>
    <x:row r="97">
      <x:c r="Z97" t="str">
        <x:f>IF($Y97="","",IFERROR(INDEX('Weapons Database'!$C$2:$C$100,MATCH($Y97,'Weapons Database'!$A$2:$A$100,0))&amp;" "&amp;INDEX('Weapons Database'!$D$2:$D$100,MATCH($Y97,'Weapons Database'!$A$2:$A$100,0)),""))</x:f>
      </x:c>
      <x:c r="AA97" t="str">
        <x:f>IF($Y97="","","Weapons Database")</x:f>
      </x:c>
    </x:row>
    <x:row r="98">
      <x:c r="Z98" t="str">
        <x:f>IF($Y98="","",IFERROR(INDEX('Weapons Database'!$C$2:$C$100,MATCH($Y98,'Weapons Database'!$A$2:$A$100,0))&amp;" "&amp;INDEX('Weapons Database'!$D$2:$D$100,MATCH($Y98,'Weapons Database'!$A$2:$A$100,0)),""))</x:f>
      </x:c>
      <x:c r="AA98" t="str">
        <x:f>IF($Y98="","","Weapons Database")</x:f>
      </x:c>
    </x:row>
    <x:row r="99">
      <x:c r="Z99" t="str">
        <x:f>IF($Y99="","",IFERROR(INDEX('Weapons Database'!$C$2:$C$100,MATCH($Y99,'Weapons Database'!$A$2:$A$100,0))&amp;" "&amp;INDEX('Weapons Database'!$D$2:$D$100,MATCH($Y99,'Weapons Database'!$A$2:$A$100,0)),""))</x:f>
      </x:c>
      <x:c r="AA99" t="str">
        <x:f>IF($Y99="","","Weapons Database")</x:f>
      </x:c>
    </x:row>
    <x:row r="100">
      <x:c r="Z100" t="str">
        <x:f>IF($Y100="","",IFERROR(INDEX('Weapons Database'!$C$2:$C$100,MATCH($Y100,'Weapons Database'!$A$2:$A$100,0))&amp;" "&amp;INDEX('Weapons Database'!$D$2:$D$100,MATCH($Y100,'Weapons Database'!$A$2:$A$100,0)),""))</x:f>
      </x:c>
      <x:c r="AA100" t="str">
        <x:f>IF($Y100="","","Weapons Database")</x:f>
      </x:c>
    </x:row>
    <x:row r="101">
      <x:c r="Z101" t="str">
        <x:f>IF($Y101="","",IFERROR(INDEX('Weapons Database'!$C$2:$C$100,MATCH($Y101,'Weapons Database'!$A$2:$A$100,0))&amp;" "&amp;INDEX('Weapons Database'!$D$2:$D$100,MATCH($Y101,'Weapons Database'!$A$2:$A$100,0)),""))</x:f>
      </x:c>
      <x:c r="AA101" t="str">
        <x:f>IF($Y101="","","Weapons Database")</x:f>
      </x:c>
    </x:row>
    <x:row r="102">
      <x:c r="Z102" t="str">
        <x:f>IF($Y102="","",IFERROR(INDEX('Weapons Database'!$C$2:$C$100,MATCH($Y102,'Weapons Database'!$A$2:$A$100,0))&amp;" "&amp;INDEX('Weapons Database'!$D$2:$D$100,MATCH($Y102,'Weapons Database'!$A$2:$A$100,0)),""))</x:f>
      </x:c>
      <x:c r="AA102" t="str">
        <x:f>IF($Y102="","","Weapons Database")</x:f>
      </x:c>
    </x:row>
    <x:row r="103">
      <x:c r="Z103" t="str">
        <x:f>IF($Y103="","",IFERROR(INDEX('Weapons Database'!$C$2:$C$100,MATCH($Y103,'Weapons Database'!$A$2:$A$100,0))&amp;" "&amp;INDEX('Weapons Database'!$D$2:$D$100,MATCH($Y103,'Weapons Database'!$A$2:$A$100,0)),""))</x:f>
      </x:c>
      <x:c r="AA103" t="str">
        <x:f>IF($Y103="","","Weapons Database")</x:f>
      </x:c>
    </x:row>
    <x:row r="104">
      <x:c r="Z104" t="str">
        <x:f>IF($Y104="","",IFERROR(INDEX('Weapons Database'!$C$2:$C$100,MATCH($Y104,'Weapons Database'!$A$2:$A$100,0))&amp;" "&amp;INDEX('Weapons Database'!$D$2:$D$100,MATCH($Y104,'Weapons Database'!$A$2:$A$100,0)),""))</x:f>
      </x:c>
      <x:c r="AA104" t="str">
        <x:f>IF($Y104="","","Weapons Database")</x:f>
      </x:c>
    </x:row>
    <x:row r="105">
      <x:c r="Z105" t="str">
        <x:f>IF($Y105="","",IFERROR(INDEX('Weapons Database'!$C$2:$C$100,MATCH($Y105,'Weapons Database'!$A$2:$A$100,0))&amp;" "&amp;INDEX('Weapons Database'!$D$2:$D$100,MATCH($Y105,'Weapons Database'!$A$2:$A$100,0)),""))</x:f>
      </x:c>
      <x:c r="AA105" t="str">
        <x:f>IF($Y105="","","Weapons Database")</x:f>
      </x:c>
    </x:row>
    <x:row r="106">
      <x:c r="Z106" t="str">
        <x:f>IF($Y106="","",IFERROR(INDEX('Weapons Database'!$C$2:$C$100,MATCH($Y106,'Weapons Database'!$A$2:$A$100,0))&amp;" "&amp;INDEX('Weapons Database'!$D$2:$D$100,MATCH($Y106,'Weapons Database'!$A$2:$A$100,0)),""))</x:f>
      </x:c>
      <x:c r="AA106" t="str">
        <x:f>IF($Y106="","","Weapons Database")</x:f>
      </x:c>
    </x:row>
    <x:row r="107">
      <x:c r="Z107" t="str">
        <x:f>IF($Y107="","",IFERROR(INDEX('Weapons Database'!$C$2:$C$100,MATCH($Y107,'Weapons Database'!$A$2:$A$100,0))&amp;" "&amp;INDEX('Weapons Database'!$D$2:$D$100,MATCH($Y107,'Weapons Database'!$A$2:$A$100,0)),""))</x:f>
      </x:c>
      <x:c r="AA107" t="str">
        <x:f>IF($Y107="","","Weapons Database")</x:f>
      </x:c>
    </x:row>
    <x:row r="108">
      <x:c r="Z108" t="str">
        <x:f>IF($Y108="","",IFERROR(INDEX('Weapons Database'!$C$2:$C$100,MATCH($Y108,'Weapons Database'!$A$2:$A$100,0))&amp;" "&amp;INDEX('Weapons Database'!$D$2:$D$100,MATCH($Y108,'Weapons Database'!$A$2:$A$100,0)),""))</x:f>
      </x:c>
      <x:c r="AA108" t="str">
        <x:f>IF($Y108="","","Weapons Database")</x:f>
      </x:c>
    </x:row>
    <x:row r="109">
      <x:c r="Z109" t="str">
        <x:f>IF($Y109="","",IFERROR(INDEX('Weapons Database'!$C$2:$C$100,MATCH($Y109,'Weapons Database'!$A$2:$A$100,0))&amp;" "&amp;INDEX('Weapons Database'!$D$2:$D$100,MATCH($Y109,'Weapons Database'!$A$2:$A$100,0)),""))</x:f>
      </x:c>
      <x:c r="AA109" t="str">
        <x:f>IF($Y109="","","Weapons Database")</x:f>
      </x:c>
    </x:row>
    <x:row r="110">
      <x:c r="Z110" t="str">
        <x:f>IF($Y110="","",IFERROR(INDEX('Weapons Database'!$C$2:$C$100,MATCH($Y110,'Weapons Database'!$A$2:$A$100,0))&amp;" "&amp;INDEX('Weapons Database'!$D$2:$D$100,MATCH($Y110,'Weapons Database'!$A$2:$A$100,0)),""))</x:f>
      </x:c>
      <x:c r="AA110" t="str">
        <x:f>IF($Y110="","","Weapons Database")</x:f>
      </x:c>
    </x:row>
    <x:row r="111">
      <x:c r="Z111" t="str">
        <x:f>IF($Y111="","",IFERROR(INDEX('Weapons Database'!$C$2:$C$100,MATCH($Y111,'Weapons Database'!$A$2:$A$100,0))&amp;" "&amp;INDEX('Weapons Database'!$D$2:$D$100,MATCH($Y111,'Weapons Database'!$A$2:$A$100,0)),""))</x:f>
      </x:c>
      <x:c r="AA111" t="str">
        <x:f>IF($Y111="","","Weapons Database")</x:f>
      </x:c>
    </x:row>
    <x:row r="112">
      <x:c r="Z112" t="str">
        <x:f>IF($Y112="","",IFERROR(INDEX('Weapons Database'!$C$2:$C$100,MATCH($Y112,'Weapons Database'!$A$2:$A$100,0))&amp;" "&amp;INDEX('Weapons Database'!$D$2:$D$100,MATCH($Y112,'Weapons Database'!$A$2:$A$100,0)),""))</x:f>
      </x:c>
      <x:c r="AA112" t="str">
        <x:f>IF($Y112="","","Weapons Database")</x:f>
      </x:c>
    </x:row>
    <x:row r="113">
      <x:c r="Z113" t="str">
        <x:f>IF($Y113="","",IFERROR(INDEX('Weapons Database'!$C$2:$C$100,MATCH($Y113,'Weapons Database'!$A$2:$A$100,0))&amp;" "&amp;INDEX('Weapons Database'!$D$2:$D$100,MATCH($Y113,'Weapons Database'!$A$2:$A$100,0)),""))</x:f>
      </x:c>
      <x:c r="AA113" t="str">
        <x:f>IF($Y113="","","Weapons Database")</x:f>
      </x:c>
    </x:row>
    <x:row r="114">
      <x:c r="Z114" t="str">
        <x:f>IF($Y114="","",IFERROR(INDEX('Weapons Database'!$C$2:$C$100,MATCH($Y114,'Weapons Database'!$A$2:$A$100,0))&amp;" "&amp;INDEX('Weapons Database'!$D$2:$D$100,MATCH($Y114,'Weapons Database'!$A$2:$A$100,0)),""))</x:f>
      </x:c>
      <x:c r="AA114" t="str">
        <x:f>IF($Y114="","","Weapons Database")</x:f>
      </x:c>
    </x:row>
    <x:row r="115">
      <x:c r="Z115" t="str">
        <x:f>IF($Y115="","",IFERROR(INDEX('Weapons Database'!$C$2:$C$100,MATCH($Y115,'Weapons Database'!$A$2:$A$100,0))&amp;" "&amp;INDEX('Weapons Database'!$D$2:$D$100,MATCH($Y115,'Weapons Database'!$A$2:$A$100,0)),""))</x:f>
      </x:c>
      <x:c r="AA115" t="str">
        <x:f>IF($Y115="","","Weapons Database")</x:f>
      </x:c>
    </x:row>
    <x:row r="116">
      <x:c r="Z116" t="str">
        <x:f>IF($Y116="","",IFERROR(INDEX('Weapons Database'!$C$2:$C$100,MATCH($Y116,'Weapons Database'!$A$2:$A$100,0))&amp;" "&amp;INDEX('Weapons Database'!$D$2:$D$100,MATCH($Y116,'Weapons Database'!$A$2:$A$100,0)),""))</x:f>
      </x:c>
      <x:c r="AA116" t="str">
        <x:f>IF($Y116="","","Weapons Database")</x:f>
      </x:c>
    </x:row>
    <x:row r="117">
      <x:c r="Z117" t="str">
        <x:f>IF($Y117="","",IFERROR(INDEX('Weapons Database'!$C$2:$C$100,MATCH($Y117,'Weapons Database'!$A$2:$A$100,0))&amp;" "&amp;INDEX('Weapons Database'!$D$2:$D$100,MATCH($Y117,'Weapons Database'!$A$2:$A$100,0)),""))</x:f>
      </x:c>
      <x:c r="AA117" t="str">
        <x:f>IF($Y117="","","Weapons Database")</x:f>
      </x:c>
    </x:row>
    <x:row r="118">
      <x:c r="Z118" t="str">
        <x:f>IF($Y118="","",IFERROR(INDEX('Weapons Database'!$C$2:$C$100,MATCH($Y118,'Weapons Database'!$A$2:$A$100,0))&amp;" "&amp;INDEX('Weapons Database'!$D$2:$D$100,MATCH($Y118,'Weapons Database'!$A$2:$A$100,0)),""))</x:f>
      </x:c>
      <x:c r="AA118" t="str">
        <x:f>IF($Y118="","","Weapons Database")</x:f>
      </x:c>
    </x:row>
    <x:row r="119">
      <x:c r="Z119" t="str">
        <x:f>IF($Y119="","",IFERROR(INDEX('Weapons Database'!$C$2:$C$100,MATCH($Y119,'Weapons Database'!$A$2:$A$100,0))&amp;" "&amp;INDEX('Weapons Database'!$D$2:$D$100,MATCH($Y119,'Weapons Database'!$A$2:$A$100,0)),""))</x:f>
      </x:c>
      <x:c r="AA119" t="str">
        <x:f>IF($Y119="","","Weapons Database")</x:f>
      </x:c>
    </x:row>
    <x:row r="120">
      <x:c r="Z120" t="str">
        <x:f>IF($Y120="","",IFERROR(INDEX('Weapons Database'!$C$2:$C$100,MATCH($Y120,'Weapons Database'!$A$2:$A$100,0))&amp;" "&amp;INDEX('Weapons Database'!$D$2:$D$100,MATCH($Y120,'Weapons Database'!$A$2:$A$100,0)),""))</x:f>
      </x:c>
      <x:c r="AA120" t="str">
        <x:f>IF($Y120="","","Weapons Database")</x:f>
      </x:c>
    </x:row>
    <x:row r="121">
      <x:c r="Z121" t="str">
        <x:f>IF($Y121="","",IFERROR(INDEX('Weapons Database'!$C$2:$C$100,MATCH($Y121,'Weapons Database'!$A$2:$A$100,0))&amp;" "&amp;INDEX('Weapons Database'!$D$2:$D$100,MATCH($Y121,'Weapons Database'!$A$2:$A$100,0)),""))</x:f>
      </x:c>
      <x:c r="AA121" t="str">
        <x:f>IF($Y121="","","Weapons Database")</x:f>
      </x:c>
    </x:row>
    <x:row r="122">
      <x:c r="Z122" t="str">
        <x:f>IF($Y122="","",IFERROR(INDEX('Weapons Database'!$C$2:$C$100,MATCH($Y122,'Weapons Database'!$A$2:$A$100,0))&amp;" "&amp;INDEX('Weapons Database'!$D$2:$D$100,MATCH($Y122,'Weapons Database'!$A$2:$A$100,0)),""))</x:f>
      </x:c>
      <x:c r="AA122" t="str">
        <x:f>IF($Y122="","","Weapons Database")</x:f>
      </x:c>
    </x:row>
    <x:row r="123">
      <x:c r="Z123" t="str">
        <x:f>IF($Y123="","",IFERROR(INDEX('Weapons Database'!$C$2:$C$100,MATCH($Y123,'Weapons Database'!$A$2:$A$100,0))&amp;" "&amp;INDEX('Weapons Database'!$D$2:$D$100,MATCH($Y123,'Weapons Database'!$A$2:$A$100,0)),""))</x:f>
      </x:c>
      <x:c r="AA123" t="str">
        <x:f>IF($Y123="","","Weapons Database")</x:f>
      </x:c>
    </x:row>
    <x:row r="124">
      <x:c r="Z124" t="str">
        <x:f>IF($Y124="","",IFERROR(INDEX('Weapons Database'!$C$2:$C$100,MATCH($Y124,'Weapons Database'!$A$2:$A$100,0))&amp;" "&amp;INDEX('Weapons Database'!$D$2:$D$100,MATCH($Y124,'Weapons Database'!$A$2:$A$100,0)),""))</x:f>
      </x:c>
      <x:c r="AA124" t="str">
        <x:f>IF($Y124="","","Weapons Database")</x:f>
      </x:c>
    </x:row>
    <x:row r="125">
      <x:c r="Z125" t="str">
        <x:f>IF($Y125="","",IFERROR(INDEX('Weapons Database'!$C$2:$C$100,MATCH($Y125,'Weapons Database'!$A$2:$A$100,0))&amp;" "&amp;INDEX('Weapons Database'!$D$2:$D$100,MATCH($Y125,'Weapons Database'!$A$2:$A$100,0)),""))</x:f>
      </x:c>
      <x:c r="AA125" t="str">
        <x:f>IF($Y125="","","Weapons Database")</x:f>
      </x:c>
    </x:row>
    <x:row r="126">
      <x:c r="Z126" t="str">
        <x:f>IF($Y126="","",IFERROR(INDEX('Weapons Database'!$C$2:$C$100,MATCH($Y126,'Weapons Database'!$A$2:$A$100,0))&amp;" "&amp;INDEX('Weapons Database'!$D$2:$D$100,MATCH($Y126,'Weapons Database'!$A$2:$A$100,0)),""))</x:f>
      </x:c>
      <x:c r="AA126" t="str">
        <x:f>IF($Y126="","","Weapons Database")</x:f>
      </x:c>
    </x:row>
    <x:row r="127">
      <x:c r="Z127" t="str">
        <x:f>IF($Y127="","",IFERROR(INDEX('Weapons Database'!$C$2:$C$100,MATCH($Y127,'Weapons Database'!$A$2:$A$100,0))&amp;" "&amp;INDEX('Weapons Database'!$D$2:$D$100,MATCH($Y127,'Weapons Database'!$A$2:$A$100,0)),""))</x:f>
      </x:c>
      <x:c r="AA127" t="str">
        <x:f>IF($Y127="","","Weapons Database")</x:f>
      </x:c>
    </x:row>
    <x:row r="128">
      <x:c r="Z128" t="str">
        <x:f>IF($Y128="","",IFERROR(INDEX('Weapons Database'!$C$2:$C$100,MATCH($Y128,'Weapons Database'!$A$2:$A$100,0))&amp;" "&amp;INDEX('Weapons Database'!$D$2:$D$100,MATCH($Y128,'Weapons Database'!$A$2:$A$100,0)),""))</x:f>
      </x:c>
      <x:c r="AA128" t="str">
        <x:f>IF($Y128="","","Weapons Database")</x:f>
      </x:c>
    </x:row>
    <x:row r="129">
      <x:c r="Z129" t="str">
        <x:f>IF($Y129="","",IFERROR(INDEX('Weapons Database'!$C$2:$C$100,MATCH($Y129,'Weapons Database'!$A$2:$A$100,0))&amp;" "&amp;INDEX('Weapons Database'!$D$2:$D$100,MATCH($Y129,'Weapons Database'!$A$2:$A$100,0)),""))</x:f>
      </x:c>
      <x:c r="AA129" t="str">
        <x:f>IF($Y129="","","Weapons Database")</x:f>
      </x:c>
    </x:row>
    <x:row r="130">
      <x:c r="Z130" t="str">
        <x:f>IF($Y130="","",IFERROR(INDEX('Weapons Database'!$C$2:$C$100,MATCH($Y130,'Weapons Database'!$A$2:$A$100,0))&amp;" "&amp;INDEX('Weapons Database'!$D$2:$D$100,MATCH($Y130,'Weapons Database'!$A$2:$A$100,0)),""))</x:f>
      </x:c>
      <x:c r="AA130" t="str">
        <x:f>IF($Y130="","","Weapons Database")</x:f>
      </x:c>
    </x:row>
    <x:row r="131">
      <x:c r="Z131" t="str">
        <x:f>IF($Y131="","",IFERROR(INDEX('Weapons Database'!$C$2:$C$100,MATCH($Y131,'Weapons Database'!$A$2:$A$100,0))&amp;" "&amp;INDEX('Weapons Database'!$D$2:$D$100,MATCH($Y131,'Weapons Database'!$A$2:$A$100,0)),""))</x:f>
      </x:c>
      <x:c r="AA131" t="str">
        <x:f>IF($Y131="","","Weapons Database")</x:f>
      </x:c>
    </x:row>
    <x:row r="132">
      <x:c r="Z132" t="str">
        <x:f>IF($Y132="","",IFERROR(INDEX('Weapons Database'!$C$2:$C$100,MATCH($Y132,'Weapons Database'!$A$2:$A$100,0))&amp;" "&amp;INDEX('Weapons Database'!$D$2:$D$100,MATCH($Y132,'Weapons Database'!$A$2:$A$100,0)),""))</x:f>
      </x:c>
      <x:c r="AA132" t="str">
        <x:f>IF($Y132="","","Weapons Database")</x:f>
      </x:c>
    </x:row>
    <x:row r="133">
      <x:c r="Z133" t="str">
        <x:f>IF($Y133="","",IFERROR(INDEX('Weapons Database'!$C$2:$C$100,MATCH($Y133,'Weapons Database'!$A$2:$A$100,0))&amp;" "&amp;INDEX('Weapons Database'!$D$2:$D$100,MATCH($Y133,'Weapons Database'!$A$2:$A$100,0)),""))</x:f>
      </x:c>
      <x:c r="AA133" t="str">
        <x:f>IF($Y133="","","Weapons Database")</x:f>
      </x:c>
    </x:row>
    <x:row r="134">
      <x:c r="Z134" t="str">
        <x:f>IF($Y134="","",IFERROR(INDEX('Weapons Database'!$C$2:$C$100,MATCH($Y134,'Weapons Database'!$A$2:$A$100,0))&amp;" "&amp;INDEX('Weapons Database'!$D$2:$D$100,MATCH($Y134,'Weapons Database'!$A$2:$A$100,0)),""))</x:f>
      </x:c>
      <x:c r="AA134" t="str">
        <x:f>IF($Y134="","","Weapons Database")</x:f>
      </x:c>
    </x:row>
    <x:row r="135">
      <x:c r="Z135" t="str">
        <x:f>IF($Y135="","",IFERROR(INDEX('Weapons Database'!$C$2:$C$100,MATCH($Y135,'Weapons Database'!$A$2:$A$100,0))&amp;" "&amp;INDEX('Weapons Database'!$D$2:$D$100,MATCH($Y135,'Weapons Database'!$A$2:$A$100,0)),""))</x:f>
      </x:c>
      <x:c r="AA135" t="str">
        <x:f>IF($Y135="","","Weapons Database")</x:f>
      </x:c>
    </x:row>
    <x:row r="136">
      <x:c r="Z136" t="str">
        <x:f>IF($Y136="","",IFERROR(INDEX('Weapons Database'!$C$2:$C$100,MATCH($Y136,'Weapons Database'!$A$2:$A$100,0))&amp;" "&amp;INDEX('Weapons Database'!$D$2:$D$100,MATCH($Y136,'Weapons Database'!$A$2:$A$100,0)),""))</x:f>
      </x:c>
      <x:c r="AA136" t="str">
        <x:f>IF($Y136="","","Weapons Database")</x:f>
      </x:c>
    </x:row>
    <x:row r="137">
      <x:c r="Z137" t="str">
        <x:f>IF($Y137="","",IFERROR(INDEX('Weapons Database'!$C$2:$C$100,MATCH($Y137,'Weapons Database'!$A$2:$A$100,0))&amp;" "&amp;INDEX('Weapons Database'!$D$2:$D$100,MATCH($Y137,'Weapons Database'!$A$2:$A$100,0)),""))</x:f>
      </x:c>
      <x:c r="AA137" t="str">
        <x:f>IF($Y137="","","Weapons Database")</x:f>
      </x:c>
    </x:row>
    <x:row r="138">
      <x:c r="Z138" t="str">
        <x:f>IF($Y138="","",IFERROR(INDEX('Weapons Database'!$C$2:$C$100,MATCH($Y138,'Weapons Database'!$A$2:$A$100,0))&amp;" "&amp;INDEX('Weapons Database'!$D$2:$D$100,MATCH($Y138,'Weapons Database'!$A$2:$A$100,0)),""))</x:f>
      </x:c>
      <x:c r="AA138" t="str">
        <x:f>IF($Y138="","","Weapons Database")</x:f>
      </x:c>
    </x:row>
    <x:row r="139">
      <x:c r="Z139" t="str">
        <x:f>IF($Y139="","",IFERROR(INDEX('Weapons Database'!$C$2:$C$100,MATCH($Y139,'Weapons Database'!$A$2:$A$100,0))&amp;" "&amp;INDEX('Weapons Database'!$D$2:$D$100,MATCH($Y139,'Weapons Database'!$A$2:$A$100,0)),""))</x:f>
      </x:c>
      <x:c r="AA139" t="str">
        <x:f>IF($Y139="","","Weapons Database")</x:f>
      </x:c>
    </x:row>
    <x:row r="140">
      <x:c r="Z140" t="str">
        <x:f>IF($Y140="","",IFERROR(INDEX('Weapons Database'!$C$2:$C$100,MATCH($Y140,'Weapons Database'!$A$2:$A$100,0))&amp;" "&amp;INDEX('Weapons Database'!$D$2:$D$100,MATCH($Y140,'Weapons Database'!$A$2:$A$100,0)),""))</x:f>
      </x:c>
      <x:c r="AA140" t="str">
        <x:f>IF($Y140="","","Weapons Database")</x:f>
      </x:c>
    </x:row>
    <x:row r="141">
      <x:c r="Z141" t="str">
        <x:f>IF($Y141="","",IFERROR(INDEX('Weapons Database'!$C$2:$C$100,MATCH($Y141,'Weapons Database'!$A$2:$A$100,0))&amp;" "&amp;INDEX('Weapons Database'!$D$2:$D$100,MATCH($Y141,'Weapons Database'!$A$2:$A$100,0)),""))</x:f>
      </x:c>
      <x:c r="AA141" t="str">
        <x:f>IF($Y141="","","Weapons Database")</x:f>
      </x:c>
    </x:row>
    <x:row r="142">
      <x:c r="Z142" t="str">
        <x:f>IF($Y142="","",IFERROR(INDEX('Weapons Database'!$C$2:$C$100,MATCH($Y142,'Weapons Database'!$A$2:$A$100,0))&amp;" "&amp;INDEX('Weapons Database'!$D$2:$D$100,MATCH($Y142,'Weapons Database'!$A$2:$A$100,0)),""))</x:f>
      </x:c>
      <x:c r="AA142" t="str">
        <x:f>IF($Y142="","","Weapons Database")</x:f>
      </x:c>
    </x:row>
    <x:row r="143">
      <x:c r="Z143" t="str">
        <x:f>IF($Y143="","",IFERROR(INDEX('Weapons Database'!$C$2:$C$100,MATCH($Y143,'Weapons Database'!$A$2:$A$100,0))&amp;" "&amp;INDEX('Weapons Database'!$D$2:$D$100,MATCH($Y143,'Weapons Database'!$A$2:$A$100,0)),""))</x:f>
      </x:c>
      <x:c r="AA143" t="str">
        <x:f>IF($Y143="","","Weapons Database")</x:f>
      </x:c>
    </x:row>
    <x:row r="144">
      <x:c r="Z144" t="str">
        <x:f>IF($Y144="","",IFERROR(INDEX('Weapons Database'!$C$2:$C$100,MATCH($Y144,'Weapons Database'!$A$2:$A$100,0))&amp;" "&amp;INDEX('Weapons Database'!$D$2:$D$100,MATCH($Y144,'Weapons Database'!$A$2:$A$100,0)),""))</x:f>
      </x:c>
      <x:c r="AA144" t="str">
        <x:f>IF($Y144="","","Weapons Database")</x:f>
      </x:c>
    </x:row>
    <x:row r="145">
      <x:c r="Z145" t="str">
        <x:f>IF($Y145="","",IFERROR(INDEX('Weapons Database'!$C$2:$C$100,MATCH($Y145,'Weapons Database'!$A$2:$A$100,0))&amp;" "&amp;INDEX('Weapons Database'!$D$2:$D$100,MATCH($Y145,'Weapons Database'!$A$2:$A$100,0)),""))</x:f>
      </x:c>
      <x:c r="AA145" t="str">
        <x:f>IF($Y145="","","Weapons Database")</x:f>
      </x:c>
    </x:row>
    <x:row r="146">
      <x:c r="Z146" t="str">
        <x:f>IF($Y146="","",IFERROR(INDEX('Weapons Database'!$C$2:$C$100,MATCH($Y146,'Weapons Database'!$A$2:$A$100,0))&amp;" "&amp;INDEX('Weapons Database'!$D$2:$D$100,MATCH($Y146,'Weapons Database'!$A$2:$A$100,0)),""))</x:f>
      </x:c>
      <x:c r="AA146" t="str">
        <x:f>IF($Y146="","","Weapons Database")</x:f>
      </x:c>
    </x:row>
    <x:row r="147">
      <x:c r="Z147" t="str">
        <x:f>IF($Y147="","",IFERROR(INDEX('Weapons Database'!$C$2:$C$100,MATCH($Y147,'Weapons Database'!$A$2:$A$100,0))&amp;" "&amp;INDEX('Weapons Database'!$D$2:$D$100,MATCH($Y147,'Weapons Database'!$A$2:$A$100,0)),""))</x:f>
      </x:c>
      <x:c r="AA147" t="str">
        <x:f>IF($Y147="","","Weapons Database")</x:f>
      </x:c>
    </x:row>
    <x:row r="148">
      <x:c r="Z148" t="str">
        <x:f>IF($Y148="","",IFERROR(INDEX('Weapons Database'!$C$2:$C$100,MATCH($Y148,'Weapons Database'!$A$2:$A$100,0))&amp;" "&amp;INDEX('Weapons Database'!$D$2:$D$100,MATCH($Y148,'Weapons Database'!$A$2:$A$100,0)),""))</x:f>
      </x:c>
      <x:c r="AA148" t="str">
        <x:f>IF($Y148="","","Weapons Database")</x:f>
      </x:c>
    </x:row>
    <x:row r="149">
      <x:c r="Z149" t="str">
        <x:f>IF($Y149="","",IFERROR(INDEX('Weapons Database'!$C$2:$C$100,MATCH($Y149,'Weapons Database'!$A$2:$A$100,0))&amp;" "&amp;INDEX('Weapons Database'!$D$2:$D$100,MATCH($Y149,'Weapons Database'!$A$2:$A$100,0)),""))</x:f>
      </x:c>
      <x:c r="AA149" t="str">
        <x:f>IF($Y149="","","Weapons Database")</x:f>
      </x:c>
    </x:row>
    <x:row r="150">
      <x:c r="Z150" t="str">
        <x:f>IF($Y150="","",IFERROR(INDEX('Weapons Database'!$C$2:$C$100,MATCH($Y150,'Weapons Database'!$A$2:$A$100,0))&amp;" "&amp;INDEX('Weapons Database'!$D$2:$D$100,MATCH($Y150,'Weapons Database'!$A$2:$A$100,0)),""))</x:f>
      </x:c>
      <x:c r="AA150" t="str">
        <x:f>IF($Y150="","","Weapons Database")</x:f>
      </x:c>
    </x:row>
    <x:row r="151">
      <x:c r="Z151" t="str">
        <x:f>IF($Y151="","",IFERROR(INDEX('Weapons Database'!$C$2:$C$100,MATCH($Y151,'Weapons Database'!$A$2:$A$100,0))&amp;" "&amp;INDEX('Weapons Database'!$D$2:$D$100,MATCH($Y151,'Weapons Database'!$A$2:$A$100,0)),""))</x:f>
      </x:c>
      <x:c r="AA151" t="str">
        <x:f>IF($Y151="","","Weapons Database")</x:f>
      </x:c>
    </x:row>
    <x:row r="152">
      <x:c r="Z152" t="str">
        <x:f>IF($Y152="","",IFERROR(INDEX('Weapons Database'!$C$2:$C$100,MATCH($Y152,'Weapons Database'!$A$2:$A$100,0))&amp;" "&amp;INDEX('Weapons Database'!$D$2:$D$100,MATCH($Y152,'Weapons Database'!$A$2:$A$100,0)),""))</x:f>
      </x:c>
      <x:c r="AA152" t="str">
        <x:f>IF($Y152="","","Weapons Database")</x:f>
      </x:c>
    </x:row>
    <x:row r="153">
      <x:c r="Z153" t="str">
        <x:f>IF($Y153="","",IFERROR(INDEX('Weapons Database'!$C$2:$C$100,MATCH($Y153,'Weapons Database'!$A$2:$A$100,0))&amp;" "&amp;INDEX('Weapons Database'!$D$2:$D$100,MATCH($Y153,'Weapons Database'!$A$2:$A$100,0)),""))</x:f>
      </x:c>
      <x:c r="AA153" t="str">
        <x:f>IF($Y153="","","Weapons Database")</x:f>
      </x:c>
    </x:row>
    <x:row r="154">
      <x:c r="Z154" t="str">
        <x:f>IF($Y154="","",IFERROR(INDEX('Weapons Database'!$C$2:$C$100,MATCH($Y154,'Weapons Database'!$A$2:$A$100,0))&amp;" "&amp;INDEX('Weapons Database'!$D$2:$D$100,MATCH($Y154,'Weapons Database'!$A$2:$A$100,0)),""))</x:f>
      </x:c>
      <x:c r="AA154" t="str">
        <x:f>IF($Y154="","","Weapons Database")</x:f>
      </x:c>
    </x:row>
    <x:row r="155">
      <x:c r="Z155" t="str">
        <x:f>IF($Y155="","",IFERROR(INDEX('Weapons Database'!$C$2:$C$100,MATCH($Y155,'Weapons Database'!$A$2:$A$100,0))&amp;" "&amp;INDEX('Weapons Database'!$D$2:$D$100,MATCH($Y155,'Weapons Database'!$A$2:$A$100,0)),""))</x:f>
      </x:c>
      <x:c r="AA155" t="str">
        <x:f>IF($Y155="","","Weapons Database")</x:f>
      </x:c>
    </x:row>
    <x:row r="156">
      <x:c r="Z156" t="str">
        <x:f>IF($Y156="","",IFERROR(INDEX('Weapons Database'!$C$2:$C$100,MATCH($Y156,'Weapons Database'!$A$2:$A$100,0))&amp;" "&amp;INDEX('Weapons Database'!$D$2:$D$100,MATCH($Y156,'Weapons Database'!$A$2:$A$100,0)),""))</x:f>
      </x:c>
      <x:c r="AA156" t="str">
        <x:f>IF($Y156="","","Weapons Database")</x:f>
      </x:c>
    </x:row>
    <x:row r="157">
      <x:c r="Z157" t="str">
        <x:f>IF($Y157="","",IFERROR(INDEX('Weapons Database'!$C$2:$C$100,MATCH($Y157,'Weapons Database'!$A$2:$A$100,0))&amp;" "&amp;INDEX('Weapons Database'!$D$2:$D$100,MATCH($Y157,'Weapons Database'!$A$2:$A$100,0)),""))</x:f>
      </x:c>
      <x:c r="AA157" t="str">
        <x:f>IF($Y157="","","Weapons Database")</x:f>
      </x:c>
    </x:row>
    <x:row r="158">
      <x:c r="Z158" t="str">
        <x:f>IF($Y158="","",IFERROR(INDEX('Weapons Database'!$C$2:$C$100,MATCH($Y158,'Weapons Database'!$A$2:$A$100,0))&amp;" "&amp;INDEX('Weapons Database'!$D$2:$D$100,MATCH($Y158,'Weapons Database'!$A$2:$A$100,0)),""))</x:f>
      </x:c>
      <x:c r="AA158" t="str">
        <x:f>IF($Y158="","","Weapons Database")</x:f>
      </x:c>
    </x:row>
    <x:row r="159">
      <x:c r="Z159" t="str">
        <x:f>IF($Y159="","",IFERROR(INDEX('Weapons Database'!$C$2:$C$100,MATCH($Y159,'Weapons Database'!$A$2:$A$100,0))&amp;" "&amp;INDEX('Weapons Database'!$D$2:$D$100,MATCH($Y159,'Weapons Database'!$A$2:$A$100,0)),""))</x:f>
      </x:c>
      <x:c r="AA159" t="str">
        <x:f>IF($Y159="","","Weapons Database")</x:f>
      </x:c>
    </x:row>
    <x:row r="160">
      <x:c r="Z160" t="str">
        <x:f>IF($Y160="","",IFERROR(INDEX('Weapons Database'!$C$2:$C$100,MATCH($Y160,'Weapons Database'!$A$2:$A$100,0))&amp;" "&amp;INDEX('Weapons Database'!$D$2:$D$100,MATCH($Y160,'Weapons Database'!$A$2:$A$100,0)),""))</x:f>
      </x:c>
      <x:c r="AA160" t="str">
        <x:f>IF($Y160="","","Weapons Database")</x:f>
      </x:c>
    </x:row>
    <x:row r="161">
      <x:c r="Z161" t="str">
        <x:f>IF($Y161="","",IFERROR(INDEX('Weapons Database'!$C$2:$C$100,MATCH($Y161,'Weapons Database'!$A$2:$A$100,0))&amp;" "&amp;INDEX('Weapons Database'!$D$2:$D$100,MATCH($Y161,'Weapons Database'!$A$2:$A$100,0)),""))</x:f>
      </x:c>
      <x:c r="AA161" t="str">
        <x:f>IF($Y161="","","Weapons Database")</x:f>
      </x:c>
    </x:row>
    <x:row r="162">
      <x:c r="Z162" t="str">
        <x:f>IF($Y162="","",IFERROR(INDEX('Weapons Database'!$C$2:$C$100,MATCH($Y162,'Weapons Database'!$A$2:$A$100,0))&amp;" "&amp;INDEX('Weapons Database'!$D$2:$D$100,MATCH($Y162,'Weapons Database'!$A$2:$A$100,0)),""))</x:f>
      </x:c>
      <x:c r="AA162" t="str">
        <x:f>IF($Y162="","","Weapons Database")</x:f>
      </x:c>
    </x:row>
    <x:row r="163">
      <x:c r="Z163" t="str">
        <x:f>IF($Y163="","",IFERROR(INDEX('Weapons Database'!$C$2:$C$100,MATCH($Y163,'Weapons Database'!$A$2:$A$100,0))&amp;" "&amp;INDEX('Weapons Database'!$D$2:$D$100,MATCH($Y163,'Weapons Database'!$A$2:$A$100,0)),""))</x:f>
      </x:c>
      <x:c r="AA163" t="str">
        <x:f>IF($Y163="","","Weapons Database")</x:f>
      </x:c>
    </x:row>
    <x:row r="164">
      <x:c r="Z164" t="str">
        <x:f>IF($Y164="","",IFERROR(INDEX('Weapons Database'!$C$2:$C$100,MATCH($Y164,'Weapons Database'!$A$2:$A$100,0))&amp;" "&amp;INDEX('Weapons Database'!$D$2:$D$100,MATCH($Y164,'Weapons Database'!$A$2:$A$100,0)),""))</x:f>
      </x:c>
      <x:c r="AA164" t="str">
        <x:f>IF($Y164="","","Weapons Database")</x:f>
      </x:c>
    </x:row>
    <x:row r="165">
      <x:c r="Z165" t="str">
        <x:f>IF($Y165="","",IFERROR(INDEX('Weapons Database'!$C$2:$C$100,MATCH($Y165,'Weapons Database'!$A$2:$A$100,0))&amp;" "&amp;INDEX('Weapons Database'!$D$2:$D$100,MATCH($Y165,'Weapons Database'!$A$2:$A$100,0)),""))</x:f>
      </x:c>
      <x:c r="AA165" t="str">
        <x:f>IF($Y165="","","Weapons Database")</x:f>
      </x:c>
    </x:row>
    <x:row r="166">
      <x:c r="Z166" t="str">
        <x:f>IF($Y166="","",IFERROR(INDEX('Weapons Database'!$C$2:$C$100,MATCH($Y166,'Weapons Database'!$A$2:$A$100,0))&amp;" "&amp;INDEX('Weapons Database'!$D$2:$D$100,MATCH($Y166,'Weapons Database'!$A$2:$A$100,0)),""))</x:f>
      </x:c>
      <x:c r="AA166" t="str">
        <x:f>IF($Y166="","","Weapons Database")</x:f>
      </x:c>
    </x:row>
    <x:row r="167">
      <x:c r="Z167" t="str">
        <x:f>IF($Y167="","",IFERROR(INDEX('Weapons Database'!$C$2:$C$100,MATCH($Y167,'Weapons Database'!$A$2:$A$100,0))&amp;" "&amp;INDEX('Weapons Database'!$D$2:$D$100,MATCH($Y167,'Weapons Database'!$A$2:$A$100,0)),""))</x:f>
      </x:c>
      <x:c r="AA167" t="str">
        <x:f>IF($Y167="","","Weapons Database")</x:f>
      </x:c>
    </x:row>
    <x:row r="168">
      <x:c r="Z168" t="str">
        <x:f>IF($Y168="","",IFERROR(INDEX('Weapons Database'!$C$2:$C$100,MATCH($Y168,'Weapons Database'!$A$2:$A$100,0))&amp;" "&amp;INDEX('Weapons Database'!$D$2:$D$100,MATCH($Y168,'Weapons Database'!$A$2:$A$100,0)),""))</x:f>
      </x:c>
      <x:c r="AA168" t="str">
        <x:f>IF($Y168="","","Weapons Database")</x:f>
      </x:c>
    </x:row>
    <x:row r="169">
      <x:c r="Z169" t="str">
        <x:f>IF($Y169="","",IFERROR(INDEX('Weapons Database'!$C$2:$C$100,MATCH($Y169,'Weapons Database'!$A$2:$A$100,0))&amp;" "&amp;INDEX('Weapons Database'!$D$2:$D$100,MATCH($Y169,'Weapons Database'!$A$2:$A$100,0)),""))</x:f>
      </x:c>
      <x:c r="AA169" t="str">
        <x:f>IF($Y169="","","Weapons Database")</x:f>
      </x:c>
    </x:row>
    <x:row r="170">
      <x:c r="Z170" t="str">
        <x:f>IF($Y170="","",IFERROR(INDEX('Weapons Database'!$C$2:$C$100,MATCH($Y170,'Weapons Database'!$A$2:$A$100,0))&amp;" "&amp;INDEX('Weapons Database'!$D$2:$D$100,MATCH($Y170,'Weapons Database'!$A$2:$A$100,0)),""))</x:f>
      </x:c>
      <x:c r="AA170" t="str">
        <x:f>IF($Y170="","","Weapons Database")</x:f>
      </x:c>
    </x:row>
    <x:row r="171">
      <x:c r="Z171" t="str">
        <x:f>IF($Y171="","",IFERROR(INDEX('Weapons Database'!$C$2:$C$100,MATCH($Y171,'Weapons Database'!$A$2:$A$100,0))&amp;" "&amp;INDEX('Weapons Database'!$D$2:$D$100,MATCH($Y171,'Weapons Database'!$A$2:$A$100,0)),""))</x:f>
      </x:c>
      <x:c r="AA171" t="str">
        <x:f>IF($Y171="","","Weapons Database")</x:f>
      </x:c>
    </x:row>
    <x:row r="172">
      <x:c r="Z172" t="str">
        <x:f>IF($Y172="","",IFERROR(INDEX('Weapons Database'!$C$2:$C$100,MATCH($Y172,'Weapons Database'!$A$2:$A$100,0))&amp;" "&amp;INDEX('Weapons Database'!$D$2:$D$100,MATCH($Y172,'Weapons Database'!$A$2:$A$100,0)),""))</x:f>
      </x:c>
      <x:c r="AA172" t="str">
        <x:f>IF($Y172="","","Weapons Database")</x:f>
      </x:c>
    </x:row>
    <x:row r="173">
      <x:c r="Z173" t="str">
        <x:f>IF($Y173="","",IFERROR(INDEX('Weapons Database'!$C$2:$C$100,MATCH($Y173,'Weapons Database'!$A$2:$A$100,0))&amp;" "&amp;INDEX('Weapons Database'!$D$2:$D$100,MATCH($Y173,'Weapons Database'!$A$2:$A$100,0)),""))</x:f>
      </x:c>
      <x:c r="AA173" t="str">
        <x:f>IF($Y173="","","Weapons Database")</x:f>
      </x:c>
    </x:row>
    <x:row r="174">
      <x:c r="Z174" t="str">
        <x:f>IF($Y174="","",IFERROR(INDEX('Weapons Database'!$C$2:$C$100,MATCH($Y174,'Weapons Database'!$A$2:$A$100,0))&amp;" "&amp;INDEX('Weapons Database'!$D$2:$D$100,MATCH($Y174,'Weapons Database'!$A$2:$A$100,0)),""))</x:f>
      </x:c>
      <x:c r="AA174" t="str">
        <x:f>IF($Y174="","","Weapons Database")</x:f>
      </x:c>
    </x:row>
    <x:row r="175">
      <x:c r="Z175" t="str">
        <x:f>IF($Y175="","",IFERROR(INDEX('Weapons Database'!$C$2:$C$100,MATCH($Y175,'Weapons Database'!$A$2:$A$100,0))&amp;" "&amp;INDEX('Weapons Database'!$D$2:$D$100,MATCH($Y175,'Weapons Database'!$A$2:$A$100,0)),""))</x:f>
      </x:c>
      <x:c r="AA175" t="str">
        <x:f>IF($Y175="","","Weapons Database")</x:f>
      </x:c>
    </x:row>
    <x:row r="176">
      <x:c r="Z176" t="str">
        <x:f>IF($Y176="","",IFERROR(INDEX('Weapons Database'!$C$2:$C$100,MATCH($Y176,'Weapons Database'!$A$2:$A$100,0))&amp;" "&amp;INDEX('Weapons Database'!$D$2:$D$100,MATCH($Y176,'Weapons Database'!$A$2:$A$100,0)),""))</x:f>
      </x:c>
      <x:c r="AA176" t="str">
        <x:f>IF($Y176="","","Weapons Database")</x:f>
      </x:c>
    </x:row>
    <x:row r="177">
      <x:c r="Z177" t="str">
        <x:f>IF($Y177="","",IFERROR(INDEX('Weapons Database'!$C$2:$C$100,MATCH($Y177,'Weapons Database'!$A$2:$A$100,0))&amp;" "&amp;INDEX('Weapons Database'!$D$2:$D$100,MATCH($Y177,'Weapons Database'!$A$2:$A$100,0)),""))</x:f>
      </x:c>
      <x:c r="AA177" t="str">
        <x:f>IF($Y177="","","Weapons Database")</x:f>
      </x:c>
    </x:row>
    <x:row r="178">
      <x:c r="Z178" t="str">
        <x:f>IF($Y178="","",IFERROR(INDEX('Weapons Database'!$C$2:$C$100,MATCH($Y178,'Weapons Database'!$A$2:$A$100,0))&amp;" "&amp;INDEX('Weapons Database'!$D$2:$D$100,MATCH($Y178,'Weapons Database'!$A$2:$A$100,0)),""))</x:f>
      </x:c>
      <x:c r="AA178" t="str">
        <x:f>IF($Y178="","","Weapons Database")</x:f>
      </x:c>
    </x:row>
    <x:row r="179">
      <x:c r="Z179" t="str">
        <x:f>IF($Y179="","",IFERROR(INDEX('Weapons Database'!$C$2:$C$100,MATCH($Y179,'Weapons Database'!$A$2:$A$100,0))&amp;" "&amp;INDEX('Weapons Database'!$D$2:$D$100,MATCH($Y179,'Weapons Database'!$A$2:$A$100,0)),""))</x:f>
      </x:c>
      <x:c r="AA179" t="str">
        <x:f>IF($Y179="","","Weapons Database")</x:f>
      </x:c>
    </x:row>
    <x:row r="180">
      <x:c r="Z180" t="str">
        <x:f>IF($Y180="","",IFERROR(INDEX('Weapons Database'!$C$2:$C$100,MATCH($Y180,'Weapons Database'!$A$2:$A$100,0))&amp;" "&amp;INDEX('Weapons Database'!$D$2:$D$100,MATCH($Y180,'Weapons Database'!$A$2:$A$100,0)),""))</x:f>
      </x:c>
      <x:c r="AA180" t="str">
        <x:f>IF($Y180="","","Weapons Database")</x:f>
      </x:c>
    </x:row>
    <x:row r="181">
      <x:c r="Z181" t="str">
        <x:f>IF($Y181="","",IFERROR(INDEX('Weapons Database'!$C$2:$C$100,MATCH($Y181,'Weapons Database'!$A$2:$A$100,0))&amp;" "&amp;INDEX('Weapons Database'!$D$2:$D$100,MATCH($Y181,'Weapons Database'!$A$2:$A$100,0)),""))</x:f>
      </x:c>
      <x:c r="AA181" t="str">
        <x:f>IF($Y181="","","Weapons Database")</x:f>
      </x:c>
    </x:row>
    <x:row r="182">
      <x:c r="Z182" t="str">
        <x:f>IF($Y182="","",IFERROR(INDEX('Weapons Database'!$C$2:$C$100,MATCH($Y182,'Weapons Database'!$A$2:$A$100,0))&amp;" "&amp;INDEX('Weapons Database'!$D$2:$D$100,MATCH($Y182,'Weapons Database'!$A$2:$A$100,0)),""))</x:f>
      </x:c>
      <x:c r="AA182" t="str">
        <x:f>IF($Y182="","","Weapons Database")</x:f>
      </x:c>
    </x:row>
    <x:row r="183">
      <x:c r="Z183" t="str">
        <x:f>IF($Y183="","",IFERROR(INDEX('Weapons Database'!$C$2:$C$100,MATCH($Y183,'Weapons Database'!$A$2:$A$100,0))&amp;" "&amp;INDEX('Weapons Database'!$D$2:$D$100,MATCH($Y183,'Weapons Database'!$A$2:$A$100,0)),""))</x:f>
      </x:c>
      <x:c r="AA183" t="str">
        <x:f>IF($Y183="","","Weapons Database")</x:f>
      </x:c>
    </x:row>
    <x:row r="184">
      <x:c r="Z184" t="str">
        <x:f>IF($Y184="","",IFERROR(INDEX('Weapons Database'!$C$2:$C$100,MATCH($Y184,'Weapons Database'!$A$2:$A$100,0))&amp;" "&amp;INDEX('Weapons Database'!$D$2:$D$100,MATCH($Y184,'Weapons Database'!$A$2:$A$100,0)),""))</x:f>
      </x:c>
      <x:c r="AA184" t="str">
        <x:f>IF($Y184="","","Weapons Database")</x:f>
      </x:c>
    </x:row>
    <x:row r="185">
      <x:c r="Z185" t="str">
        <x:f>IF($Y185="","",IFERROR(INDEX('Weapons Database'!$C$2:$C$100,MATCH($Y185,'Weapons Database'!$A$2:$A$100,0))&amp;" "&amp;INDEX('Weapons Database'!$D$2:$D$100,MATCH($Y185,'Weapons Database'!$A$2:$A$100,0)),""))</x:f>
      </x:c>
      <x:c r="AA185" t="str">
        <x:f>IF($Y185="","","Weapons Database")</x:f>
      </x:c>
    </x:row>
    <x:row r="186">
      <x:c r="Z186" t="str">
        <x:f>IF($Y186="","",IFERROR(INDEX('Weapons Database'!$C$2:$C$100,MATCH($Y186,'Weapons Database'!$A$2:$A$100,0))&amp;" "&amp;INDEX('Weapons Database'!$D$2:$D$100,MATCH($Y186,'Weapons Database'!$A$2:$A$100,0)),""))</x:f>
      </x:c>
      <x:c r="AA186" t="str">
        <x:f>IF($Y186="","","Weapons Database")</x:f>
      </x:c>
    </x:row>
    <x:row r="187">
      <x:c r="Z187" t="str">
        <x:f>IF($Y187="","",IFERROR(INDEX('Weapons Database'!$C$2:$C$100,MATCH($Y187,'Weapons Database'!$A$2:$A$100,0))&amp;" "&amp;INDEX('Weapons Database'!$D$2:$D$100,MATCH($Y187,'Weapons Database'!$A$2:$A$100,0)),""))</x:f>
      </x:c>
      <x:c r="AA187" t="str">
        <x:f>IF($Y187="","","Weapons Database")</x:f>
      </x:c>
    </x:row>
    <x:row r="188">
      <x:c r="Z188" t="str">
        <x:f>IF($Y188="","",IFERROR(INDEX('Weapons Database'!$C$2:$C$100,MATCH($Y188,'Weapons Database'!$A$2:$A$100,0))&amp;" "&amp;INDEX('Weapons Database'!$D$2:$D$100,MATCH($Y188,'Weapons Database'!$A$2:$A$100,0)),""))</x:f>
      </x:c>
      <x:c r="AA188" t="str">
        <x:f>IF($Y188="","","Weapons Database")</x:f>
      </x:c>
    </x:row>
    <x:row r="189">
      <x:c r="Z189" t="str">
        <x:f>IF($Y189="","",IFERROR(INDEX('Weapons Database'!$C$2:$C$100,MATCH($Y189,'Weapons Database'!$A$2:$A$100,0))&amp;" "&amp;INDEX('Weapons Database'!$D$2:$D$100,MATCH($Y189,'Weapons Database'!$A$2:$A$100,0)),""))</x:f>
      </x:c>
      <x:c r="AA189" t="str">
        <x:f>IF($Y189="","","Weapons Database")</x:f>
      </x:c>
    </x:row>
    <x:row r="190">
      <x:c r="Z190" t="str">
        <x:f>IF($Y190="","",IFERROR(INDEX('Weapons Database'!$C$2:$C$100,MATCH($Y190,'Weapons Database'!$A$2:$A$100,0))&amp;" "&amp;INDEX('Weapons Database'!$D$2:$D$100,MATCH($Y190,'Weapons Database'!$A$2:$A$100,0)),""))</x:f>
      </x:c>
      <x:c r="AA190" t="str">
        <x:f>IF($Y190="","","Weapons Database")</x:f>
      </x:c>
    </x:row>
    <x:row r="191">
      <x:c r="Z191" t="str">
        <x:f>IF($Y191="","",IFERROR(INDEX('Weapons Database'!$C$2:$C$100,MATCH($Y191,'Weapons Database'!$A$2:$A$100,0))&amp;" "&amp;INDEX('Weapons Database'!$D$2:$D$100,MATCH($Y191,'Weapons Database'!$A$2:$A$100,0)),""))</x:f>
      </x:c>
      <x:c r="AA191" t="str">
        <x:f>IF($Y191="","","Weapons Database")</x:f>
      </x:c>
    </x:row>
    <x:row r="192">
      <x:c r="Z192" t="str">
        <x:f>IF($Y192="","",IFERROR(INDEX('Weapons Database'!$C$2:$C$100,MATCH($Y192,'Weapons Database'!$A$2:$A$100,0))&amp;" "&amp;INDEX('Weapons Database'!$D$2:$D$100,MATCH($Y192,'Weapons Database'!$A$2:$A$100,0)),""))</x:f>
      </x:c>
      <x:c r="AA192" t="str">
        <x:f>IF($Y192="","","Weapons Database")</x:f>
      </x:c>
    </x:row>
    <x:row r="193">
      <x:c r="Z193" t="str">
        <x:f>IF($Y193="","",IFERROR(INDEX('Weapons Database'!$C$2:$C$100,MATCH($Y193,'Weapons Database'!$A$2:$A$100,0))&amp;" "&amp;INDEX('Weapons Database'!$D$2:$D$100,MATCH($Y193,'Weapons Database'!$A$2:$A$100,0)),""))</x:f>
      </x:c>
      <x:c r="AA193" t="str">
        <x:f>IF($Y193="","","Weapons Database")</x:f>
      </x:c>
    </x:row>
    <x:row r="194">
      <x:c r="Z194" t="str">
        <x:f>IF($Y194="","",IFERROR(INDEX('Weapons Database'!$C$2:$C$100,MATCH($Y194,'Weapons Database'!$A$2:$A$100,0))&amp;" "&amp;INDEX('Weapons Database'!$D$2:$D$100,MATCH($Y194,'Weapons Database'!$A$2:$A$100,0)),""))</x:f>
      </x:c>
      <x:c r="AA194" t="str">
        <x:f>IF($Y194="","","Weapons Database")</x:f>
      </x:c>
    </x:row>
    <x:row r="195">
      <x:c r="Z195" t="str">
        <x:f>IF($Y195="","",IFERROR(INDEX('Weapons Database'!$C$2:$C$100,MATCH($Y195,'Weapons Database'!$A$2:$A$100,0))&amp;" "&amp;INDEX('Weapons Database'!$D$2:$D$100,MATCH($Y195,'Weapons Database'!$A$2:$A$100,0)),""))</x:f>
      </x:c>
      <x:c r="AA195" t="str">
        <x:f>IF($Y195="","","Weapons Database")</x:f>
      </x:c>
    </x:row>
    <x:row r="196">
      <x:c r="Z196" t="str">
        <x:f>IF($Y196="","",IFERROR(INDEX('Weapons Database'!$C$2:$C$100,MATCH($Y196,'Weapons Database'!$A$2:$A$100,0))&amp;" "&amp;INDEX('Weapons Database'!$D$2:$D$100,MATCH($Y196,'Weapons Database'!$A$2:$A$100,0)),""))</x:f>
      </x:c>
      <x:c r="AA196" t="str">
        <x:f>IF($Y196="","","Weapons Database")</x:f>
      </x:c>
    </x:row>
    <x:row r="197">
      <x:c r="Z197" t="str">
        <x:f>IF($Y197="","",IFERROR(INDEX('Weapons Database'!$C$2:$C$100,MATCH($Y197,'Weapons Database'!$A$2:$A$100,0))&amp;" "&amp;INDEX('Weapons Database'!$D$2:$D$100,MATCH($Y197,'Weapons Database'!$A$2:$A$100,0)),""))</x:f>
      </x:c>
      <x:c r="AA197" t="str">
        <x:f>IF($Y197="","","Weapons Database")</x:f>
      </x:c>
    </x:row>
    <x:row r="198">
      <x:c r="Z198" t="str">
        <x:f>IF($Y198="","",IFERROR(INDEX('Weapons Database'!$C$2:$C$100,MATCH($Y198,'Weapons Database'!$A$2:$A$100,0))&amp;" "&amp;INDEX('Weapons Database'!$D$2:$D$100,MATCH($Y198,'Weapons Database'!$A$2:$A$100,0)),""))</x:f>
      </x:c>
      <x:c r="AA198" t="str">
        <x:f>IF($Y198="","","Weapons Database")</x:f>
      </x:c>
    </x:row>
    <x:row r="199">
      <x:c r="Z199" t="str">
        <x:f>IF($Y199="","",IFERROR(INDEX('Weapons Database'!$C$2:$C$100,MATCH($Y199,'Weapons Database'!$A$2:$A$100,0))&amp;" "&amp;INDEX('Weapons Database'!$D$2:$D$100,MATCH($Y199,'Weapons Database'!$A$2:$A$100,0)),""))</x:f>
      </x:c>
      <x:c r="AA199" t="str">
        <x:f>IF($Y199="","","Weapons Database")</x:f>
      </x:c>
    </x:row>
    <x:row r="200">
      <x:c r="Z200" t="str">
        <x:f>IF($Y200="","",IFERROR(INDEX('Weapons Database'!$C$2:$C$100,MATCH($Y200,'Weapons Database'!$A$2:$A$100,0))&amp;" "&amp;INDEX('Weapons Database'!$D$2:$D$100,MATCH($Y200,'Weapons Database'!$A$2:$A$100,0)),""))</x:f>
      </x:c>
      <x:c r="AA200" t="str">
        <x:f>IF($Y200="","","Weapons Database")</x:f>
      </x:c>
    </x:row>
    <x:row r="201">
      <x:c r="Z201" t="str">
        <x:f>IF($Y201="","",IFERROR(INDEX('Weapons Database'!$C$2:$C$100,MATCH($Y201,'Weapons Database'!$A$2:$A$100,0))&amp;" "&amp;INDEX('Weapons Database'!$D$2:$D$100,MATCH($Y201,'Weapons Database'!$A$2:$A$100,0)),""))</x:f>
      </x:c>
      <x:c r="AA201" t="str">
        <x:f>IF($Y201="","","Weapons Database")</x:f>
      </x:c>
    </x:row>
    <x:row r="202">
      <x:c r="Z202" t="str">
        <x:f>IF($Y202="","",IFERROR(INDEX('Weapons Database'!$C$2:$C$100,MATCH($Y202,'Weapons Database'!$A$2:$A$100,0))&amp;" "&amp;INDEX('Weapons Database'!$D$2:$D$100,MATCH($Y202,'Weapons Database'!$A$2:$A$100,0)),""))</x:f>
      </x:c>
      <x:c r="AA202" t="str">
        <x:f>IF($Y202="","","Weapons Database")</x:f>
      </x:c>
    </x:row>
    <x:row r="203">
      <x:c r="Z203" t="str">
        <x:f>IF($Y203="","",IFERROR(INDEX('Weapons Database'!$C$2:$C$100,MATCH($Y203,'Weapons Database'!$A$2:$A$100,0))&amp;" "&amp;INDEX('Weapons Database'!$D$2:$D$100,MATCH($Y203,'Weapons Database'!$A$2:$A$100,0)),""))</x:f>
      </x:c>
      <x:c r="AA203" t="str">
        <x:f>IF($Y203="","","Weapons Database")</x:f>
      </x:c>
    </x:row>
    <x:row r="204">
      <x:c r="Z204" t="str">
        <x:f>IF($Y204="","",IFERROR(INDEX('Weapons Database'!$C$2:$C$100,MATCH($Y204,'Weapons Database'!$A$2:$A$100,0))&amp;" "&amp;INDEX('Weapons Database'!$D$2:$D$100,MATCH($Y204,'Weapons Database'!$A$2:$A$100,0)),""))</x:f>
      </x:c>
      <x:c r="AA204" t="str">
        <x:f>IF($Y204="","","Weapons Database")</x:f>
      </x:c>
    </x:row>
    <x:row r="205">
      <x:c r="Z205" t="str">
        <x:f>IF($Y205="","",IFERROR(INDEX('Weapons Database'!$C$2:$C$100,MATCH($Y205,'Weapons Database'!$A$2:$A$100,0))&amp;" "&amp;INDEX('Weapons Database'!$D$2:$D$100,MATCH($Y205,'Weapons Database'!$A$2:$A$100,0)),""))</x:f>
      </x:c>
      <x:c r="AA205" t="str">
        <x:f>IF($Y205="","","Weapons Database")</x:f>
      </x:c>
    </x:row>
    <x:row r="206">
      <x:c r="Z206" t="str">
        <x:f>IF($Y206="","",IFERROR(INDEX('Weapons Database'!$C$2:$C$100,MATCH($Y206,'Weapons Database'!$A$2:$A$100,0))&amp;" "&amp;INDEX('Weapons Database'!$D$2:$D$100,MATCH($Y206,'Weapons Database'!$A$2:$A$100,0)),""))</x:f>
      </x:c>
      <x:c r="AA206" t="str">
        <x:f>IF($Y206="","","Weapons Database")</x:f>
      </x:c>
    </x:row>
    <x:row r="207">
      <x:c r="Z207" t="str">
        <x:f>IF($Y207="","",IFERROR(INDEX('Weapons Database'!$C$2:$C$100,MATCH($Y207,'Weapons Database'!$A$2:$A$100,0))&amp;" "&amp;INDEX('Weapons Database'!$D$2:$D$100,MATCH($Y207,'Weapons Database'!$A$2:$A$100,0)),""))</x:f>
      </x:c>
      <x:c r="AA207" t="str">
        <x:f>IF($Y207="","","Weapons Database")</x:f>
      </x:c>
    </x:row>
    <x:row r="208">
      <x:c r="Z208" t="str">
        <x:f>IF($Y208="","",IFERROR(INDEX('Weapons Database'!$C$2:$C$100,MATCH($Y208,'Weapons Database'!$A$2:$A$100,0))&amp;" "&amp;INDEX('Weapons Database'!$D$2:$D$100,MATCH($Y208,'Weapons Database'!$A$2:$A$100,0)),""))</x:f>
      </x:c>
      <x:c r="AA208" t="str">
        <x:f>IF($Y208="","","Weapons Database")</x:f>
      </x:c>
    </x:row>
    <x:row r="209">
      <x:c r="Z209" t="str">
        <x:f>IF($Y209="","",IFERROR(INDEX('Weapons Database'!$C$2:$C$100,MATCH($Y209,'Weapons Database'!$A$2:$A$100,0))&amp;" "&amp;INDEX('Weapons Database'!$D$2:$D$100,MATCH($Y209,'Weapons Database'!$A$2:$A$100,0)),""))</x:f>
      </x:c>
      <x:c r="AA209" t="str">
        <x:f>IF($Y209="","","Weapons Database")</x:f>
      </x:c>
    </x:row>
    <x:row r="210">
      <x:c r="Z210" t="str">
        <x:f>IF($Y210="","",IFERROR(INDEX('Weapons Database'!$C$2:$C$100,MATCH($Y210,'Weapons Database'!$A$2:$A$100,0))&amp;" "&amp;INDEX('Weapons Database'!$D$2:$D$100,MATCH($Y210,'Weapons Database'!$A$2:$A$100,0)),""))</x:f>
      </x:c>
      <x:c r="AA210" t="str">
        <x:f>IF($Y210="","","Weapons Database")</x:f>
      </x:c>
    </x:row>
    <x:row r="211">
      <x:c r="Z211" t="str">
        <x:f>IF($Y211="","",IFERROR(INDEX('Weapons Database'!$C$2:$C$100,MATCH($Y211,'Weapons Database'!$A$2:$A$100,0))&amp;" "&amp;INDEX('Weapons Database'!$D$2:$D$100,MATCH($Y211,'Weapons Database'!$A$2:$A$100,0)),""))</x:f>
      </x:c>
      <x:c r="AA211" t="str">
        <x:f>IF($Y211="","","Weapons Database")</x:f>
      </x:c>
    </x:row>
    <x:row r="212">
      <x:c r="Z212" t="str">
        <x:f>IF($Y212="","",IFERROR(INDEX('Weapons Database'!$C$2:$C$100,MATCH($Y212,'Weapons Database'!$A$2:$A$100,0))&amp;" "&amp;INDEX('Weapons Database'!$D$2:$D$100,MATCH($Y212,'Weapons Database'!$A$2:$A$100,0)),""))</x:f>
      </x:c>
      <x:c r="AA212" t="str">
        <x:f>IF($Y212="","","Weapons Database")</x:f>
      </x:c>
    </x:row>
    <x:row r="213">
      <x:c r="Z213" t="str">
        <x:f>IF($Y213="","",IFERROR(INDEX('Weapons Database'!$C$2:$C$100,MATCH($Y213,'Weapons Database'!$A$2:$A$100,0))&amp;" "&amp;INDEX('Weapons Database'!$D$2:$D$100,MATCH($Y213,'Weapons Database'!$A$2:$A$100,0)),""))</x:f>
      </x:c>
      <x:c r="AA213" t="str">
        <x:f>IF($Y213="","","Weapons Database")</x:f>
      </x:c>
    </x:row>
    <x:row r="214">
      <x:c r="Z214" t="str">
        <x:f>IF($Y214="","",IFERROR(INDEX('Weapons Database'!$C$2:$C$100,MATCH($Y214,'Weapons Database'!$A$2:$A$100,0))&amp;" "&amp;INDEX('Weapons Database'!$D$2:$D$100,MATCH($Y214,'Weapons Database'!$A$2:$A$100,0)),""))</x:f>
      </x:c>
      <x:c r="AA214" t="str">
        <x:f>IF($Y214="","","Weapons Database")</x:f>
      </x:c>
    </x:row>
    <x:row r="215">
      <x:c r="Z215" t="str">
        <x:f>IF($Y215="","",IFERROR(INDEX('Weapons Database'!$C$2:$C$100,MATCH($Y215,'Weapons Database'!$A$2:$A$100,0))&amp;" "&amp;INDEX('Weapons Database'!$D$2:$D$100,MATCH($Y215,'Weapons Database'!$A$2:$A$100,0)),""))</x:f>
      </x:c>
      <x:c r="AA215" t="str">
        <x:f>IF($Y215="","","Weapons Database")</x:f>
      </x:c>
    </x:row>
    <x:row r="216">
      <x:c r="Z216" t="str">
        <x:f>IF($Y216="","",IFERROR(INDEX('Weapons Database'!$C$2:$C$100,MATCH($Y216,'Weapons Database'!$A$2:$A$100,0))&amp;" "&amp;INDEX('Weapons Database'!$D$2:$D$100,MATCH($Y216,'Weapons Database'!$A$2:$A$100,0)),""))</x:f>
      </x:c>
      <x:c r="AA216" t="str">
        <x:f>IF($Y216="","","Weapons Database")</x:f>
      </x:c>
    </x:row>
    <x:row r="217">
      <x:c r="Z217" t="str">
        <x:f>IF($Y217="","",IFERROR(INDEX('Weapons Database'!$C$2:$C$100,MATCH($Y217,'Weapons Database'!$A$2:$A$100,0))&amp;" "&amp;INDEX('Weapons Database'!$D$2:$D$100,MATCH($Y217,'Weapons Database'!$A$2:$A$100,0)),""))</x:f>
      </x:c>
      <x:c r="AA217" t="str">
        <x:f>IF($Y217="","","Weapons Database")</x:f>
      </x:c>
    </x:row>
    <x:row r="218">
      <x:c r="Z218" t="str">
        <x:f>IF($Y218="","",IFERROR(INDEX('Weapons Database'!$C$2:$C$100,MATCH($Y218,'Weapons Database'!$A$2:$A$100,0))&amp;" "&amp;INDEX('Weapons Database'!$D$2:$D$100,MATCH($Y218,'Weapons Database'!$A$2:$A$100,0)),""))</x:f>
      </x:c>
      <x:c r="AA218" t="str">
        <x:f>IF($Y218="","","Weapons Database")</x:f>
      </x:c>
    </x:row>
    <x:row r="219">
      <x:c r="Z219" t="str">
        <x:f>IF($Y219="","",IFERROR(INDEX('Weapons Database'!$C$2:$C$100,MATCH($Y219,'Weapons Database'!$A$2:$A$100,0))&amp;" "&amp;INDEX('Weapons Database'!$D$2:$D$100,MATCH($Y219,'Weapons Database'!$A$2:$A$100,0)),""))</x:f>
      </x:c>
      <x:c r="AA219" t="str">
        <x:f>IF($Y219="","","Weapons Database")</x:f>
      </x:c>
    </x:row>
    <x:row r="220">
      <x:c r="Z220" t="str">
        <x:f>IF($Y220="","",IFERROR(INDEX('Weapons Database'!$C$2:$C$100,MATCH($Y220,'Weapons Database'!$A$2:$A$100,0))&amp;" "&amp;INDEX('Weapons Database'!$D$2:$D$100,MATCH($Y220,'Weapons Database'!$A$2:$A$100,0)),""))</x:f>
      </x:c>
      <x:c r="AA220" t="str">
        <x:f>IF($Y220="","","Weapons Database")</x:f>
      </x:c>
    </x:row>
    <x:row r="221">
      <x:c r="Z221" t="str">
        <x:f>IF($Y221="","",IFERROR(INDEX('Weapons Database'!$C$2:$C$100,MATCH($Y221,'Weapons Database'!$A$2:$A$100,0))&amp;" "&amp;INDEX('Weapons Database'!$D$2:$D$100,MATCH($Y221,'Weapons Database'!$A$2:$A$100,0)),""))</x:f>
      </x:c>
      <x:c r="AA221" t="str">
        <x:f>IF($Y221="","","Weapons Database")</x:f>
      </x:c>
    </x:row>
    <x:row r="222">
      <x:c r="Z222" t="str">
        <x:f>IF($Y222="","",IFERROR(INDEX('Weapons Database'!$C$2:$C$100,MATCH($Y222,'Weapons Database'!$A$2:$A$100,0))&amp;" "&amp;INDEX('Weapons Database'!$D$2:$D$100,MATCH($Y222,'Weapons Database'!$A$2:$A$100,0)),""))</x:f>
      </x:c>
      <x:c r="AA222" t="str">
        <x:f>IF($Y222="","","Weapons Database")</x:f>
      </x:c>
    </x:row>
    <x:row r="223">
      <x:c r="Z223" t="str">
        <x:f>IF($Y223="","",IFERROR(INDEX('Weapons Database'!$C$2:$C$100,MATCH($Y223,'Weapons Database'!$A$2:$A$100,0))&amp;" "&amp;INDEX('Weapons Database'!$D$2:$D$100,MATCH($Y223,'Weapons Database'!$A$2:$A$100,0)),""))</x:f>
      </x:c>
      <x:c r="AA223" t="str">
        <x:f>IF($Y223="","","Weapons Database")</x:f>
      </x:c>
    </x:row>
    <x:row r="224">
      <x:c r="Z224" t="str">
        <x:f>IF($Y224="","",IFERROR(INDEX('Weapons Database'!$C$2:$C$100,MATCH($Y224,'Weapons Database'!$A$2:$A$100,0))&amp;" "&amp;INDEX('Weapons Database'!$D$2:$D$100,MATCH($Y224,'Weapons Database'!$A$2:$A$100,0)),""))</x:f>
      </x:c>
      <x:c r="AA224" t="str">
        <x:f>IF($Y224="","","Weapons Database")</x:f>
      </x:c>
    </x:row>
    <x:row r="225">
      <x:c r="Z225" t="str">
        <x:f>IF($Y225="","",IFERROR(INDEX('Weapons Database'!$C$2:$C$100,MATCH($Y225,'Weapons Database'!$A$2:$A$100,0))&amp;" "&amp;INDEX('Weapons Database'!$D$2:$D$100,MATCH($Y225,'Weapons Database'!$A$2:$A$100,0)),""))</x:f>
      </x:c>
      <x:c r="AA225" t="str">
        <x:f>IF($Y225="","","Weapons Database")</x:f>
      </x:c>
    </x:row>
    <x:row r="226">
      <x:c r="Z226" t="str">
        <x:f>IF($Y226="","",IFERROR(INDEX('Weapons Database'!$C$2:$C$100,MATCH($Y226,'Weapons Database'!$A$2:$A$100,0))&amp;" "&amp;INDEX('Weapons Database'!$D$2:$D$100,MATCH($Y226,'Weapons Database'!$A$2:$A$100,0)),""))</x:f>
      </x:c>
      <x:c r="AA226" t="str">
        <x:f>IF($Y226="","","Weapons Database")</x:f>
      </x:c>
    </x:row>
    <x:row r="227">
      <x:c r="Z227" t="str">
        <x:f>IF($Y227="","",IFERROR(INDEX('Weapons Database'!$C$2:$C$100,MATCH($Y227,'Weapons Database'!$A$2:$A$100,0))&amp;" "&amp;INDEX('Weapons Database'!$D$2:$D$100,MATCH($Y227,'Weapons Database'!$A$2:$A$100,0)),""))</x:f>
      </x:c>
      <x:c r="AA227" t="str">
        <x:f>IF($Y227="","","Weapons Database")</x:f>
      </x:c>
    </x:row>
    <x:row r="228">
      <x:c r="Z228" t="str">
        <x:f>IF($Y228="","",IFERROR(INDEX('Weapons Database'!$C$2:$C$100,MATCH($Y228,'Weapons Database'!$A$2:$A$100,0))&amp;" "&amp;INDEX('Weapons Database'!$D$2:$D$100,MATCH($Y228,'Weapons Database'!$A$2:$A$100,0)),""))</x:f>
      </x:c>
      <x:c r="AA228" t="str">
        <x:f>IF($Y228="","","Weapons Database")</x:f>
      </x:c>
    </x:row>
    <x:row r="229">
      <x:c r="Z229" t="str">
        <x:f>IF($Y229="","",IFERROR(INDEX('Weapons Database'!$C$2:$C$100,MATCH($Y229,'Weapons Database'!$A$2:$A$100,0))&amp;" "&amp;INDEX('Weapons Database'!$D$2:$D$100,MATCH($Y229,'Weapons Database'!$A$2:$A$100,0)),""))</x:f>
      </x:c>
      <x:c r="AA229" t="str">
        <x:f>IF($Y229="","","Weapons Database")</x:f>
      </x:c>
    </x:row>
    <x:row r="230">
      <x:c r="Z230" t="str">
        <x:f>IF($Y230="","",IFERROR(INDEX('Weapons Database'!$C$2:$C$100,MATCH($Y230,'Weapons Database'!$A$2:$A$100,0))&amp;" "&amp;INDEX('Weapons Database'!$D$2:$D$100,MATCH($Y230,'Weapons Database'!$A$2:$A$100,0)),""))</x:f>
      </x:c>
      <x:c r="AA230" t="str">
        <x:f>IF($Y230="","","Weapons Database")</x:f>
      </x:c>
    </x:row>
    <x:row r="231">
      <x:c r="Z231" t="str">
        <x:f>IF($Y231="","",IFERROR(INDEX('Weapons Database'!$C$2:$C$100,MATCH($Y231,'Weapons Database'!$A$2:$A$100,0))&amp;" "&amp;INDEX('Weapons Database'!$D$2:$D$100,MATCH($Y231,'Weapons Database'!$A$2:$A$100,0)),""))</x:f>
      </x:c>
      <x:c r="AA231" t="str">
        <x:f>IF($Y231="","","Weapons Database")</x:f>
      </x:c>
    </x:row>
    <x:row r="232">
      <x:c r="Z232" t="str">
        <x:f>IF($Y232="","",IFERROR(INDEX('Weapons Database'!$C$2:$C$100,MATCH($Y232,'Weapons Database'!$A$2:$A$100,0))&amp;" "&amp;INDEX('Weapons Database'!$D$2:$D$100,MATCH($Y232,'Weapons Database'!$A$2:$A$100,0)),""))</x:f>
      </x:c>
      <x:c r="AA232" t="str">
        <x:f>IF($Y232="","","Weapons Database")</x:f>
      </x:c>
    </x:row>
    <x:row r="233">
      <x:c r="Z233" t="str">
        <x:f>IF($Y233="","",IFERROR(INDEX('Weapons Database'!$C$2:$C$100,MATCH($Y233,'Weapons Database'!$A$2:$A$100,0))&amp;" "&amp;INDEX('Weapons Database'!$D$2:$D$100,MATCH($Y233,'Weapons Database'!$A$2:$A$100,0)),""))</x:f>
      </x:c>
      <x:c r="AA233" t="str">
        <x:f>IF($Y233="","","Weapons Database")</x:f>
      </x:c>
    </x:row>
    <x:row r="234">
      <x:c r="Z234" t="str">
        <x:f>IF($Y234="","",IFERROR(INDEX('Weapons Database'!$C$2:$C$100,MATCH($Y234,'Weapons Database'!$A$2:$A$100,0))&amp;" "&amp;INDEX('Weapons Database'!$D$2:$D$100,MATCH($Y234,'Weapons Database'!$A$2:$A$100,0)),""))</x:f>
      </x:c>
      <x:c r="AA234" t="str">
        <x:f>IF($Y234="","","Weapons Database")</x:f>
      </x:c>
    </x:row>
    <x:row r="235">
      <x:c r="Z235" t="str">
        <x:f>IF($Y235="","",IFERROR(INDEX('Weapons Database'!$C$2:$C$100,MATCH($Y235,'Weapons Database'!$A$2:$A$100,0))&amp;" "&amp;INDEX('Weapons Database'!$D$2:$D$100,MATCH($Y235,'Weapons Database'!$A$2:$A$100,0)),""))</x:f>
      </x:c>
      <x:c r="AA235" t="str">
        <x:f>IF($Y235="","","Weapons Database")</x:f>
      </x:c>
    </x:row>
    <x:row r="236">
      <x:c r="Z236" t="str">
        <x:f>IF($Y236="","",IFERROR(INDEX('Weapons Database'!$C$2:$C$100,MATCH($Y236,'Weapons Database'!$A$2:$A$100,0))&amp;" "&amp;INDEX('Weapons Database'!$D$2:$D$100,MATCH($Y236,'Weapons Database'!$A$2:$A$100,0)),""))</x:f>
      </x:c>
      <x:c r="AA236" t="str">
        <x:f>IF($Y236="","","Weapons Database")</x:f>
      </x:c>
    </x:row>
    <x:row r="237">
      <x:c r="Z237" t="str">
        <x:f>IF($Y237="","",IFERROR(INDEX('Weapons Database'!$C$2:$C$100,MATCH($Y237,'Weapons Database'!$A$2:$A$100,0))&amp;" "&amp;INDEX('Weapons Database'!$D$2:$D$100,MATCH($Y237,'Weapons Database'!$A$2:$A$100,0)),""))</x:f>
      </x:c>
      <x:c r="AA237" t="str">
        <x:f>IF($Y237="","","Weapons Database")</x:f>
      </x:c>
    </x:row>
    <x:row r="238">
      <x:c r="Z238" t="str">
        <x:f>IF($Y238="","",IFERROR(INDEX('Weapons Database'!$C$2:$C$100,MATCH($Y238,'Weapons Database'!$A$2:$A$100,0))&amp;" "&amp;INDEX('Weapons Database'!$D$2:$D$100,MATCH($Y238,'Weapons Database'!$A$2:$A$100,0)),""))</x:f>
      </x:c>
      <x:c r="AA238" t="str">
        <x:f>IF($Y238="","","Weapons Database")</x:f>
      </x:c>
    </x:row>
    <x:row r="239">
      <x:c r="Z239" t="str">
        <x:f>IF($Y239="","",IFERROR(INDEX('Weapons Database'!$C$2:$C$100,MATCH($Y239,'Weapons Database'!$A$2:$A$100,0))&amp;" "&amp;INDEX('Weapons Database'!$D$2:$D$100,MATCH($Y239,'Weapons Database'!$A$2:$A$100,0)),""))</x:f>
      </x:c>
      <x:c r="AA239" t="str">
        <x:f>IF($Y239="","","Weapons Database")</x:f>
      </x:c>
    </x:row>
    <x:row r="240">
      <x:c r="Z240" t="str">
        <x:f>IF($Y240="","",IFERROR(INDEX('Weapons Database'!$C$2:$C$100,MATCH($Y240,'Weapons Database'!$A$2:$A$100,0))&amp;" "&amp;INDEX('Weapons Database'!$D$2:$D$100,MATCH($Y240,'Weapons Database'!$A$2:$A$100,0)),""))</x:f>
      </x:c>
      <x:c r="AA240" t="str">
        <x:f>IF($Y240="","","Weapons Database")</x:f>
      </x:c>
    </x:row>
    <x:row r="241">
      <x:c r="Z241" t="str">
        <x:f>IF($Y241="","",IFERROR(INDEX('Weapons Database'!$C$2:$C$100,MATCH($Y241,'Weapons Database'!$A$2:$A$100,0))&amp;" "&amp;INDEX('Weapons Database'!$D$2:$D$100,MATCH($Y241,'Weapons Database'!$A$2:$A$100,0)),""))</x:f>
      </x:c>
      <x:c r="AA241" t="str">
        <x:f>IF($Y241="","","Weapons Database")</x:f>
      </x:c>
    </x:row>
    <x:row r="242">
      <x:c r="Z242" t="str">
        <x:f>IF($Y242="","",IFERROR(INDEX('Weapons Database'!$C$2:$C$100,MATCH($Y242,'Weapons Database'!$A$2:$A$100,0))&amp;" "&amp;INDEX('Weapons Database'!$D$2:$D$100,MATCH($Y242,'Weapons Database'!$A$2:$A$100,0)),""))</x:f>
      </x:c>
      <x:c r="AA242" t="str">
        <x:f>IF($Y242="","","Weapons Database")</x:f>
      </x:c>
    </x:row>
    <x:row r="243">
      <x:c r="Z243" t="str">
        <x:f>IF($Y243="","",IFERROR(INDEX('Weapons Database'!$C$2:$C$100,MATCH($Y243,'Weapons Database'!$A$2:$A$100,0))&amp;" "&amp;INDEX('Weapons Database'!$D$2:$D$100,MATCH($Y243,'Weapons Database'!$A$2:$A$100,0)),""))</x:f>
      </x:c>
      <x:c r="AA243" t="str">
        <x:f>IF($Y243="","","Weapons Database")</x:f>
      </x:c>
    </x:row>
    <x:row r="244">
      <x:c r="Z244" t="str">
        <x:f>IF($Y244="","",IFERROR(INDEX('Weapons Database'!$C$2:$C$100,MATCH($Y244,'Weapons Database'!$A$2:$A$100,0))&amp;" "&amp;INDEX('Weapons Database'!$D$2:$D$100,MATCH($Y244,'Weapons Database'!$A$2:$A$100,0)),""))</x:f>
      </x:c>
      <x:c r="AA244" t="str">
        <x:f>IF($Y244="","","Weapons Database")</x:f>
      </x:c>
    </x:row>
    <x:row r="245">
      <x:c r="Z245" t="str">
        <x:f>IF($Y245="","",IFERROR(INDEX('Weapons Database'!$C$2:$C$100,MATCH($Y245,'Weapons Database'!$A$2:$A$100,0))&amp;" "&amp;INDEX('Weapons Database'!$D$2:$D$100,MATCH($Y245,'Weapons Database'!$A$2:$A$100,0)),""))</x:f>
      </x:c>
      <x:c r="AA245" t="str">
        <x:f>IF($Y245="","","Weapons Database")</x:f>
      </x:c>
    </x:row>
    <x:row r="246">
      <x:c r="Z246" t="str">
        <x:f>IF($Y246="","",IFERROR(INDEX('Weapons Database'!$C$2:$C$100,MATCH($Y246,'Weapons Database'!$A$2:$A$100,0))&amp;" "&amp;INDEX('Weapons Database'!$D$2:$D$100,MATCH($Y246,'Weapons Database'!$A$2:$A$100,0)),""))</x:f>
      </x:c>
      <x:c r="AA246" t="str">
        <x:f>IF($Y246="","","Weapons Database")</x:f>
      </x:c>
    </x:row>
    <x:row r="247">
      <x:c r="Z247" t="str">
        <x:f>IF($Y247="","",IFERROR(INDEX('Weapons Database'!$C$2:$C$100,MATCH($Y247,'Weapons Database'!$A$2:$A$100,0))&amp;" "&amp;INDEX('Weapons Database'!$D$2:$D$100,MATCH($Y247,'Weapons Database'!$A$2:$A$100,0)),""))</x:f>
      </x:c>
      <x:c r="AA247" t="str">
        <x:f>IF($Y247="","","Weapons Database")</x:f>
      </x:c>
    </x:row>
    <x:row r="248">
      <x:c r="Z248" t="str">
        <x:f>IF($Y248="","",IFERROR(INDEX('Weapons Database'!$C$2:$C$100,MATCH($Y248,'Weapons Database'!$A$2:$A$100,0))&amp;" "&amp;INDEX('Weapons Database'!$D$2:$D$100,MATCH($Y248,'Weapons Database'!$A$2:$A$100,0)),""))</x:f>
      </x:c>
      <x:c r="AA248" t="str">
        <x:f>IF($Y248="","","Weapons Database")</x:f>
      </x:c>
    </x:row>
    <x:row r="249">
      <x:c r="Z249" t="str">
        <x:f>IF($Y249="","",IFERROR(INDEX('Weapons Database'!$C$2:$C$100,MATCH($Y249,'Weapons Database'!$A$2:$A$100,0))&amp;" "&amp;INDEX('Weapons Database'!$D$2:$D$100,MATCH($Y249,'Weapons Database'!$A$2:$A$100,0)),""))</x:f>
      </x:c>
      <x:c r="AA249" t="str">
        <x:f>IF($Y249="","","Weapons Database")</x:f>
      </x:c>
    </x:row>
    <x:row r="250">
      <x:c r="Z250" t="str">
        <x:f>IF($Y250="","",IFERROR(INDEX('Weapons Database'!$C$2:$C$100,MATCH($Y250,'Weapons Database'!$A$2:$A$100,0))&amp;" "&amp;INDEX('Weapons Database'!$D$2:$D$100,MATCH($Y250,'Weapons Database'!$A$2:$A$100,0)),""))</x:f>
      </x:c>
      <x:c r="AA250" t="str">
        <x:f>IF($Y250="","","Weapons Database")</x:f>
      </x:c>
    </x:row>
    <x:row r="251">
      <x:c r="Z251" t="str">
        <x:f>IF($Y251="","",IFERROR(INDEX('Weapons Database'!$C$2:$C$100,MATCH($Y251,'Weapons Database'!$A$2:$A$100,0))&amp;" "&amp;INDEX('Weapons Database'!$D$2:$D$100,MATCH($Y251,'Weapons Database'!$A$2:$A$100,0)),""))</x:f>
      </x:c>
      <x:c r="AA251" t="str">
        <x:f>IF($Y251="","","Weapons Database")</x:f>
      </x:c>
    </x:row>
    <x:row r="252">
      <x:c r="Z252" t="str">
        <x:f>IF($Y252="","",IFERROR(INDEX('Weapons Database'!$C$2:$C$100,MATCH($Y252,'Weapons Database'!$A$2:$A$100,0))&amp;" "&amp;INDEX('Weapons Database'!$D$2:$D$100,MATCH($Y252,'Weapons Database'!$A$2:$A$100,0)),""))</x:f>
      </x:c>
      <x:c r="AA252" t="str">
        <x:f>IF($Y252="","","Weapons Database")</x:f>
      </x:c>
    </x:row>
    <x:row r="253">
      <x:c r="Z253" t="str">
        <x:f>IF($Y253="","",IFERROR(INDEX('Weapons Database'!$C$2:$C$100,MATCH($Y253,'Weapons Database'!$A$2:$A$100,0))&amp;" "&amp;INDEX('Weapons Database'!$D$2:$D$100,MATCH($Y253,'Weapons Database'!$A$2:$A$100,0)),""))</x:f>
      </x:c>
      <x:c r="AA253" t="str">
        <x:f>IF($Y253="","","Weapons Database")</x:f>
      </x:c>
    </x:row>
    <x:row r="254">
      <x:c r="Z254" t="str">
        <x:f>IF($Y254="","",IFERROR(INDEX('Weapons Database'!$C$2:$C$100,MATCH($Y254,'Weapons Database'!$A$2:$A$100,0))&amp;" "&amp;INDEX('Weapons Database'!$D$2:$D$100,MATCH($Y254,'Weapons Database'!$A$2:$A$100,0)),""))</x:f>
      </x:c>
      <x:c r="AA254" t="str">
        <x:f>IF($Y254="","","Weapons Database")</x:f>
      </x:c>
    </x:row>
    <x:row r="255">
      <x:c r="Z255" t="str">
        <x:f>IF($Y255="","",IFERROR(INDEX('Weapons Database'!$C$2:$C$100,MATCH($Y255,'Weapons Database'!$A$2:$A$100,0))&amp;" "&amp;INDEX('Weapons Database'!$D$2:$D$100,MATCH($Y255,'Weapons Database'!$A$2:$A$100,0)),""))</x:f>
      </x:c>
      <x:c r="AA255" t="str">
        <x:f>IF($Y255="","","Weapons Database")</x:f>
      </x:c>
    </x:row>
    <x:row r="256">
      <x:c r="Z256" t="str">
        <x:f>IF($Y256="","",IFERROR(INDEX('Weapons Database'!$C$2:$C$100,MATCH($Y256,'Weapons Database'!$A$2:$A$100,0))&amp;" "&amp;INDEX('Weapons Database'!$D$2:$D$100,MATCH($Y256,'Weapons Database'!$A$2:$A$100,0)),""))</x:f>
      </x:c>
      <x:c r="AA256" t="str">
        <x:f>IF($Y256="","","Weapons Database")</x:f>
      </x:c>
    </x:row>
    <x:row r="257">
      <x:c r="Z257" t="str">
        <x:f>IF($Y257="","",IFERROR(INDEX('Weapons Database'!$C$2:$C$100,MATCH($Y257,'Weapons Database'!$A$2:$A$100,0))&amp;" "&amp;INDEX('Weapons Database'!$D$2:$D$100,MATCH($Y257,'Weapons Database'!$A$2:$A$100,0)),""))</x:f>
      </x:c>
      <x:c r="AA257" t="str">
        <x:f>IF($Y257="","","Weapons Database")</x:f>
      </x:c>
    </x:row>
    <x:row r="258">
      <x:c r="Z258" t="str">
        <x:f>IF($Y258="","",IFERROR(INDEX('Weapons Database'!$C$2:$C$100,MATCH($Y258,'Weapons Database'!$A$2:$A$100,0))&amp;" "&amp;INDEX('Weapons Database'!$D$2:$D$100,MATCH($Y258,'Weapons Database'!$A$2:$A$100,0)),""))</x:f>
      </x:c>
      <x:c r="AA258" t="str">
        <x:f>IF($Y258="","","Weapons Database")</x:f>
      </x:c>
    </x:row>
    <x:row r="259">
      <x:c r="Z259" t="str">
        <x:f>IF($Y259="","",IFERROR(INDEX('Weapons Database'!$C$2:$C$100,MATCH($Y259,'Weapons Database'!$A$2:$A$100,0))&amp;" "&amp;INDEX('Weapons Database'!$D$2:$D$100,MATCH($Y259,'Weapons Database'!$A$2:$A$100,0)),""))</x:f>
      </x:c>
      <x:c r="AA259" t="str">
        <x:f>IF($Y259="","","Weapons Database")</x:f>
      </x:c>
    </x:row>
    <x:row r="260">
      <x:c r="Z260" t="str">
        <x:f>IF($Y260="","",IFERROR(INDEX('Weapons Database'!$C$2:$C$100,MATCH($Y260,'Weapons Database'!$A$2:$A$100,0))&amp;" "&amp;INDEX('Weapons Database'!$D$2:$D$100,MATCH($Y260,'Weapons Database'!$A$2:$A$100,0)),""))</x:f>
      </x:c>
      <x:c r="AA260" t="str">
        <x:f>IF($Y260="","","Weapons Database")</x:f>
      </x:c>
    </x:row>
    <x:row r="261">
      <x:c r="Z261" t="str">
        <x:f>IF($Y261="","",IFERROR(INDEX('Weapons Database'!$C$2:$C$100,MATCH($Y261,'Weapons Database'!$A$2:$A$100,0))&amp;" "&amp;INDEX('Weapons Database'!$D$2:$D$100,MATCH($Y261,'Weapons Database'!$A$2:$A$100,0)),""))</x:f>
      </x:c>
      <x:c r="AA261" t="str">
        <x:f>IF($Y261="","","Weapons Database")</x:f>
      </x:c>
    </x:row>
    <x:row r="262">
      <x:c r="Z262" t="str">
        <x:f>IF($Y262="","",IFERROR(INDEX('Weapons Database'!$C$2:$C$100,MATCH($Y262,'Weapons Database'!$A$2:$A$100,0))&amp;" "&amp;INDEX('Weapons Database'!$D$2:$D$100,MATCH($Y262,'Weapons Database'!$A$2:$A$100,0)),""))</x:f>
      </x:c>
      <x:c r="AA262" t="str">
        <x:f>IF($Y262="","","Weapons Database")</x:f>
      </x:c>
    </x:row>
    <x:row r="263">
      <x:c r="Z263" t="str">
        <x:f>IF($Y263="","",IFERROR(INDEX('Weapons Database'!$C$2:$C$100,MATCH($Y263,'Weapons Database'!$A$2:$A$100,0))&amp;" "&amp;INDEX('Weapons Database'!$D$2:$D$100,MATCH($Y263,'Weapons Database'!$A$2:$A$100,0)),""))</x:f>
      </x:c>
      <x:c r="AA263" t="str">
        <x:f>IF($Y263="","","Weapons Database")</x:f>
      </x:c>
    </x:row>
    <x:row r="264">
      <x:c r="Z264" t="str">
        <x:f>IF($Y264="","",IFERROR(INDEX('Weapons Database'!$C$2:$C$100,MATCH($Y264,'Weapons Database'!$A$2:$A$100,0))&amp;" "&amp;INDEX('Weapons Database'!$D$2:$D$100,MATCH($Y264,'Weapons Database'!$A$2:$A$100,0)),""))</x:f>
      </x:c>
      <x:c r="AA264" t="str">
        <x:f>IF($Y264="","","Weapons Database")</x:f>
      </x:c>
    </x:row>
    <x:row r="265">
      <x:c r="Z265" t="str">
        <x:f>IF($Y265="","",IFERROR(INDEX('Weapons Database'!$C$2:$C$100,MATCH($Y265,'Weapons Database'!$A$2:$A$100,0))&amp;" "&amp;INDEX('Weapons Database'!$D$2:$D$100,MATCH($Y265,'Weapons Database'!$A$2:$A$100,0)),""))</x:f>
      </x:c>
      <x:c r="AA265" t="str">
        <x:f>IF($Y265="","","Weapons Database")</x:f>
      </x:c>
    </x:row>
    <x:row r="266">
      <x:c r="Z266" t="str">
        <x:f>IF($Y266="","",IFERROR(INDEX('Weapons Database'!$C$2:$C$100,MATCH($Y266,'Weapons Database'!$A$2:$A$100,0))&amp;" "&amp;INDEX('Weapons Database'!$D$2:$D$100,MATCH($Y266,'Weapons Database'!$A$2:$A$100,0)),""))</x:f>
      </x:c>
      <x:c r="AA266" t="str">
        <x:f>IF($Y266="","","Weapons Database")</x:f>
      </x:c>
    </x:row>
    <x:row r="267">
      <x:c r="Z267" t="str">
        <x:f>IF($Y267="","",IFERROR(INDEX('Weapons Database'!$C$2:$C$100,MATCH($Y267,'Weapons Database'!$A$2:$A$100,0))&amp;" "&amp;INDEX('Weapons Database'!$D$2:$D$100,MATCH($Y267,'Weapons Database'!$A$2:$A$100,0)),""))</x:f>
      </x:c>
      <x:c r="AA267" t="str">
        <x:f>IF($Y267="","","Weapons Database")</x:f>
      </x:c>
    </x:row>
    <x:row r="268">
      <x:c r="Z268" t="str">
        <x:f>IF($Y268="","",IFERROR(INDEX('Weapons Database'!$C$2:$C$100,MATCH($Y268,'Weapons Database'!$A$2:$A$100,0))&amp;" "&amp;INDEX('Weapons Database'!$D$2:$D$100,MATCH($Y268,'Weapons Database'!$A$2:$A$100,0)),""))</x:f>
      </x:c>
      <x:c r="AA268" t="str">
        <x:f>IF($Y268="","","Weapons Database")</x:f>
      </x:c>
    </x:row>
    <x:row r="269">
      <x:c r="Z269" t="str">
        <x:f>IF($Y269="","",IFERROR(INDEX('Weapons Database'!$C$2:$C$100,MATCH($Y269,'Weapons Database'!$A$2:$A$100,0))&amp;" "&amp;INDEX('Weapons Database'!$D$2:$D$100,MATCH($Y269,'Weapons Database'!$A$2:$A$100,0)),""))</x:f>
      </x:c>
      <x:c r="AA269" t="str">
        <x:f>IF($Y269="","","Weapons Database")</x:f>
      </x:c>
    </x:row>
    <x:row r="270">
      <x:c r="Z270" t="str">
        <x:f>IF($Y270="","",IFERROR(INDEX('Weapons Database'!$C$2:$C$100,MATCH($Y270,'Weapons Database'!$A$2:$A$100,0))&amp;" "&amp;INDEX('Weapons Database'!$D$2:$D$100,MATCH($Y270,'Weapons Database'!$A$2:$A$100,0)),""))</x:f>
      </x:c>
      <x:c r="AA270" t="str">
        <x:f>IF($Y270="","","Weapons Database")</x:f>
      </x:c>
    </x:row>
    <x:row r="271">
      <x:c r="Z271" t="str">
        <x:f>IF($Y271="","",IFERROR(INDEX('Weapons Database'!$C$2:$C$100,MATCH($Y271,'Weapons Database'!$A$2:$A$100,0))&amp;" "&amp;INDEX('Weapons Database'!$D$2:$D$100,MATCH($Y271,'Weapons Database'!$A$2:$A$100,0)),""))</x:f>
      </x:c>
      <x:c r="AA271" t="str">
        <x:f>IF($Y271="","","Weapons Database")</x:f>
      </x:c>
    </x:row>
    <x:row r="272">
      <x:c r="Z272" t="str">
        <x:f>IF($Y272="","",IFERROR(INDEX('Weapons Database'!$C$2:$C$100,MATCH($Y272,'Weapons Database'!$A$2:$A$100,0))&amp;" "&amp;INDEX('Weapons Database'!$D$2:$D$100,MATCH($Y272,'Weapons Database'!$A$2:$A$100,0)),""))</x:f>
      </x:c>
      <x:c r="AA272" t="str">
        <x:f>IF($Y272="","","Weapons Database")</x:f>
      </x:c>
    </x:row>
    <x:row r="273">
      <x:c r="Z273" t="str">
        <x:f>IF($Y273="","",IFERROR(INDEX('Weapons Database'!$C$2:$C$100,MATCH($Y273,'Weapons Database'!$A$2:$A$100,0))&amp;" "&amp;INDEX('Weapons Database'!$D$2:$D$100,MATCH($Y273,'Weapons Database'!$A$2:$A$100,0)),""))</x:f>
      </x:c>
      <x:c r="AA273" t="str">
        <x:f>IF($Y273="","","Weapons Database")</x:f>
      </x:c>
    </x:row>
    <x:row r="274">
      <x:c r="Z274" t="str">
        <x:f>IF($Y274="","",IFERROR(INDEX('Weapons Database'!$C$2:$C$100,MATCH($Y274,'Weapons Database'!$A$2:$A$100,0))&amp;" "&amp;INDEX('Weapons Database'!$D$2:$D$100,MATCH($Y274,'Weapons Database'!$A$2:$A$100,0)),""))</x:f>
      </x:c>
      <x:c r="AA274" t="str">
        <x:f>IF($Y274="","","Weapons Database")</x:f>
      </x:c>
    </x:row>
    <x:row r="275">
      <x:c r="Z275" t="str">
        <x:f>IF($Y275="","",IFERROR(INDEX('Weapons Database'!$C$2:$C$100,MATCH($Y275,'Weapons Database'!$A$2:$A$100,0))&amp;" "&amp;INDEX('Weapons Database'!$D$2:$D$100,MATCH($Y275,'Weapons Database'!$A$2:$A$100,0)),""))</x:f>
      </x:c>
      <x:c r="AA275" t="str">
        <x:f>IF($Y275="","","Weapons Database")</x:f>
      </x:c>
    </x:row>
    <x:row r="276">
      <x:c r="Z276" t="str">
        <x:f>IF($Y276="","",IFERROR(INDEX('Weapons Database'!$C$2:$C$100,MATCH($Y276,'Weapons Database'!$A$2:$A$100,0))&amp;" "&amp;INDEX('Weapons Database'!$D$2:$D$100,MATCH($Y276,'Weapons Database'!$A$2:$A$100,0)),""))</x:f>
      </x:c>
      <x:c r="AA276" t="str">
        <x:f>IF($Y276="","","Weapons Database")</x:f>
      </x:c>
    </x:row>
    <x:row r="277">
      <x:c r="Z277" t="str">
        <x:f>IF($Y277="","",IFERROR(INDEX('Weapons Database'!$C$2:$C$100,MATCH($Y277,'Weapons Database'!$A$2:$A$100,0))&amp;" "&amp;INDEX('Weapons Database'!$D$2:$D$100,MATCH($Y277,'Weapons Database'!$A$2:$A$100,0)),""))</x:f>
      </x:c>
      <x:c r="AA277" t="str">
        <x:f>IF($Y277="","","Weapons Database")</x:f>
      </x:c>
    </x:row>
    <x:row r="278">
      <x:c r="Z278" t="str">
        <x:f>IF($Y278="","",IFERROR(INDEX('Weapons Database'!$C$2:$C$100,MATCH($Y278,'Weapons Database'!$A$2:$A$100,0))&amp;" "&amp;INDEX('Weapons Database'!$D$2:$D$100,MATCH($Y278,'Weapons Database'!$A$2:$A$100,0)),""))</x:f>
      </x:c>
      <x:c r="AA278" t="str">
        <x:f>IF($Y278="","","Weapons Database")</x:f>
      </x:c>
    </x:row>
    <x:row r="279">
      <x:c r="Z279" t="str">
        <x:f>IF($Y279="","",IFERROR(INDEX('Weapons Database'!$C$2:$C$100,MATCH($Y279,'Weapons Database'!$A$2:$A$100,0))&amp;" "&amp;INDEX('Weapons Database'!$D$2:$D$100,MATCH($Y279,'Weapons Database'!$A$2:$A$100,0)),""))</x:f>
      </x:c>
      <x:c r="AA279" t="str">
        <x:f>IF($Y279="","","Weapons Database")</x:f>
      </x:c>
    </x:row>
    <x:row r="280">
      <x:c r="Z280" t="str">
        <x:f>IF($Y280="","",IFERROR(INDEX('Weapons Database'!$C$2:$C$100,MATCH($Y280,'Weapons Database'!$A$2:$A$100,0))&amp;" "&amp;INDEX('Weapons Database'!$D$2:$D$100,MATCH($Y280,'Weapons Database'!$A$2:$A$100,0)),""))</x:f>
      </x:c>
      <x:c r="AA280" t="str">
        <x:f>IF($Y280="","","Weapons Database")</x:f>
      </x:c>
    </x:row>
    <x:row r="281">
      <x:c r="Z281" t="str">
        <x:f>IF($Y281="","",IFERROR(INDEX('Weapons Database'!$C$2:$C$100,MATCH($Y281,'Weapons Database'!$A$2:$A$100,0))&amp;" "&amp;INDEX('Weapons Database'!$D$2:$D$100,MATCH($Y281,'Weapons Database'!$A$2:$A$100,0)),""))</x:f>
      </x:c>
      <x:c r="AA281" t="str">
        <x:f>IF($Y281="","","Weapons Database")</x:f>
      </x:c>
    </x:row>
    <x:row r="282">
      <x:c r="Z282" t="str">
        <x:f>IF($Y282="","",IFERROR(INDEX('Weapons Database'!$C$2:$C$100,MATCH($Y282,'Weapons Database'!$A$2:$A$100,0))&amp;" "&amp;INDEX('Weapons Database'!$D$2:$D$100,MATCH($Y282,'Weapons Database'!$A$2:$A$100,0)),""))</x:f>
      </x:c>
      <x:c r="AA282" t="str">
        <x:f>IF($Y282="","","Weapons Database")</x:f>
      </x:c>
    </x:row>
    <x:row r="283">
      <x:c r="Z283" t="str">
        <x:f>IF($Y283="","",IFERROR(INDEX('Weapons Database'!$C$2:$C$100,MATCH($Y283,'Weapons Database'!$A$2:$A$100,0))&amp;" "&amp;INDEX('Weapons Database'!$D$2:$D$100,MATCH($Y283,'Weapons Database'!$A$2:$A$100,0)),""))</x:f>
      </x:c>
      <x:c r="AA283" t="str">
        <x:f>IF($Y283="","","Weapons Database")</x:f>
      </x:c>
    </x:row>
    <x:row r="284">
      <x:c r="Z284" t="str">
        <x:f>IF($Y284="","",IFERROR(INDEX('Weapons Database'!$C$2:$C$100,MATCH($Y284,'Weapons Database'!$A$2:$A$100,0))&amp;" "&amp;INDEX('Weapons Database'!$D$2:$D$100,MATCH($Y284,'Weapons Database'!$A$2:$A$100,0)),""))</x:f>
      </x:c>
      <x:c r="AA284" t="str">
        <x:f>IF($Y284="","","Weapons Database")</x:f>
      </x:c>
    </x:row>
    <x:row r="285">
      <x:c r="Z285" t="str">
        <x:f>IF($Y285="","",IFERROR(INDEX('Weapons Database'!$C$2:$C$100,MATCH($Y285,'Weapons Database'!$A$2:$A$100,0))&amp;" "&amp;INDEX('Weapons Database'!$D$2:$D$100,MATCH($Y285,'Weapons Database'!$A$2:$A$100,0)),""))</x:f>
      </x:c>
      <x:c r="AA285" t="str">
        <x:f>IF($Y285="","","Weapons Database")</x:f>
      </x:c>
    </x:row>
    <x:row r="286">
      <x:c r="Z286" t="str">
        <x:f>IF($Y286="","",IFERROR(INDEX('Weapons Database'!$C$2:$C$100,MATCH($Y286,'Weapons Database'!$A$2:$A$100,0))&amp;" "&amp;INDEX('Weapons Database'!$D$2:$D$100,MATCH($Y286,'Weapons Database'!$A$2:$A$100,0)),""))</x:f>
      </x:c>
      <x:c r="AA286" t="str">
        <x:f>IF($Y286="","","Weapons Database")</x:f>
      </x:c>
    </x:row>
    <x:row r="287">
      <x:c r="Z287" t="str">
        <x:f>IF($Y287="","",IFERROR(INDEX('Weapons Database'!$C$2:$C$100,MATCH($Y287,'Weapons Database'!$A$2:$A$100,0))&amp;" "&amp;INDEX('Weapons Database'!$D$2:$D$100,MATCH($Y287,'Weapons Database'!$A$2:$A$100,0)),""))</x:f>
      </x:c>
      <x:c r="AA287" t="str">
        <x:f>IF($Y287="","","Weapons Database")</x:f>
      </x:c>
    </x:row>
    <x:row r="288">
      <x:c r="Z288" t="str">
        <x:f>IF($Y288="","",IFERROR(INDEX('Weapons Database'!$C$2:$C$100,MATCH($Y288,'Weapons Database'!$A$2:$A$100,0))&amp;" "&amp;INDEX('Weapons Database'!$D$2:$D$100,MATCH($Y288,'Weapons Database'!$A$2:$A$100,0)),""))</x:f>
      </x:c>
      <x:c r="AA288" t="str">
        <x:f>IF($Y288="","","Weapons Database")</x:f>
      </x:c>
    </x:row>
    <x:row r="289">
      <x:c r="Z289" t="str">
        <x:f>IF($Y289="","",IFERROR(INDEX('Weapons Database'!$C$2:$C$100,MATCH($Y289,'Weapons Database'!$A$2:$A$100,0))&amp;" "&amp;INDEX('Weapons Database'!$D$2:$D$100,MATCH($Y289,'Weapons Database'!$A$2:$A$100,0)),""))</x:f>
      </x:c>
      <x:c r="AA289" t="str">
        <x:f>IF($Y289="","","Weapons Database")</x:f>
      </x:c>
    </x:row>
    <x:row r="290">
      <x:c r="Z290" t="str">
        <x:f>IF($Y290="","",IFERROR(INDEX('Weapons Database'!$C$2:$C$100,MATCH($Y290,'Weapons Database'!$A$2:$A$100,0))&amp;" "&amp;INDEX('Weapons Database'!$D$2:$D$100,MATCH($Y290,'Weapons Database'!$A$2:$A$100,0)),""))</x:f>
      </x:c>
      <x:c r="AA290" t="str">
        <x:f>IF($Y290="","","Weapons Database")</x:f>
      </x:c>
    </x:row>
    <x:row r="291">
      <x:c r="Z291" t="str">
        <x:f>IF($Y291="","",IFERROR(INDEX('Weapons Database'!$C$2:$C$100,MATCH($Y291,'Weapons Database'!$A$2:$A$100,0))&amp;" "&amp;INDEX('Weapons Database'!$D$2:$D$100,MATCH($Y291,'Weapons Database'!$A$2:$A$100,0)),""))</x:f>
      </x:c>
      <x:c r="AA291" t="str">
        <x:f>IF($Y291="","","Weapons Database")</x:f>
      </x:c>
    </x:row>
    <x:row r="292">
      <x:c r="Z292" t="str">
        <x:f>IF($Y292="","",IFERROR(INDEX('Weapons Database'!$C$2:$C$100,MATCH($Y292,'Weapons Database'!$A$2:$A$100,0))&amp;" "&amp;INDEX('Weapons Database'!$D$2:$D$100,MATCH($Y292,'Weapons Database'!$A$2:$A$100,0)),""))</x:f>
      </x:c>
      <x:c r="AA292" t="str">
        <x:f>IF($Y292="","","Weapons Database")</x:f>
      </x:c>
    </x:row>
    <x:row r="293">
      <x:c r="Z293" t="str">
        <x:f>IF($Y293="","",IFERROR(INDEX('Weapons Database'!$C$2:$C$100,MATCH($Y293,'Weapons Database'!$A$2:$A$100,0))&amp;" "&amp;INDEX('Weapons Database'!$D$2:$D$100,MATCH($Y293,'Weapons Database'!$A$2:$A$100,0)),""))</x:f>
      </x:c>
      <x:c r="AA293" t="str">
        <x:f>IF($Y293="","","Weapons Database")</x:f>
      </x:c>
    </x:row>
    <x:row r="294">
      <x:c r="Z294" t="str">
        <x:f>IF($Y294="","",IFERROR(INDEX('Weapons Database'!$C$2:$C$100,MATCH($Y294,'Weapons Database'!$A$2:$A$100,0))&amp;" "&amp;INDEX('Weapons Database'!$D$2:$D$100,MATCH($Y294,'Weapons Database'!$A$2:$A$100,0)),""))</x:f>
      </x:c>
      <x:c r="AA294" t="str">
        <x:f>IF($Y294="","","Weapons Database")</x:f>
      </x:c>
    </x:row>
    <x:row r="295">
      <x:c r="Z295" t="str">
        <x:f>IF($Y295="","",IFERROR(INDEX('Weapons Database'!$C$2:$C$100,MATCH($Y295,'Weapons Database'!$A$2:$A$100,0))&amp;" "&amp;INDEX('Weapons Database'!$D$2:$D$100,MATCH($Y295,'Weapons Database'!$A$2:$A$100,0)),""))</x:f>
      </x:c>
      <x:c r="AA295" t="str">
        <x:f>IF($Y295="","","Weapons Database")</x:f>
      </x:c>
    </x:row>
    <x:row r="296">
      <x:c r="Z296" t="str">
        <x:f>IF($Y296="","",IFERROR(INDEX('Weapons Database'!$C$2:$C$100,MATCH($Y296,'Weapons Database'!$A$2:$A$100,0))&amp;" "&amp;INDEX('Weapons Database'!$D$2:$D$100,MATCH($Y296,'Weapons Database'!$A$2:$A$100,0)),""))</x:f>
      </x:c>
      <x:c r="AA296" t="str">
        <x:f>IF($Y296="","","Weapons Database")</x:f>
      </x:c>
    </x:row>
    <x:row r="297">
      <x:c r="Z297" t="str">
        <x:f>IF($Y297="","",IFERROR(INDEX('Weapons Database'!$C$2:$C$100,MATCH($Y297,'Weapons Database'!$A$2:$A$100,0))&amp;" "&amp;INDEX('Weapons Database'!$D$2:$D$100,MATCH($Y297,'Weapons Database'!$A$2:$A$100,0)),""))</x:f>
      </x:c>
      <x:c r="AA297" t="str">
        <x:f>IF($Y297="","","Weapons Database")</x:f>
      </x:c>
    </x:row>
    <x:row r="298">
      <x:c r="Z298" t="str">
        <x:f>IF($Y298="","",IFERROR(INDEX('Weapons Database'!$C$2:$C$100,MATCH($Y298,'Weapons Database'!$A$2:$A$100,0))&amp;" "&amp;INDEX('Weapons Database'!$D$2:$D$100,MATCH($Y298,'Weapons Database'!$A$2:$A$100,0)),""))</x:f>
      </x:c>
      <x:c r="AA298" t="str">
        <x:f>IF($Y298="","","Weapons Database")</x:f>
      </x:c>
    </x:row>
    <x:row r="299">
      <x:c r="Z299" t="str">
        <x:f>IF($Y299="","",IFERROR(INDEX('Weapons Database'!$C$2:$C$100,MATCH($Y299,'Weapons Database'!$A$2:$A$100,0))&amp;" "&amp;INDEX('Weapons Database'!$D$2:$D$100,MATCH($Y299,'Weapons Database'!$A$2:$A$100,0)),""))</x:f>
      </x:c>
      <x:c r="AA299" t="str">
        <x:f>IF($Y299="","","Weapons Database")</x:f>
      </x:c>
    </x:row>
    <x:row r="300">
      <x:c r="Z300" t="str">
        <x:f>IF($Y300="","",IFERROR(INDEX('Weapons Database'!$C$2:$C$100,MATCH($Y300,'Weapons Database'!$A$2:$A$100,0))&amp;" "&amp;INDEX('Weapons Database'!$D$2:$D$100,MATCH($Y300,'Weapons Database'!$A$2:$A$100,0)),""))</x:f>
      </x:c>
      <x:c r="AA300" t="str">
        <x:f>IF($Y300="","","Weapons Database")</x:f>
      </x:c>
    </x:row>
    <x:row r="301">
      <x:c r="Z301" t="str">
        <x:f>IF($Y301="","",IFERROR(INDEX('Weapons Database'!$C$2:$C$100,MATCH($Y301,'Weapons Database'!$A$2:$A$100,0))&amp;" "&amp;INDEX('Weapons Database'!$D$2:$D$100,MATCH($Y301,'Weapons Database'!$A$2:$A$100,0)),""))</x:f>
      </x:c>
      <x:c r="AA301" t="str">
        <x:f>IF($Y301="","","Weapons Database")</x:f>
      </x:c>
    </x:row>
    <x:row r="302">
      <x:c r="Z302" t="str">
        <x:f>IF($Y302="","",IFERROR(INDEX('Weapons Database'!$C$2:$C$100,MATCH($Y302,'Weapons Database'!$A$2:$A$100,0))&amp;" "&amp;INDEX('Weapons Database'!$D$2:$D$100,MATCH($Y302,'Weapons Database'!$A$2:$A$100,0)),""))</x:f>
      </x:c>
      <x:c r="AA302" t="str">
        <x:f>IF($Y302="","","Weapons Database")</x:f>
      </x:c>
    </x:row>
    <x:row r="303">
      <x:c r="Z303" t="str">
        <x:f>IF($Y303="","",IFERROR(INDEX('Weapons Database'!$C$2:$C$100,MATCH($Y303,'Weapons Database'!$A$2:$A$100,0))&amp;" "&amp;INDEX('Weapons Database'!$D$2:$D$100,MATCH($Y303,'Weapons Database'!$A$2:$A$100,0)),""))</x:f>
      </x:c>
      <x:c r="AA303" t="str">
        <x:f>IF($Y303="","","Weapons Database")</x:f>
      </x:c>
    </x:row>
    <x:row r="304">
      <x:c r="Z304" t="str">
        <x:f>IF($Y304="","",IFERROR(INDEX('Weapons Database'!$C$2:$C$100,MATCH($Y304,'Weapons Database'!$A$2:$A$100,0))&amp;" "&amp;INDEX('Weapons Database'!$D$2:$D$100,MATCH($Y304,'Weapons Database'!$A$2:$A$100,0)),""))</x:f>
      </x:c>
      <x:c r="AA304" t="str">
        <x:f>IF($Y304="","","Weapons Database")</x:f>
      </x:c>
    </x:row>
    <x:row r="305">
      <x:c r="Z305" t="str">
        <x:f>IF($Y305="","",IFERROR(INDEX('Weapons Database'!$C$2:$C$100,MATCH($Y305,'Weapons Database'!$A$2:$A$100,0))&amp;" "&amp;INDEX('Weapons Database'!$D$2:$D$100,MATCH($Y305,'Weapons Database'!$A$2:$A$100,0)),""))</x:f>
      </x:c>
      <x:c r="AA305" t="str">
        <x:f>IF($Y305="","","Weapons Database")</x:f>
      </x:c>
    </x:row>
    <x:row r="306">
      <x:c r="Z306" t="str">
        <x:f>IF($Y306="","",IFERROR(INDEX('Weapons Database'!$C$2:$C$100,MATCH($Y306,'Weapons Database'!$A$2:$A$100,0))&amp;" "&amp;INDEX('Weapons Database'!$D$2:$D$100,MATCH($Y306,'Weapons Database'!$A$2:$A$100,0)),""))</x:f>
      </x:c>
      <x:c r="AA306" t="str">
        <x:f>IF($Y306="","","Weapons Database")</x:f>
      </x:c>
    </x:row>
    <x:row r="307">
      <x:c r="Z307" t="str">
        <x:f>IF($Y307="","",IFERROR(INDEX('Weapons Database'!$C$2:$C$100,MATCH($Y307,'Weapons Database'!$A$2:$A$100,0))&amp;" "&amp;INDEX('Weapons Database'!$D$2:$D$100,MATCH($Y307,'Weapons Database'!$A$2:$A$100,0)),""))</x:f>
      </x:c>
      <x:c r="AA307" t="str">
        <x:f>IF($Y307="","","Weapons Database")</x:f>
      </x:c>
    </x:row>
    <x:row r="308">
      <x:c r="Z308" t="str">
        <x:f>IF($Y308="","",IFERROR(INDEX('Weapons Database'!$C$2:$C$100,MATCH($Y308,'Weapons Database'!$A$2:$A$100,0))&amp;" "&amp;INDEX('Weapons Database'!$D$2:$D$100,MATCH($Y308,'Weapons Database'!$A$2:$A$100,0)),""))</x:f>
      </x:c>
      <x:c r="AA308" t="str">
        <x:f>IF($Y308="","","Weapons Database")</x:f>
      </x:c>
    </x:row>
    <x:row r="309">
      <x:c r="Z309" t="str">
        <x:f>IF($Y309="","",IFERROR(INDEX('Weapons Database'!$C$2:$C$100,MATCH($Y309,'Weapons Database'!$A$2:$A$100,0))&amp;" "&amp;INDEX('Weapons Database'!$D$2:$D$100,MATCH($Y309,'Weapons Database'!$A$2:$A$100,0)),""))</x:f>
      </x:c>
      <x:c r="AA309" t="str">
        <x:f>IF($Y309="","","Weapons Database")</x:f>
      </x:c>
    </x:row>
    <x:row r="310">
      <x:c r="Z310" t="str">
        <x:f>IF($Y310="","",IFERROR(INDEX('Weapons Database'!$C$2:$C$100,MATCH($Y310,'Weapons Database'!$A$2:$A$100,0))&amp;" "&amp;INDEX('Weapons Database'!$D$2:$D$100,MATCH($Y310,'Weapons Database'!$A$2:$A$100,0)),""))</x:f>
      </x:c>
      <x:c r="AA310" t="str">
        <x:f>IF($Y310="","","Weapons Database")</x:f>
      </x:c>
    </x:row>
    <x:row r="311">
      <x:c r="Z311" t="str">
        <x:f>IF($Y311="","",IFERROR(INDEX('Weapons Database'!$C$2:$C$100,MATCH($Y311,'Weapons Database'!$A$2:$A$100,0))&amp;" "&amp;INDEX('Weapons Database'!$D$2:$D$100,MATCH($Y311,'Weapons Database'!$A$2:$A$100,0)),""))</x:f>
      </x:c>
      <x:c r="AA311" t="str">
        <x:f>IF($Y311="","","Weapons Database")</x:f>
      </x:c>
    </x:row>
    <x:row r="312">
      <x:c r="Z312" t="str">
        <x:f>IF($Y312="","",IFERROR(INDEX('Weapons Database'!$C$2:$C$100,MATCH($Y312,'Weapons Database'!$A$2:$A$100,0))&amp;" "&amp;INDEX('Weapons Database'!$D$2:$D$100,MATCH($Y312,'Weapons Database'!$A$2:$A$100,0)),""))</x:f>
      </x:c>
      <x:c r="AA312" t="str">
        <x:f>IF($Y312="","","Weapons Database")</x:f>
      </x:c>
    </x:row>
    <x:row r="313">
      <x:c r="Z313" t="str">
        <x:f>IF($Y313="","",IFERROR(INDEX('Weapons Database'!$C$2:$C$100,MATCH($Y313,'Weapons Database'!$A$2:$A$100,0))&amp;" "&amp;INDEX('Weapons Database'!$D$2:$D$100,MATCH($Y313,'Weapons Database'!$A$2:$A$100,0)),""))</x:f>
      </x:c>
      <x:c r="AA313" t="str">
        <x:f>IF($Y313="","","Weapons Database")</x:f>
      </x:c>
    </x:row>
    <x:row r="314">
      <x:c r="Z314" t="str">
        <x:f>IF($Y314="","",IFERROR(INDEX('Weapons Database'!$C$2:$C$100,MATCH($Y314,'Weapons Database'!$A$2:$A$100,0))&amp;" "&amp;INDEX('Weapons Database'!$D$2:$D$100,MATCH($Y314,'Weapons Database'!$A$2:$A$100,0)),""))</x:f>
      </x:c>
      <x:c r="AA314" t="str">
        <x:f>IF($Y314="","","Weapons Database")</x:f>
      </x:c>
    </x:row>
    <x:row r="315">
      <x:c r="Z315" t="str">
        <x:f>IF($Y315="","",IFERROR(INDEX('Weapons Database'!$C$2:$C$100,MATCH($Y315,'Weapons Database'!$A$2:$A$100,0))&amp;" "&amp;INDEX('Weapons Database'!$D$2:$D$100,MATCH($Y315,'Weapons Database'!$A$2:$A$100,0)),""))</x:f>
      </x:c>
      <x:c r="AA315" t="str">
        <x:f>IF($Y315="","","Weapons Database")</x:f>
      </x:c>
    </x:row>
    <x:row r="316">
      <x:c r="Z316" t="str">
        <x:f>IF($Y316="","",IFERROR(INDEX('Weapons Database'!$C$2:$C$100,MATCH($Y316,'Weapons Database'!$A$2:$A$100,0))&amp;" "&amp;INDEX('Weapons Database'!$D$2:$D$100,MATCH($Y316,'Weapons Database'!$A$2:$A$100,0)),""))</x:f>
      </x:c>
      <x:c r="AA316" t="str">
        <x:f>IF($Y316="","","Weapons Database")</x:f>
      </x:c>
    </x:row>
    <x:row r="317">
      <x:c r="Z317" t="str">
        <x:f>IF($Y317="","",IFERROR(INDEX('Weapons Database'!$C$2:$C$100,MATCH($Y317,'Weapons Database'!$A$2:$A$100,0))&amp;" "&amp;INDEX('Weapons Database'!$D$2:$D$100,MATCH($Y317,'Weapons Database'!$A$2:$A$100,0)),""))</x:f>
      </x:c>
      <x:c r="AA317" t="str">
        <x:f>IF($Y317="","","Weapons Database")</x:f>
      </x:c>
    </x:row>
    <x:row r="318">
      <x:c r="Z318" t="str">
        <x:f>IF($Y318="","",IFERROR(INDEX('Weapons Database'!$C$2:$C$100,MATCH($Y318,'Weapons Database'!$A$2:$A$100,0))&amp;" "&amp;INDEX('Weapons Database'!$D$2:$D$100,MATCH($Y318,'Weapons Database'!$A$2:$A$100,0)),""))</x:f>
      </x:c>
      <x:c r="AA318" t="str">
        <x:f>IF($Y318="","","Weapons Database")</x:f>
      </x:c>
    </x:row>
    <x:row r="319">
      <x:c r="Z319" t="str">
        <x:f>IF($Y319="","",IFERROR(INDEX('Weapons Database'!$C$2:$C$100,MATCH($Y319,'Weapons Database'!$A$2:$A$100,0))&amp;" "&amp;INDEX('Weapons Database'!$D$2:$D$100,MATCH($Y319,'Weapons Database'!$A$2:$A$100,0)),""))</x:f>
      </x:c>
      <x:c r="AA319" t="str">
        <x:f>IF($Y319="","","Weapons Database")</x:f>
      </x:c>
    </x:row>
    <x:row r="320">
      <x:c r="Z320" t="str">
        <x:f>IF($Y320="","",IFERROR(INDEX('Weapons Database'!$C$2:$C$100,MATCH($Y320,'Weapons Database'!$A$2:$A$100,0))&amp;" "&amp;INDEX('Weapons Database'!$D$2:$D$100,MATCH($Y320,'Weapons Database'!$A$2:$A$100,0)),""))</x:f>
      </x:c>
      <x:c r="AA320" t="str">
        <x:f>IF($Y320="","","Weapons Database")</x:f>
      </x:c>
    </x:row>
    <x:row r="321">
      <x:c r="Z321" t="str">
        <x:f>IF($Y321="","",IFERROR(INDEX('Weapons Database'!$C$2:$C$100,MATCH($Y321,'Weapons Database'!$A$2:$A$100,0))&amp;" "&amp;INDEX('Weapons Database'!$D$2:$D$100,MATCH($Y321,'Weapons Database'!$A$2:$A$100,0)),""))</x:f>
      </x:c>
      <x:c r="AA321" t="str">
        <x:f>IF($Y321="","","Weapons Database")</x:f>
      </x:c>
    </x:row>
    <x:row r="322">
      <x:c r="Z322" t="str">
        <x:f>IF($Y322="","",IFERROR(INDEX('Weapons Database'!$C$2:$C$100,MATCH($Y322,'Weapons Database'!$A$2:$A$100,0))&amp;" "&amp;INDEX('Weapons Database'!$D$2:$D$100,MATCH($Y322,'Weapons Database'!$A$2:$A$100,0)),""))</x:f>
      </x:c>
      <x:c r="AA322" t="str">
        <x:f>IF($Y322="","","Weapons Database")</x:f>
      </x:c>
    </x:row>
    <x:row r="323">
      <x:c r="Z323" t="str">
        <x:f>IF($Y323="","",IFERROR(INDEX('Weapons Database'!$C$2:$C$100,MATCH($Y323,'Weapons Database'!$A$2:$A$100,0))&amp;" "&amp;INDEX('Weapons Database'!$D$2:$D$100,MATCH($Y323,'Weapons Database'!$A$2:$A$100,0)),""))</x:f>
      </x:c>
      <x:c r="AA323" t="str">
        <x:f>IF($Y323="","","Weapons Database")</x:f>
      </x:c>
    </x:row>
    <x:row r="324">
      <x:c r="Z324" t="str">
        <x:f>IF($Y324="","",IFERROR(INDEX('Weapons Database'!$C$2:$C$100,MATCH($Y324,'Weapons Database'!$A$2:$A$100,0))&amp;" "&amp;INDEX('Weapons Database'!$D$2:$D$100,MATCH($Y324,'Weapons Database'!$A$2:$A$100,0)),""))</x:f>
      </x:c>
      <x:c r="AA324" t="str">
        <x:f>IF($Y324="","","Weapons Database")</x:f>
      </x:c>
    </x:row>
    <x:row r="325">
      <x:c r="Z325" t="str">
        <x:f>IF($Y325="","",IFERROR(INDEX('Weapons Database'!$C$2:$C$100,MATCH($Y325,'Weapons Database'!$A$2:$A$100,0))&amp;" "&amp;INDEX('Weapons Database'!$D$2:$D$100,MATCH($Y325,'Weapons Database'!$A$2:$A$100,0)),""))</x:f>
      </x:c>
      <x:c r="AA325" t="str">
        <x:f>IF($Y325="","","Weapons Database")</x:f>
      </x:c>
    </x:row>
    <x:row r="326">
      <x:c r="Z326" t="str">
        <x:f>IF($Y326="","",IFERROR(INDEX('Weapons Database'!$C$2:$C$100,MATCH($Y326,'Weapons Database'!$A$2:$A$100,0))&amp;" "&amp;INDEX('Weapons Database'!$D$2:$D$100,MATCH($Y326,'Weapons Database'!$A$2:$A$100,0)),""))</x:f>
      </x:c>
      <x:c r="AA326" t="str">
        <x:f>IF($Y326="","","Weapons Database")</x:f>
      </x:c>
    </x:row>
    <x:row r="327">
      <x:c r="Z327" t="str">
        <x:f>IF($Y327="","",IFERROR(INDEX('Weapons Database'!$C$2:$C$100,MATCH($Y327,'Weapons Database'!$A$2:$A$100,0))&amp;" "&amp;INDEX('Weapons Database'!$D$2:$D$100,MATCH($Y327,'Weapons Database'!$A$2:$A$100,0)),""))</x:f>
      </x:c>
      <x:c r="AA327" t="str">
        <x:f>IF($Y327="","","Weapons Database")</x:f>
      </x:c>
    </x:row>
    <x:row r="328">
      <x:c r="Z328" t="str">
        <x:f>IF($Y328="","",IFERROR(INDEX('Weapons Database'!$C$2:$C$100,MATCH($Y328,'Weapons Database'!$A$2:$A$100,0))&amp;" "&amp;INDEX('Weapons Database'!$D$2:$D$100,MATCH($Y328,'Weapons Database'!$A$2:$A$100,0)),""))</x:f>
      </x:c>
      <x:c r="AA328" t="str">
        <x:f>IF($Y328="","","Weapons Database")</x:f>
      </x:c>
    </x:row>
    <x:row r="329">
      <x:c r="Z329" t="str">
        <x:f>IF($Y329="","",IFERROR(INDEX('Weapons Database'!$C$2:$C$100,MATCH($Y329,'Weapons Database'!$A$2:$A$100,0))&amp;" "&amp;INDEX('Weapons Database'!$D$2:$D$100,MATCH($Y329,'Weapons Database'!$A$2:$A$100,0)),""))</x:f>
      </x:c>
      <x:c r="AA329" t="str">
        <x:f>IF($Y329="","","Weapons Database")</x:f>
      </x:c>
    </x:row>
    <x:row r="330">
      <x:c r="Z330" t="str">
        <x:f>IF($Y330="","",IFERROR(INDEX('Weapons Database'!$C$2:$C$100,MATCH($Y330,'Weapons Database'!$A$2:$A$100,0))&amp;" "&amp;INDEX('Weapons Database'!$D$2:$D$100,MATCH($Y330,'Weapons Database'!$A$2:$A$100,0)),""))</x:f>
      </x:c>
      <x:c r="AA330" t="str">
        <x:f>IF($Y330="","","Weapons Database")</x:f>
      </x:c>
    </x:row>
    <x:row r="331">
      <x:c r="Z331" t="str">
        <x:f>IF($Y331="","",IFERROR(INDEX('Weapons Database'!$C$2:$C$100,MATCH($Y331,'Weapons Database'!$A$2:$A$100,0))&amp;" "&amp;INDEX('Weapons Database'!$D$2:$D$100,MATCH($Y331,'Weapons Database'!$A$2:$A$100,0)),""))</x:f>
      </x:c>
      <x:c r="AA331" t="str">
        <x:f>IF($Y331="","","Weapons Database")</x:f>
      </x:c>
    </x:row>
    <x:row r="332">
      <x:c r="Z332" t="str">
        <x:f>IF($Y332="","",IFERROR(INDEX('Weapons Database'!$C$2:$C$100,MATCH($Y332,'Weapons Database'!$A$2:$A$100,0))&amp;" "&amp;INDEX('Weapons Database'!$D$2:$D$100,MATCH($Y332,'Weapons Database'!$A$2:$A$100,0)),""))</x:f>
      </x:c>
      <x:c r="AA332" t="str">
        <x:f>IF($Y332="","","Weapons Database")</x:f>
      </x:c>
    </x:row>
    <x:row r="333">
      <x:c r="Z333" t="str">
        <x:f>IF($Y333="","",IFERROR(INDEX('Weapons Database'!$C$2:$C$100,MATCH($Y333,'Weapons Database'!$A$2:$A$100,0))&amp;" "&amp;INDEX('Weapons Database'!$D$2:$D$100,MATCH($Y333,'Weapons Database'!$A$2:$A$100,0)),""))</x:f>
      </x:c>
      <x:c r="AA333" t="str">
        <x:f>IF($Y333="","","Weapons Database")</x:f>
      </x:c>
    </x:row>
    <x:row r="334">
      <x:c r="Z334" t="str">
        <x:f>IF($Y334="","",IFERROR(INDEX('Weapons Database'!$C$2:$C$100,MATCH($Y334,'Weapons Database'!$A$2:$A$100,0))&amp;" "&amp;INDEX('Weapons Database'!$D$2:$D$100,MATCH($Y334,'Weapons Database'!$A$2:$A$100,0)),""))</x:f>
      </x:c>
      <x:c r="AA334" t="str">
        <x:f>IF($Y334="","","Weapons Database")</x:f>
      </x:c>
    </x:row>
    <x:row r="335">
      <x:c r="Z335" t="str">
        <x:f>IF($Y335="","",IFERROR(INDEX('Weapons Database'!$C$2:$C$100,MATCH($Y335,'Weapons Database'!$A$2:$A$100,0))&amp;" "&amp;INDEX('Weapons Database'!$D$2:$D$100,MATCH($Y335,'Weapons Database'!$A$2:$A$100,0)),""))</x:f>
      </x:c>
      <x:c r="AA335" t="str">
        <x:f>IF($Y335="","","Weapons Database")</x:f>
      </x:c>
    </x:row>
    <x:row r="336">
      <x:c r="Z336" t="str">
        <x:f>IF($Y336="","",IFERROR(INDEX('Weapons Database'!$C$2:$C$100,MATCH($Y336,'Weapons Database'!$A$2:$A$100,0))&amp;" "&amp;INDEX('Weapons Database'!$D$2:$D$100,MATCH($Y336,'Weapons Database'!$A$2:$A$100,0)),""))</x:f>
      </x:c>
      <x:c r="AA336" t="str">
        <x:f>IF($Y336="","","Weapons Database")</x:f>
      </x:c>
    </x:row>
    <x:row r="337">
      <x:c r="Z337" t="str">
        <x:f>IF($Y337="","",IFERROR(INDEX('Weapons Database'!$C$2:$C$100,MATCH($Y337,'Weapons Database'!$A$2:$A$100,0))&amp;" "&amp;INDEX('Weapons Database'!$D$2:$D$100,MATCH($Y337,'Weapons Database'!$A$2:$A$100,0)),""))</x:f>
      </x:c>
      <x:c r="AA337" t="str">
        <x:f>IF($Y337="","","Weapons Database")</x:f>
      </x:c>
    </x:row>
    <x:row r="338">
      <x:c r="Z338" t="str">
        <x:f>IF($Y338="","",IFERROR(INDEX('Weapons Database'!$C$2:$C$100,MATCH($Y338,'Weapons Database'!$A$2:$A$100,0))&amp;" "&amp;INDEX('Weapons Database'!$D$2:$D$100,MATCH($Y338,'Weapons Database'!$A$2:$A$100,0)),""))</x:f>
      </x:c>
      <x:c r="AA338" t="str">
        <x:f>IF($Y338="","","Weapons Database")</x:f>
      </x:c>
    </x:row>
    <x:row r="339">
      <x:c r="Z339" t="str">
        <x:f>IF($Y339="","",IFERROR(INDEX('Weapons Database'!$C$2:$C$100,MATCH($Y339,'Weapons Database'!$A$2:$A$100,0))&amp;" "&amp;INDEX('Weapons Database'!$D$2:$D$100,MATCH($Y339,'Weapons Database'!$A$2:$A$100,0)),""))</x:f>
      </x:c>
      <x:c r="AA339" t="str">
        <x:f>IF($Y339="","","Weapons Database")</x:f>
      </x:c>
    </x:row>
    <x:row r="340">
      <x:c r="Z340" t="str">
        <x:f>IF($Y340="","",IFERROR(INDEX('Weapons Database'!$C$2:$C$100,MATCH($Y340,'Weapons Database'!$A$2:$A$100,0))&amp;" "&amp;INDEX('Weapons Database'!$D$2:$D$100,MATCH($Y340,'Weapons Database'!$A$2:$A$100,0)),""))</x:f>
      </x:c>
      <x:c r="AA340" t="str">
        <x:f>IF($Y340="","","Weapons Database")</x:f>
      </x:c>
    </x:row>
    <x:row r="341">
      <x:c r="Z341" t="str">
        <x:f>IF($Y341="","",IFERROR(INDEX('Weapons Database'!$C$2:$C$100,MATCH($Y341,'Weapons Database'!$A$2:$A$100,0))&amp;" "&amp;INDEX('Weapons Database'!$D$2:$D$100,MATCH($Y341,'Weapons Database'!$A$2:$A$100,0)),""))</x:f>
      </x:c>
      <x:c r="AA341" t="str">
        <x:f>IF($Y341="","","Weapons Database")</x:f>
      </x:c>
    </x:row>
    <x:row r="342">
      <x:c r="Z342" t="str">
        <x:f>IF($Y342="","",IFERROR(INDEX('Weapons Database'!$C$2:$C$100,MATCH($Y342,'Weapons Database'!$A$2:$A$100,0))&amp;" "&amp;INDEX('Weapons Database'!$D$2:$D$100,MATCH($Y342,'Weapons Database'!$A$2:$A$100,0)),""))</x:f>
      </x:c>
      <x:c r="AA342" t="str">
        <x:f>IF($Y342="","","Weapons Database")</x:f>
      </x:c>
    </x:row>
    <x:row r="343">
      <x:c r="Z343" t="str">
        <x:f>IF($Y343="","",IFERROR(INDEX('Weapons Database'!$C$2:$C$100,MATCH($Y343,'Weapons Database'!$A$2:$A$100,0))&amp;" "&amp;INDEX('Weapons Database'!$D$2:$D$100,MATCH($Y343,'Weapons Database'!$A$2:$A$100,0)),""))</x:f>
      </x:c>
      <x:c r="AA343" t="str">
        <x:f>IF($Y343="","","Weapons Database")</x:f>
      </x:c>
    </x:row>
    <x:row r="344">
      <x:c r="Z344" t="str">
        <x:f>IF($Y344="","",IFERROR(INDEX('Weapons Database'!$C$2:$C$100,MATCH($Y344,'Weapons Database'!$A$2:$A$100,0))&amp;" "&amp;INDEX('Weapons Database'!$D$2:$D$100,MATCH($Y344,'Weapons Database'!$A$2:$A$100,0)),""))</x:f>
      </x:c>
      <x:c r="AA344" t="str">
        <x:f>IF($Y344="","","Weapons Database")</x:f>
      </x:c>
    </x:row>
    <x:row r="345">
      <x:c r="Z345" t="str">
        <x:f>IF($Y345="","",IFERROR(INDEX('Weapons Database'!$C$2:$C$100,MATCH($Y345,'Weapons Database'!$A$2:$A$100,0))&amp;" "&amp;INDEX('Weapons Database'!$D$2:$D$100,MATCH($Y345,'Weapons Database'!$A$2:$A$100,0)),""))</x:f>
      </x:c>
      <x:c r="AA345" t="str">
        <x:f>IF($Y345="","","Weapons Database")</x:f>
      </x:c>
    </x:row>
    <x:row r="346">
      <x:c r="Z346" t="str">
        <x:f>IF($Y346="","",IFERROR(INDEX('Weapons Database'!$C$2:$C$100,MATCH($Y346,'Weapons Database'!$A$2:$A$100,0))&amp;" "&amp;INDEX('Weapons Database'!$D$2:$D$100,MATCH($Y346,'Weapons Database'!$A$2:$A$100,0)),""))</x:f>
      </x:c>
      <x:c r="AA346" t="str">
        <x:f>IF($Y346="","","Weapons Database")</x:f>
      </x:c>
    </x:row>
    <x:row r="347">
      <x:c r="Z347" t="str">
        <x:f>IF($Y347="","",IFERROR(INDEX('Weapons Database'!$C$2:$C$100,MATCH($Y347,'Weapons Database'!$A$2:$A$100,0))&amp;" "&amp;INDEX('Weapons Database'!$D$2:$D$100,MATCH($Y347,'Weapons Database'!$A$2:$A$100,0)),""))</x:f>
      </x:c>
      <x:c r="AA347" t="str">
        <x:f>IF($Y347="","","Weapons Database")</x:f>
      </x:c>
    </x:row>
    <x:row r="348">
      <x:c r="Z348" t="str">
        <x:f>IF($Y348="","",IFERROR(INDEX('Weapons Database'!$C$2:$C$100,MATCH($Y348,'Weapons Database'!$A$2:$A$100,0))&amp;" "&amp;INDEX('Weapons Database'!$D$2:$D$100,MATCH($Y348,'Weapons Database'!$A$2:$A$100,0)),""))</x:f>
      </x:c>
      <x:c r="AA348" t="str">
        <x:f>IF($Y348="","","Weapons Database")</x:f>
      </x:c>
    </x:row>
    <x:row r="349">
      <x:c r="Z349" t="str">
        <x:f>IF($Y349="","",IFERROR(INDEX('Weapons Database'!$C$2:$C$100,MATCH($Y349,'Weapons Database'!$A$2:$A$100,0))&amp;" "&amp;INDEX('Weapons Database'!$D$2:$D$100,MATCH($Y349,'Weapons Database'!$A$2:$A$100,0)),""))</x:f>
      </x:c>
      <x:c r="AA349" t="str">
        <x:f>IF($Y349="","","Weapons Database")</x:f>
      </x:c>
    </x:row>
    <x:row r="350">
      <x:c r="Z350" t="str">
        <x:f>IF($Y350="","",IFERROR(INDEX('Weapons Database'!$C$2:$C$100,MATCH($Y350,'Weapons Database'!$A$2:$A$100,0))&amp;" "&amp;INDEX('Weapons Database'!$D$2:$D$100,MATCH($Y350,'Weapons Database'!$A$2:$A$100,0)),""))</x:f>
      </x:c>
      <x:c r="AA350" t="str">
        <x:f>IF($Y350="","","Weapons Database")</x:f>
      </x:c>
    </x:row>
    <x:row r="351">
      <x:c r="Z351" t="str">
        <x:f>IF($Y351="","",IFERROR(INDEX('Weapons Database'!$C$2:$C$100,MATCH($Y351,'Weapons Database'!$A$2:$A$100,0))&amp;" "&amp;INDEX('Weapons Database'!$D$2:$D$100,MATCH($Y351,'Weapons Database'!$A$2:$A$100,0)),""))</x:f>
      </x:c>
      <x:c r="AA351" t="str">
        <x:f>IF($Y351="","","Weapons Database")</x:f>
      </x:c>
    </x:row>
    <x:row r="352">
      <x:c r="Z352" t="str">
        <x:f>IF($Y352="","",IFERROR(INDEX('Weapons Database'!$C$2:$C$100,MATCH($Y352,'Weapons Database'!$A$2:$A$100,0))&amp;" "&amp;INDEX('Weapons Database'!$D$2:$D$100,MATCH($Y352,'Weapons Database'!$A$2:$A$100,0)),""))</x:f>
      </x:c>
      <x:c r="AA352" t="str">
        <x:f>IF($Y352="","","Weapons Database")</x:f>
      </x:c>
    </x:row>
    <x:row r="353">
      <x:c r="Z353" t="str">
        <x:f>IF($Y353="","",IFERROR(INDEX('Weapons Database'!$C$2:$C$100,MATCH($Y353,'Weapons Database'!$A$2:$A$100,0))&amp;" "&amp;INDEX('Weapons Database'!$D$2:$D$100,MATCH($Y353,'Weapons Database'!$A$2:$A$100,0)),""))</x:f>
      </x:c>
      <x:c r="AA353" t="str">
        <x:f>IF($Y353="","","Weapons Database")</x:f>
      </x:c>
    </x:row>
    <x:row r="354">
      <x:c r="Z354" t="str">
        <x:f>IF($Y354="","",IFERROR(INDEX('Weapons Database'!$C$2:$C$100,MATCH($Y354,'Weapons Database'!$A$2:$A$100,0))&amp;" "&amp;INDEX('Weapons Database'!$D$2:$D$100,MATCH($Y354,'Weapons Database'!$A$2:$A$100,0)),""))</x:f>
      </x:c>
      <x:c r="AA354" t="str">
        <x:f>IF($Y354="","","Weapons Database")</x:f>
      </x:c>
    </x:row>
    <x:row r="355">
      <x:c r="Z355" t="str">
        <x:f>IF($Y355="","",IFERROR(INDEX('Weapons Database'!$C$2:$C$100,MATCH($Y355,'Weapons Database'!$A$2:$A$100,0))&amp;" "&amp;INDEX('Weapons Database'!$D$2:$D$100,MATCH($Y355,'Weapons Database'!$A$2:$A$100,0)),""))</x:f>
      </x:c>
      <x:c r="AA355" t="str">
        <x:f>IF($Y355="","","Weapons Database")</x:f>
      </x:c>
    </x:row>
    <x:row r="356">
      <x:c r="Z356" t="str">
        <x:f>IF($Y356="","",IFERROR(INDEX('Weapons Database'!$C$2:$C$100,MATCH($Y356,'Weapons Database'!$A$2:$A$100,0))&amp;" "&amp;INDEX('Weapons Database'!$D$2:$D$100,MATCH($Y356,'Weapons Database'!$A$2:$A$100,0)),""))</x:f>
      </x:c>
      <x:c r="AA356" t="str">
        <x:f>IF($Y356="","","Weapons Database")</x:f>
      </x:c>
    </x:row>
    <x:row r="357">
      <x:c r="Z357" t="str">
        <x:f>IF($Y357="","",IFERROR(INDEX('Weapons Database'!$C$2:$C$100,MATCH($Y357,'Weapons Database'!$A$2:$A$100,0))&amp;" "&amp;INDEX('Weapons Database'!$D$2:$D$100,MATCH($Y357,'Weapons Database'!$A$2:$A$100,0)),""))</x:f>
      </x:c>
      <x:c r="AA357" t="str">
        <x:f>IF($Y357="","","Weapons Database")</x:f>
      </x:c>
    </x:row>
    <x:row r="358">
      <x:c r="Z358" t="str">
        <x:f>IF($Y358="","",IFERROR(INDEX('Weapons Database'!$C$2:$C$100,MATCH($Y358,'Weapons Database'!$A$2:$A$100,0))&amp;" "&amp;INDEX('Weapons Database'!$D$2:$D$100,MATCH($Y358,'Weapons Database'!$A$2:$A$100,0)),""))</x:f>
      </x:c>
      <x:c r="AA358" t="str">
        <x:f>IF($Y358="","","Weapons Database")</x:f>
      </x:c>
    </x:row>
    <x:row r="359">
      <x:c r="Z359" t="str">
        <x:f>IF($Y359="","",IFERROR(INDEX('Weapons Database'!$C$2:$C$100,MATCH($Y359,'Weapons Database'!$A$2:$A$100,0))&amp;" "&amp;INDEX('Weapons Database'!$D$2:$D$100,MATCH($Y359,'Weapons Database'!$A$2:$A$100,0)),""))</x:f>
      </x:c>
      <x:c r="AA359" t="str">
        <x:f>IF($Y359="","","Weapons Database")</x:f>
      </x:c>
    </x:row>
    <x:row r="360">
      <x:c r="Z360" t="str">
        <x:f>IF($Y360="","",IFERROR(INDEX('Weapons Database'!$C$2:$C$100,MATCH($Y360,'Weapons Database'!$A$2:$A$100,0))&amp;" "&amp;INDEX('Weapons Database'!$D$2:$D$100,MATCH($Y360,'Weapons Database'!$A$2:$A$100,0)),""))</x:f>
      </x:c>
      <x:c r="AA360" t="str">
        <x:f>IF($Y360="","","Weapons Database")</x:f>
      </x:c>
    </x:row>
    <x:row r="361">
      <x:c r="Z361" t="str">
        <x:f>IF($Y361="","",IFERROR(INDEX('Weapons Database'!$C$2:$C$100,MATCH($Y361,'Weapons Database'!$A$2:$A$100,0))&amp;" "&amp;INDEX('Weapons Database'!$D$2:$D$100,MATCH($Y361,'Weapons Database'!$A$2:$A$100,0)),""))</x:f>
      </x:c>
      <x:c r="AA361" t="str">
        <x:f>IF($Y361="","","Weapons Database")</x:f>
      </x:c>
    </x:row>
    <x:row r="362">
      <x:c r="Z362" t="str">
        <x:f>IF($Y362="","",IFERROR(INDEX('Weapons Database'!$C$2:$C$100,MATCH($Y362,'Weapons Database'!$A$2:$A$100,0))&amp;" "&amp;INDEX('Weapons Database'!$D$2:$D$100,MATCH($Y362,'Weapons Database'!$A$2:$A$100,0)),""))</x:f>
      </x:c>
      <x:c r="AA362" t="str">
        <x:f>IF($Y362="","","Weapons Database")</x:f>
      </x:c>
    </x:row>
    <x:row r="363">
      <x:c r="Z363" t="str">
        <x:f>IF($Y363="","",IFERROR(INDEX('Weapons Database'!$C$2:$C$100,MATCH($Y363,'Weapons Database'!$A$2:$A$100,0))&amp;" "&amp;INDEX('Weapons Database'!$D$2:$D$100,MATCH($Y363,'Weapons Database'!$A$2:$A$100,0)),""))</x:f>
      </x:c>
      <x:c r="AA363" t="str">
        <x:f>IF($Y363="","","Weapons Database")</x:f>
      </x:c>
    </x:row>
    <x:row r="364">
      <x:c r="Z364" t="str">
        <x:f>IF($Y364="","",IFERROR(INDEX('Weapons Database'!$C$2:$C$100,MATCH($Y364,'Weapons Database'!$A$2:$A$100,0))&amp;" "&amp;INDEX('Weapons Database'!$D$2:$D$100,MATCH($Y364,'Weapons Database'!$A$2:$A$100,0)),""))</x:f>
      </x:c>
      <x:c r="AA364" t="str">
        <x:f>IF($Y364="","","Weapons Database")</x:f>
      </x:c>
    </x:row>
    <x:row r="365">
      <x:c r="Z365" t="str">
        <x:f>IF($Y365="","",IFERROR(INDEX('Weapons Database'!$C$2:$C$100,MATCH($Y365,'Weapons Database'!$A$2:$A$100,0))&amp;" "&amp;INDEX('Weapons Database'!$D$2:$D$100,MATCH($Y365,'Weapons Database'!$A$2:$A$100,0)),""))</x:f>
      </x:c>
      <x:c r="AA365" t="str">
        <x:f>IF($Y365="","","Weapons Database")</x:f>
      </x:c>
    </x:row>
    <x:row r="366">
      <x:c r="Z366" t="str">
        <x:f>IF($Y366="","",IFERROR(INDEX('Weapons Database'!$C$2:$C$100,MATCH($Y366,'Weapons Database'!$A$2:$A$100,0))&amp;" "&amp;INDEX('Weapons Database'!$D$2:$D$100,MATCH($Y366,'Weapons Database'!$A$2:$A$100,0)),""))</x:f>
      </x:c>
      <x:c r="AA366" t="str">
        <x:f>IF($Y366="","","Weapons Database")</x:f>
      </x:c>
    </x:row>
    <x:row r="367">
      <x:c r="Z367" t="str">
        <x:f>IF($Y367="","",IFERROR(INDEX('Weapons Database'!$C$2:$C$100,MATCH($Y367,'Weapons Database'!$A$2:$A$100,0))&amp;" "&amp;INDEX('Weapons Database'!$D$2:$D$100,MATCH($Y367,'Weapons Database'!$A$2:$A$100,0)),""))</x:f>
      </x:c>
      <x:c r="AA367" t="str">
        <x:f>IF($Y367="","","Weapons Database")</x:f>
      </x:c>
    </x:row>
    <x:row r="368">
      <x:c r="Z368" t="str">
        <x:f>IF($Y368="","",IFERROR(INDEX('Weapons Database'!$C$2:$C$100,MATCH($Y368,'Weapons Database'!$A$2:$A$100,0))&amp;" "&amp;INDEX('Weapons Database'!$D$2:$D$100,MATCH($Y368,'Weapons Database'!$A$2:$A$100,0)),""))</x:f>
      </x:c>
      <x:c r="AA368" t="str">
        <x:f>IF($Y368="","","Weapons Database")</x:f>
      </x:c>
    </x:row>
    <x:row r="369">
      <x:c r="Z369" t="str">
        <x:f>IF($Y369="","",IFERROR(INDEX('Weapons Database'!$C$2:$C$100,MATCH($Y369,'Weapons Database'!$A$2:$A$100,0))&amp;" "&amp;INDEX('Weapons Database'!$D$2:$D$100,MATCH($Y369,'Weapons Database'!$A$2:$A$100,0)),""))</x:f>
      </x:c>
      <x:c r="AA369" t="str">
        <x:f>IF($Y369="","","Weapons Database")</x:f>
      </x:c>
    </x:row>
    <x:row r="370">
      <x:c r="Z370" t="str">
        <x:f>IF($Y370="","",IFERROR(INDEX('Weapons Database'!$C$2:$C$100,MATCH($Y370,'Weapons Database'!$A$2:$A$100,0))&amp;" "&amp;INDEX('Weapons Database'!$D$2:$D$100,MATCH($Y370,'Weapons Database'!$A$2:$A$100,0)),""))</x:f>
      </x:c>
      <x:c r="AA370" t="str">
        <x:f>IF($Y370="","","Weapons Database")</x:f>
      </x:c>
    </x:row>
    <x:row r="371">
      <x:c r="Z371" t="str">
        <x:f>IF($Y371="","",IFERROR(INDEX('Weapons Database'!$C$2:$C$100,MATCH($Y371,'Weapons Database'!$A$2:$A$100,0))&amp;" "&amp;INDEX('Weapons Database'!$D$2:$D$100,MATCH($Y371,'Weapons Database'!$A$2:$A$100,0)),""))</x:f>
      </x:c>
      <x:c r="AA371" t="str">
        <x:f>IF($Y371="","","Weapons Database")</x:f>
      </x:c>
    </x:row>
    <x:row r="372">
      <x:c r="Z372" t="str">
        <x:f>IF($Y372="","",IFERROR(INDEX('Weapons Database'!$C$2:$C$100,MATCH($Y372,'Weapons Database'!$A$2:$A$100,0))&amp;" "&amp;INDEX('Weapons Database'!$D$2:$D$100,MATCH($Y372,'Weapons Database'!$A$2:$A$100,0)),""))</x:f>
      </x:c>
      <x:c r="AA372" t="str">
        <x:f>IF($Y372="","","Weapons Database")</x:f>
      </x:c>
    </x:row>
    <x:row r="373">
      <x:c r="Z373" t="str">
        <x:f>IF($Y373="","",IFERROR(INDEX('Weapons Database'!$C$2:$C$100,MATCH($Y373,'Weapons Database'!$A$2:$A$100,0))&amp;" "&amp;INDEX('Weapons Database'!$D$2:$D$100,MATCH($Y373,'Weapons Database'!$A$2:$A$100,0)),""))</x:f>
      </x:c>
      <x:c r="AA373" t="str">
        <x:f>IF($Y373="","","Weapons Database")</x:f>
      </x:c>
    </x:row>
    <x:row r="374">
      <x:c r="Z374" t="str">
        <x:f>IF($Y374="","",IFERROR(INDEX('Weapons Database'!$C$2:$C$100,MATCH($Y374,'Weapons Database'!$A$2:$A$100,0))&amp;" "&amp;INDEX('Weapons Database'!$D$2:$D$100,MATCH($Y374,'Weapons Database'!$A$2:$A$100,0)),""))</x:f>
      </x:c>
      <x:c r="AA374" t="str">
        <x:f>IF($Y374="","","Weapons Database")</x:f>
      </x:c>
    </x:row>
    <x:row r="375">
      <x:c r="Z375" t="str">
        <x:f>IF($Y375="","",IFERROR(INDEX('Weapons Database'!$C$2:$C$100,MATCH($Y375,'Weapons Database'!$A$2:$A$100,0))&amp;" "&amp;INDEX('Weapons Database'!$D$2:$D$100,MATCH($Y375,'Weapons Database'!$A$2:$A$100,0)),""))</x:f>
      </x:c>
      <x:c r="AA375" t="str">
        <x:f>IF($Y375="","","Weapons Database")</x:f>
      </x:c>
    </x:row>
    <x:row r="376">
      <x:c r="Z376" t="str">
        <x:f>IF($Y376="","",IFERROR(INDEX('Weapons Database'!$C$2:$C$100,MATCH($Y376,'Weapons Database'!$A$2:$A$100,0))&amp;" "&amp;INDEX('Weapons Database'!$D$2:$D$100,MATCH($Y376,'Weapons Database'!$A$2:$A$100,0)),""))</x:f>
      </x:c>
      <x:c r="AA376" t="str">
        <x:f>IF($Y376="","","Weapons Database")</x:f>
      </x:c>
    </x:row>
    <x:row r="377">
      <x:c r="Z377" t="str">
        <x:f>IF($Y377="","",IFERROR(INDEX('Weapons Database'!$C$2:$C$100,MATCH($Y377,'Weapons Database'!$A$2:$A$100,0))&amp;" "&amp;INDEX('Weapons Database'!$D$2:$D$100,MATCH($Y377,'Weapons Database'!$A$2:$A$100,0)),""))</x:f>
      </x:c>
      <x:c r="AA377" t="str">
        <x:f>IF($Y377="","","Weapons Database")</x:f>
      </x:c>
    </x:row>
    <x:row r="378">
      <x:c r="Z378" t="str">
        <x:f>IF($Y378="","",IFERROR(INDEX('Weapons Database'!$C$2:$C$100,MATCH($Y378,'Weapons Database'!$A$2:$A$100,0))&amp;" "&amp;INDEX('Weapons Database'!$D$2:$D$100,MATCH($Y378,'Weapons Database'!$A$2:$A$100,0)),""))</x:f>
      </x:c>
      <x:c r="AA378" t="str">
        <x:f>IF($Y378="","","Weapons Database")</x:f>
      </x:c>
    </x:row>
    <x:row r="379">
      <x:c r="Z379" t="str">
        <x:f>IF($Y379="","",IFERROR(INDEX('Weapons Database'!$C$2:$C$100,MATCH($Y379,'Weapons Database'!$A$2:$A$100,0))&amp;" "&amp;INDEX('Weapons Database'!$D$2:$D$100,MATCH($Y379,'Weapons Database'!$A$2:$A$100,0)),""))</x:f>
      </x:c>
      <x:c r="AA379" t="str">
        <x:f>IF($Y379="","","Weapons Database")</x:f>
      </x:c>
    </x:row>
    <x:row r="380">
      <x:c r="Z380" t="str">
        <x:f>IF($Y380="","",IFERROR(INDEX('Weapons Database'!$C$2:$C$100,MATCH($Y380,'Weapons Database'!$A$2:$A$100,0))&amp;" "&amp;INDEX('Weapons Database'!$D$2:$D$100,MATCH($Y380,'Weapons Database'!$A$2:$A$100,0)),""))</x:f>
      </x:c>
      <x:c r="AA380" t="str">
        <x:f>IF($Y380="","","Weapons Database")</x:f>
      </x:c>
    </x:row>
    <x:row r="381">
      <x:c r="Z381" t="str">
        <x:f>IF($Y381="","",IFERROR(INDEX('Weapons Database'!$C$2:$C$100,MATCH($Y381,'Weapons Database'!$A$2:$A$100,0))&amp;" "&amp;INDEX('Weapons Database'!$D$2:$D$100,MATCH($Y381,'Weapons Database'!$A$2:$A$100,0)),""))</x:f>
      </x:c>
      <x:c r="AA381" t="str">
        <x:f>IF($Y381="","","Weapons Database")</x:f>
      </x:c>
    </x:row>
    <x:row r="382">
      <x:c r="Z382" t="str">
        <x:f>IF($Y382="","",IFERROR(INDEX('Weapons Database'!$C$2:$C$100,MATCH($Y382,'Weapons Database'!$A$2:$A$100,0))&amp;" "&amp;INDEX('Weapons Database'!$D$2:$D$100,MATCH($Y382,'Weapons Database'!$A$2:$A$100,0)),""))</x:f>
      </x:c>
      <x:c r="AA382" t="str">
        <x:f>IF($Y382="","","Weapons Database")</x:f>
      </x:c>
    </x:row>
    <x:row r="383">
      <x:c r="Z383" t="str">
        <x:f>IF($Y383="","",IFERROR(INDEX('Weapons Database'!$C$2:$C$100,MATCH($Y383,'Weapons Database'!$A$2:$A$100,0))&amp;" "&amp;INDEX('Weapons Database'!$D$2:$D$100,MATCH($Y383,'Weapons Database'!$A$2:$A$100,0)),""))</x:f>
      </x:c>
      <x:c r="AA383" t="str">
        <x:f>IF($Y383="","","Weapons Database")</x:f>
      </x:c>
    </x:row>
    <x:row r="384">
      <x:c r="Z384" t="str">
        <x:f>IF($Y384="","",IFERROR(INDEX('Weapons Database'!$C$2:$C$100,MATCH($Y384,'Weapons Database'!$A$2:$A$100,0))&amp;" "&amp;INDEX('Weapons Database'!$D$2:$D$100,MATCH($Y384,'Weapons Database'!$A$2:$A$100,0)),""))</x:f>
      </x:c>
      <x:c r="AA384" t="str">
        <x:f>IF($Y384="","","Weapons Database")</x:f>
      </x:c>
    </x:row>
    <x:row r="385">
      <x:c r="Z385" t="str">
        <x:f>IF($Y385="","",IFERROR(INDEX('Weapons Database'!$C$2:$C$100,MATCH($Y385,'Weapons Database'!$A$2:$A$100,0))&amp;" "&amp;INDEX('Weapons Database'!$D$2:$D$100,MATCH($Y385,'Weapons Database'!$A$2:$A$100,0)),""))</x:f>
      </x:c>
      <x:c r="AA385" t="str">
        <x:f>IF($Y385="","","Weapons Database")</x:f>
      </x:c>
    </x:row>
    <x:row r="386">
      <x:c r="Z386" t="str">
        <x:f>IF($Y386="","",IFERROR(INDEX('Weapons Database'!$C$2:$C$100,MATCH($Y386,'Weapons Database'!$A$2:$A$100,0))&amp;" "&amp;INDEX('Weapons Database'!$D$2:$D$100,MATCH($Y386,'Weapons Database'!$A$2:$A$100,0)),""))</x:f>
      </x:c>
      <x:c r="AA386" t="str">
        <x:f>IF($Y386="","","Weapons Database")</x:f>
      </x:c>
    </x:row>
    <x:row r="387">
      <x:c r="Z387" t="str">
        <x:f>IF($Y387="","",IFERROR(INDEX('Weapons Database'!$C$2:$C$100,MATCH($Y387,'Weapons Database'!$A$2:$A$100,0))&amp;" "&amp;INDEX('Weapons Database'!$D$2:$D$100,MATCH($Y387,'Weapons Database'!$A$2:$A$100,0)),""))</x:f>
      </x:c>
      <x:c r="AA387" t="str">
        <x:f>IF($Y387="","","Weapons Database")</x:f>
      </x:c>
    </x:row>
    <x:row r="388">
      <x:c r="Z388" t="str">
        <x:f>IF($Y388="","",IFERROR(INDEX('Weapons Database'!$C$2:$C$100,MATCH($Y388,'Weapons Database'!$A$2:$A$100,0))&amp;" "&amp;INDEX('Weapons Database'!$D$2:$D$100,MATCH($Y388,'Weapons Database'!$A$2:$A$100,0)),""))</x:f>
      </x:c>
      <x:c r="AA388" t="str">
        <x:f>IF($Y388="","","Weapons Database")</x:f>
      </x:c>
    </x:row>
    <x:row r="389">
      <x:c r="Z389" t="str">
        <x:f>IF($Y389="","",IFERROR(INDEX('Weapons Database'!$C$2:$C$100,MATCH($Y389,'Weapons Database'!$A$2:$A$100,0))&amp;" "&amp;INDEX('Weapons Database'!$D$2:$D$100,MATCH($Y389,'Weapons Database'!$A$2:$A$100,0)),""))</x:f>
      </x:c>
      <x:c r="AA389" t="str">
        <x:f>IF($Y389="","","Weapons Database")</x:f>
      </x:c>
    </x:row>
    <x:row r="390">
      <x:c r="Z390" t="str">
        <x:f>IF($Y390="","",IFERROR(INDEX('Weapons Database'!$C$2:$C$100,MATCH($Y390,'Weapons Database'!$A$2:$A$100,0))&amp;" "&amp;INDEX('Weapons Database'!$D$2:$D$100,MATCH($Y390,'Weapons Database'!$A$2:$A$100,0)),""))</x:f>
      </x:c>
      <x:c r="AA390" t="str">
        <x:f>IF($Y390="","","Weapons Database")</x:f>
      </x:c>
    </x:row>
    <x:row r="391">
      <x:c r="Z391" t="str">
        <x:f>IF($Y391="","",IFERROR(INDEX('Weapons Database'!$C$2:$C$100,MATCH($Y391,'Weapons Database'!$A$2:$A$100,0))&amp;" "&amp;INDEX('Weapons Database'!$D$2:$D$100,MATCH($Y391,'Weapons Database'!$A$2:$A$100,0)),""))</x:f>
      </x:c>
      <x:c r="AA391" t="str">
        <x:f>IF($Y391="","","Weapons Database")</x:f>
      </x:c>
    </x:row>
    <x:row r="392">
      <x:c r="Z392" t="str">
        <x:f>IF($Y392="","",IFERROR(INDEX('Weapons Database'!$C$2:$C$100,MATCH($Y392,'Weapons Database'!$A$2:$A$100,0))&amp;" "&amp;INDEX('Weapons Database'!$D$2:$D$100,MATCH($Y392,'Weapons Database'!$A$2:$A$100,0)),""))</x:f>
      </x:c>
      <x:c r="AA392" t="str">
        <x:f>IF($Y392="","","Weapons Database")</x:f>
      </x:c>
    </x:row>
    <x:row r="393">
      <x:c r="Z393" t="str">
        <x:f>IF($Y393="","",IFERROR(INDEX('Weapons Database'!$C$2:$C$100,MATCH($Y393,'Weapons Database'!$A$2:$A$100,0))&amp;" "&amp;INDEX('Weapons Database'!$D$2:$D$100,MATCH($Y393,'Weapons Database'!$A$2:$A$100,0)),""))</x:f>
      </x:c>
      <x:c r="AA393" t="str">
        <x:f>IF($Y393="","","Weapons Database")</x:f>
      </x:c>
    </x:row>
    <x:row r="394">
      <x:c r="Z394" t="str">
        <x:f>IF($Y394="","",IFERROR(INDEX('Weapons Database'!$C$2:$C$100,MATCH($Y394,'Weapons Database'!$A$2:$A$100,0))&amp;" "&amp;INDEX('Weapons Database'!$D$2:$D$100,MATCH($Y394,'Weapons Database'!$A$2:$A$100,0)),""))</x:f>
      </x:c>
      <x:c r="AA394" t="str">
        <x:f>IF($Y394="","","Weapons Database")</x:f>
      </x:c>
    </x:row>
    <x:row r="395">
      <x:c r="Z395" t="str">
        <x:f>IF($Y395="","",IFERROR(INDEX('Weapons Database'!$C$2:$C$100,MATCH($Y395,'Weapons Database'!$A$2:$A$100,0))&amp;" "&amp;INDEX('Weapons Database'!$D$2:$D$100,MATCH($Y395,'Weapons Database'!$A$2:$A$100,0)),""))</x:f>
      </x:c>
      <x:c r="AA395" t="str">
        <x:f>IF($Y395="","","Weapons Database")</x:f>
      </x:c>
    </x:row>
    <x:row r="396">
      <x:c r="Z396" t="str">
        <x:f>IF($Y396="","",IFERROR(INDEX('Weapons Database'!$C$2:$C$100,MATCH($Y396,'Weapons Database'!$A$2:$A$100,0))&amp;" "&amp;INDEX('Weapons Database'!$D$2:$D$100,MATCH($Y396,'Weapons Database'!$A$2:$A$100,0)),""))</x:f>
      </x:c>
      <x:c r="AA396" t="str">
        <x:f>IF($Y396="","","Weapons Database")</x:f>
      </x:c>
    </x:row>
    <x:row r="397">
      <x:c r="Z397" t="str">
        <x:f>IF($Y397="","",IFERROR(INDEX('Weapons Database'!$C$2:$C$100,MATCH($Y397,'Weapons Database'!$A$2:$A$100,0))&amp;" "&amp;INDEX('Weapons Database'!$D$2:$D$100,MATCH($Y397,'Weapons Database'!$A$2:$A$100,0)),""))</x:f>
      </x:c>
      <x:c r="AA397" t="str">
        <x:f>IF($Y397="","","Weapons Database")</x:f>
      </x:c>
    </x:row>
    <x:row r="398">
      <x:c r="Z398" t="str">
        <x:f>IF($Y398="","",IFERROR(INDEX('Weapons Database'!$C$2:$C$100,MATCH($Y398,'Weapons Database'!$A$2:$A$100,0))&amp;" "&amp;INDEX('Weapons Database'!$D$2:$D$100,MATCH($Y398,'Weapons Database'!$A$2:$A$100,0)),""))</x:f>
      </x:c>
      <x:c r="AA398" t="str">
        <x:f>IF($Y398="","","Weapons Database")</x:f>
      </x:c>
    </x:row>
    <x:row r="399">
      <x:c r="Z399" t="str">
        <x:f>IF($Y399="","",IFERROR(INDEX('Weapons Database'!$C$2:$C$100,MATCH($Y399,'Weapons Database'!$A$2:$A$100,0))&amp;" "&amp;INDEX('Weapons Database'!$D$2:$D$100,MATCH($Y399,'Weapons Database'!$A$2:$A$100,0)),""))</x:f>
      </x:c>
      <x:c r="AA399" t="str">
        <x:f>IF($Y399="","","Weapons Database")</x:f>
      </x:c>
    </x:row>
    <x:row r="400">
      <x:c r="Z400" t="str">
        <x:f>IF($Y400="","",IFERROR(INDEX('Weapons Database'!$C$2:$C$100,MATCH($Y400,'Weapons Database'!$A$2:$A$100,0))&amp;" "&amp;INDEX('Weapons Database'!$D$2:$D$100,MATCH($Y400,'Weapons Database'!$A$2:$A$100,0)),""))</x:f>
      </x:c>
      <x:c r="AA400" t="str">
        <x:f>IF($Y400="","","Weapons Database")</x:f>
      </x:c>
    </x:row>
    <x:row r="401">
      <x:c r="Z401" t="str">
        <x:f>IF($Y401="","",IFERROR(INDEX('Weapons Database'!$C$2:$C$100,MATCH($Y401,'Weapons Database'!$A$2:$A$100,0))&amp;" "&amp;INDEX('Weapons Database'!$D$2:$D$100,MATCH($Y401,'Weapons Database'!$A$2:$A$100,0)),""))</x:f>
      </x:c>
      <x:c r="AA401" t="str">
        <x:f>IF($Y401="","","Weapons Database")</x:f>
      </x:c>
    </x:row>
    <x:row r="402">
      <x:c r="Z402" t="str">
        <x:f>IF($Y402="","",IFERROR(INDEX('Weapons Database'!$C$2:$C$100,MATCH($Y402,'Weapons Database'!$A$2:$A$100,0))&amp;" "&amp;INDEX('Weapons Database'!$D$2:$D$100,MATCH($Y402,'Weapons Database'!$A$2:$A$100,0)),""))</x:f>
      </x:c>
      <x:c r="AA402" t="str">
        <x:f>IF($Y402="","","Weapons Database")</x:f>
      </x:c>
    </x:row>
    <x:row r="403">
      <x:c r="Z403" t="str">
        <x:f>IF($Y403="","",IFERROR(INDEX('Weapons Database'!$C$2:$C$100,MATCH($Y403,'Weapons Database'!$A$2:$A$100,0))&amp;" "&amp;INDEX('Weapons Database'!$D$2:$D$100,MATCH($Y403,'Weapons Database'!$A$2:$A$100,0)),""))</x:f>
      </x:c>
      <x:c r="AA403" t="str">
        <x:f>IF($Y403="","","Weapons Database")</x:f>
      </x:c>
    </x:row>
    <x:row r="404">
      <x:c r="Z404" t="str">
        <x:f>IF($Y404="","",IFERROR(INDEX('Weapons Database'!$C$2:$C$100,MATCH($Y404,'Weapons Database'!$A$2:$A$100,0))&amp;" "&amp;INDEX('Weapons Database'!$D$2:$D$100,MATCH($Y404,'Weapons Database'!$A$2:$A$100,0)),""))</x:f>
      </x:c>
      <x:c r="AA404" t="str">
        <x:f>IF($Y404="","","Weapons Database")</x:f>
      </x:c>
    </x:row>
    <x:row r="405">
      <x:c r="Z405" t="str">
        <x:f>IF($Y405="","",IFERROR(INDEX('Weapons Database'!$C$2:$C$100,MATCH($Y405,'Weapons Database'!$A$2:$A$100,0))&amp;" "&amp;INDEX('Weapons Database'!$D$2:$D$100,MATCH($Y405,'Weapons Database'!$A$2:$A$100,0)),""))</x:f>
      </x:c>
      <x:c r="AA405" t="str">
        <x:f>IF($Y405="","","Weapons Database")</x:f>
      </x:c>
    </x:row>
    <x:row r="406">
      <x:c r="Z406" t="str">
        <x:f>IF($Y406="","",IFERROR(INDEX('Weapons Database'!$C$2:$C$100,MATCH($Y406,'Weapons Database'!$A$2:$A$100,0))&amp;" "&amp;INDEX('Weapons Database'!$D$2:$D$100,MATCH($Y406,'Weapons Database'!$A$2:$A$100,0)),""))</x:f>
      </x:c>
      <x:c r="AA406" t="str">
        <x:f>IF($Y406="","","Weapons Database")</x:f>
      </x:c>
    </x:row>
    <x:row r="407">
      <x:c r="Z407" t="str">
        <x:f>IF($Y407="","",IFERROR(INDEX('Weapons Database'!$C$2:$C$100,MATCH($Y407,'Weapons Database'!$A$2:$A$100,0))&amp;" "&amp;INDEX('Weapons Database'!$D$2:$D$100,MATCH($Y407,'Weapons Database'!$A$2:$A$100,0)),""))</x:f>
      </x:c>
      <x:c r="AA407" t="str">
        <x:f>IF($Y407="","","Weapons Database")</x:f>
      </x:c>
    </x:row>
    <x:row r="408">
      <x:c r="Z408" t="str">
        <x:f>IF($Y408="","",IFERROR(INDEX('Weapons Database'!$C$2:$C$100,MATCH($Y408,'Weapons Database'!$A$2:$A$100,0))&amp;" "&amp;INDEX('Weapons Database'!$D$2:$D$100,MATCH($Y408,'Weapons Database'!$A$2:$A$100,0)),""))</x:f>
      </x:c>
      <x:c r="AA408" t="str">
        <x:f>IF($Y408="","","Weapons Database")</x:f>
      </x:c>
    </x:row>
    <x:row r="409">
      <x:c r="Z409" t="str">
        <x:f>IF($Y409="","",IFERROR(INDEX('Weapons Database'!$C$2:$C$100,MATCH($Y409,'Weapons Database'!$A$2:$A$100,0))&amp;" "&amp;INDEX('Weapons Database'!$D$2:$D$100,MATCH($Y409,'Weapons Database'!$A$2:$A$100,0)),""))</x:f>
      </x:c>
      <x:c r="AA409" t="str">
        <x:f>IF($Y409="","","Weapons Database")</x:f>
      </x:c>
    </x:row>
    <x:row r="410">
      <x:c r="Z410" t="str">
        <x:f>IF($Y410="","",IFERROR(INDEX('Weapons Database'!$C$2:$C$100,MATCH($Y410,'Weapons Database'!$A$2:$A$100,0))&amp;" "&amp;INDEX('Weapons Database'!$D$2:$D$100,MATCH($Y410,'Weapons Database'!$A$2:$A$100,0)),""))</x:f>
      </x:c>
      <x:c r="AA410" t="str">
        <x:f>IF($Y410="","","Weapons Database")</x:f>
      </x:c>
    </x:row>
    <x:row r="411">
      <x:c r="Z411" t="str">
        <x:f>IF($Y411="","",IFERROR(INDEX('Weapons Database'!$C$2:$C$100,MATCH($Y411,'Weapons Database'!$A$2:$A$100,0))&amp;" "&amp;INDEX('Weapons Database'!$D$2:$D$100,MATCH($Y411,'Weapons Database'!$A$2:$A$100,0)),""))</x:f>
      </x:c>
      <x:c r="AA411" t="str">
        <x:f>IF($Y411="","","Weapons Database")</x:f>
      </x:c>
    </x:row>
    <x:row r="412">
      <x:c r="Z412" t="str">
        <x:f>IF($Y412="","",IFERROR(INDEX('Weapons Database'!$C$2:$C$100,MATCH($Y412,'Weapons Database'!$A$2:$A$100,0))&amp;" "&amp;INDEX('Weapons Database'!$D$2:$D$100,MATCH($Y412,'Weapons Database'!$A$2:$A$100,0)),""))</x:f>
      </x:c>
      <x:c r="AA412" t="str">
        <x:f>IF($Y412="","","Weapons Database")</x:f>
      </x:c>
    </x:row>
    <x:row r="413">
      <x:c r="Z413" t="str">
        <x:f>IF($Y413="","",IFERROR(INDEX('Weapons Database'!$C$2:$C$100,MATCH($Y413,'Weapons Database'!$A$2:$A$100,0))&amp;" "&amp;INDEX('Weapons Database'!$D$2:$D$100,MATCH($Y413,'Weapons Database'!$A$2:$A$100,0)),""))</x:f>
      </x:c>
      <x:c r="AA413" t="str">
        <x:f>IF($Y413="","","Weapons Database")</x:f>
      </x:c>
    </x:row>
    <x:row r="414">
      <x:c r="Z414" t="str">
        <x:f>IF($Y414="","",IFERROR(INDEX('Weapons Database'!$C$2:$C$100,MATCH($Y414,'Weapons Database'!$A$2:$A$100,0))&amp;" "&amp;INDEX('Weapons Database'!$D$2:$D$100,MATCH($Y414,'Weapons Database'!$A$2:$A$100,0)),""))</x:f>
      </x:c>
      <x:c r="AA414" t="str">
        <x:f>IF($Y414="","","Weapons Database")</x:f>
      </x:c>
    </x:row>
    <x:row r="415">
      <x:c r="Z415" t="str">
        <x:f>IF($Y415="","",IFERROR(INDEX('Weapons Database'!$C$2:$C$100,MATCH($Y415,'Weapons Database'!$A$2:$A$100,0))&amp;" "&amp;INDEX('Weapons Database'!$D$2:$D$100,MATCH($Y415,'Weapons Database'!$A$2:$A$100,0)),""))</x:f>
      </x:c>
      <x:c r="AA415" t="str">
        <x:f>IF($Y415="","","Weapons Database")</x:f>
      </x:c>
    </x:row>
    <x:row r="416">
      <x:c r="Z416" t="str">
        <x:f>IF($Y416="","",IFERROR(INDEX('Weapons Database'!$C$2:$C$100,MATCH($Y416,'Weapons Database'!$A$2:$A$100,0))&amp;" "&amp;INDEX('Weapons Database'!$D$2:$D$100,MATCH($Y416,'Weapons Database'!$A$2:$A$100,0)),""))</x:f>
      </x:c>
      <x:c r="AA416" t="str">
        <x:f>IF($Y416="","","Weapons Database")</x:f>
      </x:c>
    </x:row>
    <x:row r="417">
      <x:c r="Z417" t="str">
        <x:f>IF($Y417="","",IFERROR(INDEX('Weapons Database'!$C$2:$C$100,MATCH($Y417,'Weapons Database'!$A$2:$A$100,0))&amp;" "&amp;INDEX('Weapons Database'!$D$2:$D$100,MATCH($Y417,'Weapons Database'!$A$2:$A$100,0)),""))</x:f>
      </x:c>
      <x:c r="AA417" t="str">
        <x:f>IF($Y417="","","Weapons Database")</x:f>
      </x:c>
    </x:row>
    <x:row r="418">
      <x:c r="Z418" t="str">
        <x:f>IF($Y418="","",IFERROR(INDEX('Weapons Database'!$C$2:$C$100,MATCH($Y418,'Weapons Database'!$A$2:$A$100,0))&amp;" "&amp;INDEX('Weapons Database'!$D$2:$D$100,MATCH($Y418,'Weapons Database'!$A$2:$A$100,0)),""))</x:f>
      </x:c>
      <x:c r="AA418" t="str">
        <x:f>IF($Y418="","","Weapons Database")</x:f>
      </x:c>
    </x:row>
    <x:row r="419">
      <x:c r="Z419" t="str">
        <x:f>IF($Y419="","",IFERROR(INDEX('Weapons Database'!$C$2:$C$100,MATCH($Y419,'Weapons Database'!$A$2:$A$100,0))&amp;" "&amp;INDEX('Weapons Database'!$D$2:$D$100,MATCH($Y419,'Weapons Database'!$A$2:$A$100,0)),""))</x:f>
      </x:c>
      <x:c r="AA419" t="str">
        <x:f>IF($Y419="","","Weapons Database")</x:f>
      </x:c>
    </x:row>
    <x:row r="420">
      <x:c r="Z420" t="str">
        <x:f>IF($Y420="","",IFERROR(INDEX('Weapons Database'!$C$2:$C$100,MATCH($Y420,'Weapons Database'!$A$2:$A$100,0))&amp;" "&amp;INDEX('Weapons Database'!$D$2:$D$100,MATCH($Y420,'Weapons Database'!$A$2:$A$100,0)),""))</x:f>
      </x:c>
      <x:c r="AA420" t="str">
        <x:f>IF($Y420="","","Weapons Database")</x:f>
      </x:c>
    </x:row>
    <x:row r="421">
      <x:c r="Z421" t="str">
        <x:f>IF($Y421="","",IFERROR(INDEX('Weapons Database'!$C$2:$C$100,MATCH($Y421,'Weapons Database'!$A$2:$A$100,0))&amp;" "&amp;INDEX('Weapons Database'!$D$2:$D$100,MATCH($Y421,'Weapons Database'!$A$2:$A$100,0)),""))</x:f>
      </x:c>
      <x:c r="AA421" t="str">
        <x:f>IF($Y421="","","Weapons Database")</x:f>
      </x:c>
    </x:row>
    <x:row r="422">
      <x:c r="Z422" t="str">
        <x:f>IF($Y422="","",IFERROR(INDEX('Weapons Database'!$C$2:$C$100,MATCH($Y422,'Weapons Database'!$A$2:$A$100,0))&amp;" "&amp;INDEX('Weapons Database'!$D$2:$D$100,MATCH($Y422,'Weapons Database'!$A$2:$A$100,0)),""))</x:f>
      </x:c>
      <x:c r="AA422" t="str">
        <x:f>IF($Y422="","","Weapons Database")</x:f>
      </x:c>
    </x:row>
    <x:row r="423">
      <x:c r="Z423" t="str">
        <x:f>IF($Y423="","",IFERROR(INDEX('Weapons Database'!$C$2:$C$100,MATCH($Y423,'Weapons Database'!$A$2:$A$100,0))&amp;" "&amp;INDEX('Weapons Database'!$D$2:$D$100,MATCH($Y423,'Weapons Database'!$A$2:$A$100,0)),""))</x:f>
      </x:c>
      <x:c r="AA423" t="str">
        <x:f>IF($Y423="","","Weapons Database")</x:f>
      </x:c>
    </x:row>
    <x:row r="424">
      <x:c r="Z424" t="str">
        <x:f>IF($Y424="","",IFERROR(INDEX('Weapons Database'!$C$2:$C$100,MATCH($Y424,'Weapons Database'!$A$2:$A$100,0))&amp;" "&amp;INDEX('Weapons Database'!$D$2:$D$100,MATCH($Y424,'Weapons Database'!$A$2:$A$100,0)),""))</x:f>
      </x:c>
      <x:c r="AA424" t="str">
        <x:f>IF($Y424="","","Weapons Database")</x:f>
      </x:c>
    </x:row>
    <x:row r="425">
      <x:c r="Z425" t="str">
        <x:f>IF($Y425="","",IFERROR(INDEX('Weapons Database'!$C$2:$C$100,MATCH($Y425,'Weapons Database'!$A$2:$A$100,0))&amp;" "&amp;INDEX('Weapons Database'!$D$2:$D$100,MATCH($Y425,'Weapons Database'!$A$2:$A$100,0)),""))</x:f>
      </x:c>
      <x:c r="AA425" t="str">
        <x:f>IF($Y425="","","Weapons Database")</x:f>
      </x:c>
    </x:row>
    <x:row r="426">
      <x:c r="Z426" t="str">
        <x:f>IF($Y426="","",IFERROR(INDEX('Weapons Database'!$C$2:$C$100,MATCH($Y426,'Weapons Database'!$A$2:$A$100,0))&amp;" "&amp;INDEX('Weapons Database'!$D$2:$D$100,MATCH($Y426,'Weapons Database'!$A$2:$A$100,0)),""))</x:f>
      </x:c>
      <x:c r="AA426" t="str">
        <x:f>IF($Y426="","","Weapons Database")</x:f>
      </x:c>
    </x:row>
    <x:row r="427">
      <x:c r="Z427" t="str">
        <x:f>IF($Y427="","",IFERROR(INDEX('Weapons Database'!$C$2:$C$100,MATCH($Y427,'Weapons Database'!$A$2:$A$100,0))&amp;" "&amp;INDEX('Weapons Database'!$D$2:$D$100,MATCH($Y427,'Weapons Database'!$A$2:$A$100,0)),""))</x:f>
      </x:c>
      <x:c r="AA427" t="str">
        <x:f>IF($Y427="","","Weapons Database")</x:f>
      </x:c>
    </x:row>
    <x:row r="428">
      <x:c r="Z428" t="str">
        <x:f>IF($Y428="","",IFERROR(INDEX('Weapons Database'!$C$2:$C$100,MATCH($Y428,'Weapons Database'!$A$2:$A$100,0))&amp;" "&amp;INDEX('Weapons Database'!$D$2:$D$100,MATCH($Y428,'Weapons Database'!$A$2:$A$100,0)),""))</x:f>
      </x:c>
      <x:c r="AA428" t="str">
        <x:f>IF($Y428="","","Weapons Database")</x:f>
      </x:c>
    </x:row>
    <x:row r="429">
      <x:c r="Z429" t="str">
        <x:f>IF($Y429="","",IFERROR(INDEX('Weapons Database'!$C$2:$C$100,MATCH($Y429,'Weapons Database'!$A$2:$A$100,0))&amp;" "&amp;INDEX('Weapons Database'!$D$2:$D$100,MATCH($Y429,'Weapons Database'!$A$2:$A$100,0)),""))</x:f>
      </x:c>
      <x:c r="AA429" t="str">
        <x:f>IF($Y429="","","Weapons Database")</x:f>
      </x:c>
    </x:row>
    <x:row r="430">
      <x:c r="Z430" t="str">
        <x:f>IF($Y430="","",IFERROR(INDEX('Weapons Database'!$C$2:$C$100,MATCH($Y430,'Weapons Database'!$A$2:$A$100,0))&amp;" "&amp;INDEX('Weapons Database'!$D$2:$D$100,MATCH($Y430,'Weapons Database'!$A$2:$A$100,0)),""))</x:f>
      </x:c>
      <x:c r="AA430" t="str">
        <x:f>IF($Y430="","","Weapons Database")</x:f>
      </x:c>
    </x:row>
    <x:row r="431">
      <x:c r="Z431" t="str">
        <x:f>IF($Y431="","",IFERROR(INDEX('Weapons Database'!$C$2:$C$100,MATCH($Y431,'Weapons Database'!$A$2:$A$100,0))&amp;" "&amp;INDEX('Weapons Database'!$D$2:$D$100,MATCH($Y431,'Weapons Database'!$A$2:$A$100,0)),""))</x:f>
      </x:c>
      <x:c r="AA431" t="str">
        <x:f>IF($Y431="","","Weapons Database")</x:f>
      </x:c>
    </x:row>
    <x:row r="432">
      <x:c r="Z432" t="str">
        <x:f>IF($Y432="","",IFERROR(INDEX('Weapons Database'!$C$2:$C$100,MATCH($Y432,'Weapons Database'!$A$2:$A$100,0))&amp;" "&amp;INDEX('Weapons Database'!$D$2:$D$100,MATCH($Y432,'Weapons Database'!$A$2:$A$100,0)),""))</x:f>
      </x:c>
      <x:c r="AA432" t="str">
        <x:f>IF($Y432="","","Weapons Database")</x:f>
      </x:c>
    </x:row>
    <x:row r="433">
      <x:c r="Z433" t="str">
        <x:f>IF($Y433="","",IFERROR(INDEX('Weapons Database'!$C$2:$C$100,MATCH($Y433,'Weapons Database'!$A$2:$A$100,0))&amp;" "&amp;INDEX('Weapons Database'!$D$2:$D$100,MATCH($Y433,'Weapons Database'!$A$2:$A$100,0)),""))</x:f>
      </x:c>
      <x:c r="AA433" t="str">
        <x:f>IF($Y433="","","Weapons Database")</x:f>
      </x:c>
    </x:row>
    <x:row r="434">
      <x:c r="Z434" t="str">
        <x:f>IF($Y434="","",IFERROR(INDEX('Weapons Database'!$C$2:$C$100,MATCH($Y434,'Weapons Database'!$A$2:$A$100,0))&amp;" "&amp;INDEX('Weapons Database'!$D$2:$D$100,MATCH($Y434,'Weapons Database'!$A$2:$A$100,0)),""))</x:f>
      </x:c>
      <x:c r="AA434" t="str">
        <x:f>IF($Y434="","","Weapons Database")</x:f>
      </x:c>
    </x:row>
    <x:row r="435">
      <x:c r="Z435" t="str">
        <x:f>IF($Y435="","",IFERROR(INDEX('Weapons Database'!$C$2:$C$100,MATCH($Y435,'Weapons Database'!$A$2:$A$100,0))&amp;" "&amp;INDEX('Weapons Database'!$D$2:$D$100,MATCH($Y435,'Weapons Database'!$A$2:$A$100,0)),""))</x:f>
      </x:c>
      <x:c r="AA435" t="str">
        <x:f>IF($Y435="","","Weapons Database")</x:f>
      </x:c>
    </x:row>
    <x:row r="436">
      <x:c r="Z436" t="str">
        <x:f>IF($Y436="","",IFERROR(INDEX('Weapons Database'!$C$2:$C$100,MATCH($Y436,'Weapons Database'!$A$2:$A$100,0))&amp;" "&amp;INDEX('Weapons Database'!$D$2:$D$100,MATCH($Y436,'Weapons Database'!$A$2:$A$100,0)),""))</x:f>
      </x:c>
      <x:c r="AA436" t="str">
        <x:f>IF($Y436="","","Weapons Database")</x:f>
      </x:c>
    </x:row>
    <x:row r="437">
      <x:c r="Z437" t="str">
        <x:f>IF($Y437="","",IFERROR(INDEX('Weapons Database'!$C$2:$C$100,MATCH($Y437,'Weapons Database'!$A$2:$A$100,0))&amp;" "&amp;INDEX('Weapons Database'!$D$2:$D$100,MATCH($Y437,'Weapons Database'!$A$2:$A$100,0)),""))</x:f>
      </x:c>
      <x:c r="AA437" t="str">
        <x:f>IF($Y437="","","Weapons Database")</x:f>
      </x:c>
    </x:row>
    <x:row r="438">
      <x:c r="Z438" t="str">
        <x:f>IF($Y438="","",IFERROR(INDEX('Weapons Database'!$C$2:$C$100,MATCH($Y438,'Weapons Database'!$A$2:$A$100,0))&amp;" "&amp;INDEX('Weapons Database'!$D$2:$D$100,MATCH($Y438,'Weapons Database'!$A$2:$A$100,0)),""))</x:f>
      </x:c>
      <x:c r="AA438" t="str">
        <x:f>IF($Y438="","","Weapons Database")</x:f>
      </x:c>
    </x:row>
    <x:row r="439">
      <x:c r="Z439" t="str">
        <x:f>IF($Y439="","",IFERROR(INDEX('Weapons Database'!$C$2:$C$100,MATCH($Y439,'Weapons Database'!$A$2:$A$100,0))&amp;" "&amp;INDEX('Weapons Database'!$D$2:$D$100,MATCH($Y439,'Weapons Database'!$A$2:$A$100,0)),""))</x:f>
      </x:c>
      <x:c r="AA439" t="str">
        <x:f>IF($Y439="","","Weapons Database")</x:f>
      </x:c>
    </x:row>
    <x:row r="440">
      <x:c r="Z440" t="str">
        <x:f>IF($Y440="","",IFERROR(INDEX('Weapons Database'!$C$2:$C$100,MATCH($Y440,'Weapons Database'!$A$2:$A$100,0))&amp;" "&amp;INDEX('Weapons Database'!$D$2:$D$100,MATCH($Y440,'Weapons Database'!$A$2:$A$100,0)),""))</x:f>
      </x:c>
      <x:c r="AA440" t="str">
        <x:f>IF($Y440="","","Weapons Database")</x:f>
      </x:c>
    </x:row>
    <x:row r="441">
      <x:c r="Z441" t="str">
        <x:f>IF($Y441="","",IFERROR(INDEX('Weapons Database'!$C$2:$C$100,MATCH($Y441,'Weapons Database'!$A$2:$A$100,0))&amp;" "&amp;INDEX('Weapons Database'!$D$2:$D$100,MATCH($Y441,'Weapons Database'!$A$2:$A$100,0)),""))</x:f>
      </x:c>
      <x:c r="AA441" t="str">
        <x:f>IF($Y441="","","Weapons Database")</x:f>
      </x:c>
    </x:row>
    <x:row r="442">
      <x:c r="Z442" t="str">
        <x:f>IF($Y442="","",IFERROR(INDEX('Weapons Database'!$C$2:$C$100,MATCH($Y442,'Weapons Database'!$A$2:$A$100,0))&amp;" "&amp;INDEX('Weapons Database'!$D$2:$D$100,MATCH($Y442,'Weapons Database'!$A$2:$A$100,0)),""))</x:f>
      </x:c>
      <x:c r="AA442" t="str">
        <x:f>IF($Y442="","","Weapons Database")</x:f>
      </x:c>
    </x:row>
    <x:row r="443">
      <x:c r="Z443" t="str">
        <x:f>IF($Y443="","",IFERROR(INDEX('Weapons Database'!$C$2:$C$100,MATCH($Y443,'Weapons Database'!$A$2:$A$100,0))&amp;" "&amp;INDEX('Weapons Database'!$D$2:$D$100,MATCH($Y443,'Weapons Database'!$A$2:$A$100,0)),""))</x:f>
      </x:c>
      <x:c r="AA443" t="str">
        <x:f>IF($Y443="","","Weapons Database")</x:f>
      </x:c>
    </x:row>
    <x:row r="444">
      <x:c r="Z444" t="str">
        <x:f>IF($Y444="","",IFERROR(INDEX('Weapons Database'!$C$2:$C$100,MATCH($Y444,'Weapons Database'!$A$2:$A$100,0))&amp;" "&amp;INDEX('Weapons Database'!$D$2:$D$100,MATCH($Y444,'Weapons Database'!$A$2:$A$100,0)),""))</x:f>
      </x:c>
      <x:c r="AA444" t="str">
        <x:f>IF($Y444="","","Weapons Database")</x:f>
      </x:c>
    </x:row>
    <x:row r="445">
      <x:c r="Z445" t="str">
        <x:f>IF($Y445="","",IFERROR(INDEX('Weapons Database'!$C$2:$C$100,MATCH($Y445,'Weapons Database'!$A$2:$A$100,0))&amp;" "&amp;INDEX('Weapons Database'!$D$2:$D$100,MATCH($Y445,'Weapons Database'!$A$2:$A$100,0)),""))</x:f>
      </x:c>
      <x:c r="AA445" t="str">
        <x:f>IF($Y445="","","Weapons Database")</x:f>
      </x:c>
    </x:row>
    <x:row r="446">
      <x:c r="Z446" t="str">
        <x:f>IF($Y446="","",IFERROR(INDEX('Weapons Database'!$C$2:$C$100,MATCH($Y446,'Weapons Database'!$A$2:$A$100,0))&amp;" "&amp;INDEX('Weapons Database'!$D$2:$D$100,MATCH($Y446,'Weapons Database'!$A$2:$A$100,0)),""))</x:f>
      </x:c>
      <x:c r="AA446" t="str">
        <x:f>IF($Y446="","","Weapons Database")</x:f>
      </x:c>
    </x:row>
    <x:row r="447">
      <x:c r="Z447" t="str">
        <x:f>IF($Y447="","",IFERROR(INDEX('Weapons Database'!$C$2:$C$100,MATCH($Y447,'Weapons Database'!$A$2:$A$100,0))&amp;" "&amp;INDEX('Weapons Database'!$D$2:$D$100,MATCH($Y447,'Weapons Database'!$A$2:$A$100,0)),""))</x:f>
      </x:c>
      <x:c r="AA447" t="str">
        <x:f>IF($Y447="","","Weapons Database")</x:f>
      </x:c>
    </x:row>
    <x:row r="448">
      <x:c r="Z448" t="str">
        <x:f>IF($Y448="","",IFERROR(INDEX('Weapons Database'!$C$2:$C$100,MATCH($Y448,'Weapons Database'!$A$2:$A$100,0))&amp;" "&amp;INDEX('Weapons Database'!$D$2:$D$100,MATCH($Y448,'Weapons Database'!$A$2:$A$100,0)),""))</x:f>
      </x:c>
      <x:c r="AA448" t="str">
        <x:f>IF($Y448="","","Weapons Database")</x:f>
      </x:c>
    </x:row>
    <x:row r="449">
      <x:c r="Z449" t="str">
        <x:f>IF($Y449="","",IFERROR(INDEX('Weapons Database'!$C$2:$C$100,MATCH($Y449,'Weapons Database'!$A$2:$A$100,0))&amp;" "&amp;INDEX('Weapons Database'!$D$2:$D$100,MATCH($Y449,'Weapons Database'!$A$2:$A$100,0)),""))</x:f>
      </x:c>
      <x:c r="AA449" t="str">
        <x:f>IF($Y449="","","Weapons Database")</x:f>
      </x:c>
    </x:row>
    <x:row r="450">
      <x:c r="Z450" t="str">
        <x:f>IF($Y450="","",IFERROR(INDEX('Weapons Database'!$C$2:$C$100,MATCH($Y450,'Weapons Database'!$A$2:$A$100,0))&amp;" "&amp;INDEX('Weapons Database'!$D$2:$D$100,MATCH($Y450,'Weapons Database'!$A$2:$A$100,0)),""))</x:f>
      </x:c>
      <x:c r="AA450" t="str">
        <x:f>IF($Y450="","","Weapons Database")</x:f>
      </x:c>
    </x:row>
    <x:row r="451">
      <x:c r="Z451" t="str">
        <x:f>IF($Y451="","",IFERROR(INDEX('Weapons Database'!$C$2:$C$100,MATCH($Y451,'Weapons Database'!$A$2:$A$100,0))&amp;" "&amp;INDEX('Weapons Database'!$D$2:$D$100,MATCH($Y451,'Weapons Database'!$A$2:$A$100,0)),""))</x:f>
      </x:c>
      <x:c r="AA451" t="str">
        <x:f>IF($Y451="","","Weapons Database")</x:f>
      </x:c>
    </x:row>
    <x:row r="452">
      <x:c r="Z452" t="str">
        <x:f>IF($Y452="","",IFERROR(INDEX('Weapons Database'!$C$2:$C$100,MATCH($Y452,'Weapons Database'!$A$2:$A$100,0))&amp;" "&amp;INDEX('Weapons Database'!$D$2:$D$100,MATCH($Y452,'Weapons Database'!$A$2:$A$100,0)),""))</x:f>
      </x:c>
      <x:c r="AA452" t="str">
        <x:f>IF($Y452="","","Weapons Database")</x:f>
      </x:c>
    </x:row>
    <x:row r="453">
      <x:c r="Z453" t="str">
        <x:f>IF($Y453="","",IFERROR(INDEX('Weapons Database'!$C$2:$C$100,MATCH($Y453,'Weapons Database'!$A$2:$A$100,0))&amp;" "&amp;INDEX('Weapons Database'!$D$2:$D$100,MATCH($Y453,'Weapons Database'!$A$2:$A$100,0)),""))</x:f>
      </x:c>
      <x:c r="AA453" t="str">
        <x:f>IF($Y453="","","Weapons Database")</x:f>
      </x:c>
    </x:row>
    <x:row r="454">
      <x:c r="Z454" t="str">
        <x:f>IF($Y454="","",IFERROR(INDEX('Weapons Database'!$C$2:$C$100,MATCH($Y454,'Weapons Database'!$A$2:$A$100,0))&amp;" "&amp;INDEX('Weapons Database'!$D$2:$D$100,MATCH($Y454,'Weapons Database'!$A$2:$A$100,0)),""))</x:f>
      </x:c>
      <x:c r="AA454" t="str">
        <x:f>IF($Y454="","","Weapons Database")</x:f>
      </x:c>
    </x:row>
    <x:row r="455">
      <x:c r="Z455" t="str">
        <x:f>IF($Y455="","",IFERROR(INDEX('Weapons Database'!$C$2:$C$100,MATCH($Y455,'Weapons Database'!$A$2:$A$100,0))&amp;" "&amp;INDEX('Weapons Database'!$D$2:$D$100,MATCH($Y455,'Weapons Database'!$A$2:$A$100,0)),""))</x:f>
      </x:c>
      <x:c r="AA455" t="str">
        <x:f>IF($Y455="","","Weapons Database")</x:f>
      </x:c>
    </x:row>
    <x:row r="456">
      <x:c r="Z456" t="str">
        <x:f>IF($Y456="","",IFERROR(INDEX('Weapons Database'!$C$2:$C$100,MATCH($Y456,'Weapons Database'!$A$2:$A$100,0))&amp;" "&amp;INDEX('Weapons Database'!$D$2:$D$100,MATCH($Y456,'Weapons Database'!$A$2:$A$100,0)),""))</x:f>
      </x:c>
      <x:c r="AA456" t="str">
        <x:f>IF($Y456="","","Weapons Database")</x:f>
      </x:c>
    </x:row>
    <x:row r="457">
      <x:c r="Z457" t="str">
        <x:f>IF($Y457="","",IFERROR(INDEX('Weapons Database'!$C$2:$C$100,MATCH($Y457,'Weapons Database'!$A$2:$A$100,0))&amp;" "&amp;INDEX('Weapons Database'!$D$2:$D$100,MATCH($Y457,'Weapons Database'!$A$2:$A$100,0)),""))</x:f>
      </x:c>
      <x:c r="AA457" t="str">
        <x:f>IF($Y457="","","Weapons Database")</x:f>
      </x:c>
    </x:row>
    <x:row r="458">
      <x:c r="Z458" t="str">
        <x:f>IF($Y458="","",IFERROR(INDEX('Weapons Database'!$C$2:$C$100,MATCH($Y458,'Weapons Database'!$A$2:$A$100,0))&amp;" "&amp;INDEX('Weapons Database'!$D$2:$D$100,MATCH($Y458,'Weapons Database'!$A$2:$A$100,0)),""))</x:f>
      </x:c>
      <x:c r="AA458" t="str">
        <x:f>IF($Y458="","","Weapons Database")</x:f>
      </x:c>
    </x:row>
    <x:row r="459">
      <x:c r="Z459" t="str">
        <x:f>IF($Y459="","",IFERROR(INDEX('Weapons Database'!$C$2:$C$100,MATCH($Y459,'Weapons Database'!$A$2:$A$100,0))&amp;" "&amp;INDEX('Weapons Database'!$D$2:$D$100,MATCH($Y459,'Weapons Database'!$A$2:$A$100,0)),""))</x:f>
      </x:c>
      <x:c r="AA459" t="str">
        <x:f>IF($Y459="","","Weapons Database")</x:f>
      </x:c>
    </x:row>
    <x:row r="460">
      <x:c r="Z460" t="str">
        <x:f>IF($Y460="","",IFERROR(INDEX('Weapons Database'!$C$2:$C$100,MATCH($Y460,'Weapons Database'!$A$2:$A$100,0))&amp;" "&amp;INDEX('Weapons Database'!$D$2:$D$100,MATCH($Y460,'Weapons Database'!$A$2:$A$100,0)),""))</x:f>
      </x:c>
      <x:c r="AA460" t="str">
        <x:f>IF($Y460="","","Weapons Database")</x:f>
      </x:c>
    </x:row>
    <x:row r="461">
      <x:c r="Z461" t="str">
        <x:f>IF($Y461="","",IFERROR(INDEX('Weapons Database'!$C$2:$C$100,MATCH($Y461,'Weapons Database'!$A$2:$A$100,0))&amp;" "&amp;INDEX('Weapons Database'!$D$2:$D$100,MATCH($Y461,'Weapons Database'!$A$2:$A$100,0)),""))</x:f>
      </x:c>
      <x:c r="AA461" t="str">
        <x:f>IF($Y461="","","Weapons Database")</x:f>
      </x:c>
    </x:row>
    <x:row r="462">
      <x:c r="Z462" t="str">
        <x:f>IF($Y462="","",IFERROR(INDEX('Weapons Database'!$C$2:$C$100,MATCH($Y462,'Weapons Database'!$A$2:$A$100,0))&amp;" "&amp;INDEX('Weapons Database'!$D$2:$D$100,MATCH($Y462,'Weapons Database'!$A$2:$A$100,0)),""))</x:f>
      </x:c>
      <x:c r="AA462" t="str">
        <x:f>IF($Y462="","","Weapons Database")</x:f>
      </x:c>
    </x:row>
    <x:row r="463">
      <x:c r="Z463" t="str">
        <x:f>IF($Y463="","",IFERROR(INDEX('Weapons Database'!$C$2:$C$100,MATCH($Y463,'Weapons Database'!$A$2:$A$100,0))&amp;" "&amp;INDEX('Weapons Database'!$D$2:$D$100,MATCH($Y463,'Weapons Database'!$A$2:$A$100,0)),""))</x:f>
      </x:c>
      <x:c r="AA463" t="str">
        <x:f>IF($Y463="","","Weapons Database")</x:f>
      </x:c>
    </x:row>
    <x:row r="464">
      <x:c r="Z464" t="str">
        <x:f>IF($Y464="","",IFERROR(INDEX('Weapons Database'!$C$2:$C$100,MATCH($Y464,'Weapons Database'!$A$2:$A$100,0))&amp;" "&amp;INDEX('Weapons Database'!$D$2:$D$100,MATCH($Y464,'Weapons Database'!$A$2:$A$100,0)),""))</x:f>
      </x:c>
      <x:c r="AA464" t="str">
        <x:f>IF($Y464="","","Weapons Database")</x:f>
      </x:c>
    </x:row>
    <x:row r="465">
      <x:c r="Z465" t="str">
        <x:f>IF($Y465="","",IFERROR(INDEX('Weapons Database'!$C$2:$C$100,MATCH($Y465,'Weapons Database'!$A$2:$A$100,0))&amp;" "&amp;INDEX('Weapons Database'!$D$2:$D$100,MATCH($Y465,'Weapons Database'!$A$2:$A$100,0)),""))</x:f>
      </x:c>
      <x:c r="AA465" t="str">
        <x:f>IF($Y465="","","Weapons Database")</x:f>
      </x:c>
    </x:row>
    <x:row r="466">
      <x:c r="Z466" t="str">
        <x:f>IF($Y466="","",IFERROR(INDEX('Weapons Database'!$C$2:$C$100,MATCH($Y466,'Weapons Database'!$A$2:$A$100,0))&amp;" "&amp;INDEX('Weapons Database'!$D$2:$D$100,MATCH($Y466,'Weapons Database'!$A$2:$A$100,0)),""))</x:f>
      </x:c>
      <x:c r="AA466" t="str">
        <x:f>IF($Y466="","","Weapons Database")</x:f>
      </x:c>
    </x:row>
    <x:row r="467">
      <x:c r="Z467" t="str">
        <x:f>IF($Y467="","",IFERROR(INDEX('Weapons Database'!$C$2:$C$100,MATCH($Y467,'Weapons Database'!$A$2:$A$100,0))&amp;" "&amp;INDEX('Weapons Database'!$D$2:$D$100,MATCH($Y467,'Weapons Database'!$A$2:$A$100,0)),""))</x:f>
      </x:c>
      <x:c r="AA467" t="str">
        <x:f>IF($Y467="","","Weapons Database")</x:f>
      </x:c>
    </x:row>
    <x:row r="468">
      <x:c r="Z468" t="str">
        <x:f>IF($Y468="","",IFERROR(INDEX('Weapons Database'!$C$2:$C$100,MATCH($Y468,'Weapons Database'!$A$2:$A$100,0))&amp;" "&amp;INDEX('Weapons Database'!$D$2:$D$100,MATCH($Y468,'Weapons Database'!$A$2:$A$100,0)),""))</x:f>
      </x:c>
      <x:c r="AA468" t="str">
        <x:f>IF($Y468="","","Weapons Database")</x:f>
      </x:c>
    </x:row>
    <x:row r="469">
      <x:c r="Z469" t="str">
        <x:f>IF($Y469="","",IFERROR(INDEX('Weapons Database'!$C$2:$C$100,MATCH($Y469,'Weapons Database'!$A$2:$A$100,0))&amp;" "&amp;INDEX('Weapons Database'!$D$2:$D$100,MATCH($Y469,'Weapons Database'!$A$2:$A$100,0)),""))</x:f>
      </x:c>
      <x:c r="AA469" t="str">
        <x:f>IF($Y469="","","Weapons Database")</x:f>
      </x:c>
    </x:row>
    <x:row r="470">
      <x:c r="Z470" t="str">
        <x:f>IF($Y470="","",IFERROR(INDEX('Weapons Database'!$C$2:$C$100,MATCH($Y470,'Weapons Database'!$A$2:$A$100,0))&amp;" "&amp;INDEX('Weapons Database'!$D$2:$D$100,MATCH($Y470,'Weapons Database'!$A$2:$A$100,0)),""))</x:f>
      </x:c>
      <x:c r="AA470" t="str">
        <x:f>IF($Y470="","","Weapons Database")</x:f>
      </x:c>
    </x:row>
    <x:row r="471">
      <x:c r="Z471" t="str">
        <x:f>IF($Y471="","",IFERROR(INDEX('Weapons Database'!$C$2:$C$100,MATCH($Y471,'Weapons Database'!$A$2:$A$100,0))&amp;" "&amp;INDEX('Weapons Database'!$D$2:$D$100,MATCH($Y471,'Weapons Database'!$A$2:$A$100,0)),""))</x:f>
      </x:c>
      <x:c r="AA471" t="str">
        <x:f>IF($Y471="","","Weapons Database")</x:f>
      </x:c>
    </x:row>
    <x:row r="472">
      <x:c r="Z472" t="str">
        <x:f>IF($Y472="","",IFERROR(INDEX('Weapons Database'!$C$2:$C$100,MATCH($Y472,'Weapons Database'!$A$2:$A$100,0))&amp;" "&amp;INDEX('Weapons Database'!$D$2:$D$100,MATCH($Y472,'Weapons Database'!$A$2:$A$100,0)),""))</x:f>
      </x:c>
      <x:c r="AA472" t="str">
        <x:f>IF($Y472="","","Weapons Database")</x:f>
      </x:c>
    </x:row>
    <x:row r="473">
      <x:c r="Z473" t="str">
        <x:f>IF($Y473="","",IFERROR(INDEX('Weapons Database'!$C$2:$C$100,MATCH($Y473,'Weapons Database'!$A$2:$A$100,0))&amp;" "&amp;INDEX('Weapons Database'!$D$2:$D$100,MATCH($Y473,'Weapons Database'!$A$2:$A$100,0)),""))</x:f>
      </x:c>
      <x:c r="AA473" t="str">
        <x:f>IF($Y473="","","Weapons Database")</x:f>
      </x:c>
    </x:row>
    <x:row r="474">
      <x:c r="Z474" t="str">
        <x:f>IF($Y474="","",IFERROR(INDEX('Weapons Database'!$C$2:$C$100,MATCH($Y474,'Weapons Database'!$A$2:$A$100,0))&amp;" "&amp;INDEX('Weapons Database'!$D$2:$D$100,MATCH($Y474,'Weapons Database'!$A$2:$A$100,0)),""))</x:f>
      </x:c>
      <x:c r="AA474" t="str">
        <x:f>IF($Y474="","","Weapons Database")</x:f>
      </x:c>
    </x:row>
    <x:row r="475">
      <x:c r="Z475" t="str">
        <x:f>IF($Y475="","",IFERROR(INDEX('Weapons Database'!$C$2:$C$100,MATCH($Y475,'Weapons Database'!$A$2:$A$100,0))&amp;" "&amp;INDEX('Weapons Database'!$D$2:$D$100,MATCH($Y475,'Weapons Database'!$A$2:$A$100,0)),""))</x:f>
      </x:c>
      <x:c r="AA475" t="str">
        <x:f>IF($Y475="","","Weapons Database")</x:f>
      </x:c>
    </x:row>
    <x:row r="476">
      <x:c r="Z476" t="str">
        <x:f>IF($Y476="","",IFERROR(INDEX('Weapons Database'!$C$2:$C$100,MATCH($Y476,'Weapons Database'!$A$2:$A$100,0))&amp;" "&amp;INDEX('Weapons Database'!$D$2:$D$100,MATCH($Y476,'Weapons Database'!$A$2:$A$100,0)),""))</x:f>
      </x:c>
      <x:c r="AA476" t="str">
        <x:f>IF($Y476="","","Weapons Database")</x:f>
      </x:c>
    </x:row>
    <x:row r="477">
      <x:c r="Z477" t="str">
        <x:f>IF($Y477="","",IFERROR(INDEX('Weapons Database'!$C$2:$C$100,MATCH($Y477,'Weapons Database'!$A$2:$A$100,0))&amp;" "&amp;INDEX('Weapons Database'!$D$2:$D$100,MATCH($Y477,'Weapons Database'!$A$2:$A$100,0)),""))</x:f>
      </x:c>
      <x:c r="AA477" t="str">
        <x:f>IF($Y477="","","Weapons Database")</x:f>
      </x:c>
    </x:row>
    <x:row r="478">
      <x:c r="Z478" t="str">
        <x:f>IF($Y478="","",IFERROR(INDEX('Weapons Database'!$C$2:$C$100,MATCH($Y478,'Weapons Database'!$A$2:$A$100,0))&amp;" "&amp;INDEX('Weapons Database'!$D$2:$D$100,MATCH($Y478,'Weapons Database'!$A$2:$A$100,0)),""))</x:f>
      </x:c>
      <x:c r="AA478" t="str">
        <x:f>IF($Y478="","","Weapons Database")</x:f>
      </x:c>
    </x:row>
    <x:row r="479">
      <x:c r="Z479" t="str">
        <x:f>IF($Y479="","",IFERROR(INDEX('Weapons Database'!$C$2:$C$100,MATCH($Y479,'Weapons Database'!$A$2:$A$100,0))&amp;" "&amp;INDEX('Weapons Database'!$D$2:$D$100,MATCH($Y479,'Weapons Database'!$A$2:$A$100,0)),""))</x:f>
      </x:c>
      <x:c r="AA479" t="str">
        <x:f>IF($Y479="","","Weapons Database")</x:f>
      </x:c>
    </x:row>
    <x:row r="480">
      <x:c r="Z480" t="str">
        <x:f>IF($Y480="","",IFERROR(INDEX('Weapons Database'!$C$2:$C$100,MATCH($Y480,'Weapons Database'!$A$2:$A$100,0))&amp;" "&amp;INDEX('Weapons Database'!$D$2:$D$100,MATCH($Y480,'Weapons Database'!$A$2:$A$100,0)),""))</x:f>
      </x:c>
      <x:c r="AA480" t="str">
        <x:f>IF($Y480="","","Weapons Database")</x:f>
      </x:c>
    </x:row>
    <x:row r="481">
      <x:c r="Z481" t="str">
        <x:f>IF($Y481="","",IFERROR(INDEX('Weapons Database'!$C$2:$C$100,MATCH($Y481,'Weapons Database'!$A$2:$A$100,0))&amp;" "&amp;INDEX('Weapons Database'!$D$2:$D$100,MATCH($Y481,'Weapons Database'!$A$2:$A$100,0)),""))</x:f>
      </x:c>
      <x:c r="AA481" t="str">
        <x:f>IF($Y481="","","Weapons Database")</x:f>
      </x:c>
    </x:row>
    <x:row r="482">
      <x:c r="Z482" t="str">
        <x:f>IF($Y482="","",IFERROR(INDEX('Weapons Database'!$C$2:$C$100,MATCH($Y482,'Weapons Database'!$A$2:$A$100,0))&amp;" "&amp;INDEX('Weapons Database'!$D$2:$D$100,MATCH($Y482,'Weapons Database'!$A$2:$A$100,0)),""))</x:f>
      </x:c>
      <x:c r="AA482" t="str">
        <x:f>IF($Y482="","","Weapons Database")</x:f>
      </x:c>
    </x:row>
    <x:row r="483">
      <x:c r="Z483" t="str">
        <x:f>IF($Y483="","",IFERROR(INDEX('Weapons Database'!$C$2:$C$100,MATCH($Y483,'Weapons Database'!$A$2:$A$100,0))&amp;" "&amp;INDEX('Weapons Database'!$D$2:$D$100,MATCH($Y483,'Weapons Database'!$A$2:$A$100,0)),""))</x:f>
      </x:c>
      <x:c r="AA483" t="str">
        <x:f>IF($Y483="","","Weapons Database")</x:f>
      </x:c>
    </x:row>
    <x:row r="484">
      <x:c r="Z484" t="str">
        <x:f>IF($Y484="","",IFERROR(INDEX('Weapons Database'!$C$2:$C$100,MATCH($Y484,'Weapons Database'!$A$2:$A$100,0))&amp;" "&amp;INDEX('Weapons Database'!$D$2:$D$100,MATCH($Y484,'Weapons Database'!$A$2:$A$100,0)),""))</x:f>
      </x:c>
      <x:c r="AA484" t="str">
        <x:f>IF($Y484="","","Weapons Database")</x:f>
      </x:c>
    </x:row>
    <x:row r="485">
      <x:c r="Z485" t="str">
        <x:f>IF($Y485="","",IFERROR(INDEX('Weapons Database'!$C$2:$C$100,MATCH($Y485,'Weapons Database'!$A$2:$A$100,0))&amp;" "&amp;INDEX('Weapons Database'!$D$2:$D$100,MATCH($Y485,'Weapons Database'!$A$2:$A$100,0)),""))</x:f>
      </x:c>
      <x:c r="AA485" t="str">
        <x:f>IF($Y485="","","Weapons Database")</x:f>
      </x:c>
    </x:row>
    <x:row r="486">
      <x:c r="Z486" t="str">
        <x:f>IF($Y486="","",IFERROR(INDEX('Weapons Database'!$C$2:$C$100,MATCH($Y486,'Weapons Database'!$A$2:$A$100,0))&amp;" "&amp;INDEX('Weapons Database'!$D$2:$D$100,MATCH($Y486,'Weapons Database'!$A$2:$A$100,0)),""))</x:f>
      </x:c>
      <x:c r="AA486" t="str">
        <x:f>IF($Y486="","","Weapons Database")</x:f>
      </x:c>
    </x:row>
    <x:row r="487">
      <x:c r="Z487" t="str">
        <x:f>IF($Y487="","",IFERROR(INDEX('Weapons Database'!$C$2:$C$100,MATCH($Y487,'Weapons Database'!$A$2:$A$100,0))&amp;" "&amp;INDEX('Weapons Database'!$D$2:$D$100,MATCH($Y487,'Weapons Database'!$A$2:$A$100,0)),""))</x:f>
      </x:c>
      <x:c r="AA487" t="str">
        <x:f>IF($Y487="","","Weapons Database")</x:f>
      </x:c>
    </x:row>
    <x:row r="488">
      <x:c r="Z488" t="str">
        <x:f>IF($Y488="","",IFERROR(INDEX('Weapons Database'!$C$2:$C$100,MATCH($Y488,'Weapons Database'!$A$2:$A$100,0))&amp;" "&amp;INDEX('Weapons Database'!$D$2:$D$100,MATCH($Y488,'Weapons Database'!$A$2:$A$100,0)),""))</x:f>
      </x:c>
      <x:c r="AA488" t="str">
        <x:f>IF($Y488="","","Weapons Database")</x:f>
      </x:c>
    </x:row>
    <x:row r="489">
      <x:c r="Z489" t="str">
        <x:f>IF($Y489="","",IFERROR(INDEX('Weapons Database'!$C$2:$C$100,MATCH($Y489,'Weapons Database'!$A$2:$A$100,0))&amp;" "&amp;INDEX('Weapons Database'!$D$2:$D$100,MATCH($Y489,'Weapons Database'!$A$2:$A$100,0)),""))</x:f>
      </x:c>
      <x:c r="AA489" t="str">
        <x:f>IF($Y489="","","Weapons Database")</x:f>
      </x:c>
    </x:row>
    <x:row r="490">
      <x:c r="Z490" t="str">
        <x:f>IF($Y490="","",IFERROR(INDEX('Weapons Database'!$C$2:$C$100,MATCH($Y490,'Weapons Database'!$A$2:$A$100,0))&amp;" "&amp;INDEX('Weapons Database'!$D$2:$D$100,MATCH($Y490,'Weapons Database'!$A$2:$A$100,0)),""))</x:f>
      </x:c>
      <x:c r="AA490" t="str">
        <x:f>IF($Y490="","","Weapons Database")</x:f>
      </x:c>
    </x:row>
    <x:row r="491">
      <x:c r="Z491" t="str">
        <x:f>IF($Y491="","",IFERROR(INDEX('Weapons Database'!$C$2:$C$100,MATCH($Y491,'Weapons Database'!$A$2:$A$100,0))&amp;" "&amp;INDEX('Weapons Database'!$D$2:$D$100,MATCH($Y491,'Weapons Database'!$A$2:$A$100,0)),""))</x:f>
      </x:c>
      <x:c r="AA491" t="str">
        <x:f>IF($Y491="","","Weapons Database")</x:f>
      </x:c>
    </x:row>
    <x:row r="492">
      <x:c r="Z492" t="str">
        <x:f>IF($Y492="","",IFERROR(INDEX('Weapons Database'!$C$2:$C$100,MATCH($Y492,'Weapons Database'!$A$2:$A$100,0))&amp;" "&amp;INDEX('Weapons Database'!$D$2:$D$100,MATCH($Y492,'Weapons Database'!$A$2:$A$100,0)),""))</x:f>
      </x:c>
      <x:c r="AA492" t="str">
        <x:f>IF($Y492="","","Weapons Database")</x:f>
      </x:c>
    </x:row>
    <x:row r="493">
      <x:c r="Z493" t="str">
        <x:f>IF($Y493="","",IFERROR(INDEX('Weapons Database'!$C$2:$C$100,MATCH($Y493,'Weapons Database'!$A$2:$A$100,0))&amp;" "&amp;INDEX('Weapons Database'!$D$2:$D$100,MATCH($Y493,'Weapons Database'!$A$2:$A$100,0)),""))</x:f>
      </x:c>
      <x:c r="AA493" t="str">
        <x:f>IF($Y493="","","Weapons Database")</x:f>
      </x:c>
    </x:row>
    <x:row r="494">
      <x:c r="Z494" t="str">
        <x:f>IF($Y494="","",IFERROR(INDEX('Weapons Database'!$C$2:$C$100,MATCH($Y494,'Weapons Database'!$A$2:$A$100,0))&amp;" "&amp;INDEX('Weapons Database'!$D$2:$D$100,MATCH($Y494,'Weapons Database'!$A$2:$A$100,0)),""))</x:f>
      </x:c>
      <x:c r="AA494" t="str">
        <x:f>IF($Y494="","","Weapons Database")</x:f>
      </x:c>
    </x:row>
    <x:row r="495">
      <x:c r="Z495" t="str">
        <x:f>IF($Y495="","",IFERROR(INDEX('Weapons Database'!$C$2:$C$100,MATCH($Y495,'Weapons Database'!$A$2:$A$100,0))&amp;" "&amp;INDEX('Weapons Database'!$D$2:$D$100,MATCH($Y495,'Weapons Database'!$A$2:$A$100,0)),""))</x:f>
      </x:c>
      <x:c r="AA495" t="str">
        <x:f>IF($Y495="","","Weapons Database")</x:f>
      </x:c>
    </x:row>
    <x:row r="496">
      <x:c r="Z496" t="str">
        <x:f>IF($Y496="","",IFERROR(INDEX('Weapons Database'!$C$2:$C$100,MATCH($Y496,'Weapons Database'!$A$2:$A$100,0))&amp;" "&amp;INDEX('Weapons Database'!$D$2:$D$100,MATCH($Y496,'Weapons Database'!$A$2:$A$100,0)),""))</x:f>
      </x:c>
      <x:c r="AA496" t="str">
        <x:f>IF($Y496="","","Weapons Database")</x:f>
      </x:c>
    </x:row>
    <x:row r="497">
      <x:c r="Z497" t="str">
        <x:f>IF($Y497="","",IFERROR(INDEX('Weapons Database'!$C$2:$C$100,MATCH($Y497,'Weapons Database'!$A$2:$A$100,0))&amp;" "&amp;INDEX('Weapons Database'!$D$2:$D$100,MATCH($Y497,'Weapons Database'!$A$2:$A$100,0)),""))</x:f>
      </x:c>
      <x:c r="AA497" t="str">
        <x:f>IF($Y497="","","Weapons Database")</x:f>
      </x:c>
    </x:row>
    <x:row r="498">
      <x:c r="Z498" t="str">
        <x:f>IF($Y498="","",IFERROR(INDEX('Weapons Database'!$C$2:$C$100,MATCH($Y498,'Weapons Database'!$A$2:$A$100,0))&amp;" "&amp;INDEX('Weapons Database'!$D$2:$D$100,MATCH($Y498,'Weapons Database'!$A$2:$A$100,0)),""))</x:f>
      </x:c>
      <x:c r="AA498" t="str">
        <x:f>IF($Y498="","","Weapons Database")</x:f>
      </x:c>
    </x:row>
    <x:row r="499">
      <x:c r="Z499" t="str">
        <x:f>IF($Y499="","",IFERROR(INDEX('Weapons Database'!$C$2:$C$100,MATCH($Y499,'Weapons Database'!$A$2:$A$100,0))&amp;" "&amp;INDEX('Weapons Database'!$D$2:$D$100,MATCH($Y499,'Weapons Database'!$A$2:$A$100,0)),""))</x:f>
      </x:c>
      <x:c r="AA499" t="str">
        <x:f>IF($Y499="","","Weapons Database")</x:f>
      </x:c>
    </x:row>
    <x:row r="500">
      <x:c r="Z500" t="str">
        <x:f>IF($Y500="","",IFERROR(INDEX('Weapons Database'!$C$2:$C$100,MATCH($Y500,'Weapons Database'!$A$2:$A$100,0))&amp;" "&amp;INDEX('Weapons Database'!$D$2:$D$100,MATCH($Y500,'Weapons Database'!$A$2:$A$100,0)),""))</x:f>
      </x:c>
      <x:c r="AA500" t="str">
        <x:f>IF($Y500="","","Weapons Database")</x:f>
      </x:c>
    </x:row>
    <x:row r="501">
      <x:c r="Z501" t="str">
        <x:f>IF($Y501="","",IFERROR(INDEX('Weapons Database'!$C$2:$C$100,MATCH($Y501,'Weapons Database'!$A$2:$A$100,0))&amp;" "&amp;INDEX('Weapons Database'!$D$2:$D$100,MATCH($Y501,'Weapons Database'!$A$2:$A$100,0)),""))</x:f>
      </x:c>
      <x:c r="AA501" t="str">
        <x:f>IF($Y501="","","Weapons Database")</x:f>
      </x:c>
    </x:row>
    <x:row r="502">
      <x:c r="Z502" t="str">
        <x:f>IF($Y502="","",IFERROR(INDEX('Weapons Database'!$C$2:$C$100,MATCH($Y502,'Weapons Database'!$A$2:$A$100,0))&amp;" "&amp;INDEX('Weapons Database'!$D$2:$D$100,MATCH($Y502,'Weapons Database'!$A$2:$A$100,0)),""))</x:f>
      </x:c>
      <x:c r="AA502" t="str">
        <x:f>IF($Y502="","","Weapons Database")</x:f>
      </x:c>
    </x:row>
    <x:row r="503">
      <x:c r="Z503" t="str">
        <x:f>IF($Y503="","",IFERROR(INDEX('Weapons Database'!$C$2:$C$100,MATCH($Y503,'Weapons Database'!$A$2:$A$100,0))&amp;" "&amp;INDEX('Weapons Database'!$D$2:$D$100,MATCH($Y503,'Weapons Database'!$A$2:$A$100,0)),""))</x:f>
      </x:c>
      <x:c r="AA503" t="str">
        <x:f>IF($Y503="","","Weapons Database")</x:f>
      </x:c>
    </x:row>
    <x:row r="504">
      <x:c r="Z504" t="str">
        <x:f>IF($Y504="","",IFERROR(INDEX('Weapons Database'!$C$2:$C$100,MATCH($Y504,'Weapons Database'!$A$2:$A$100,0))&amp;" "&amp;INDEX('Weapons Database'!$D$2:$D$100,MATCH($Y504,'Weapons Database'!$A$2:$A$100,0)),""))</x:f>
      </x:c>
      <x:c r="AA504" t="str">
        <x:f>IF($Y504="","","Weapons Database")</x:f>
      </x:c>
    </x:row>
    <x:row r="505">
      <x:c r="Z505" t="str">
        <x:f>IF($Y505="","",IFERROR(INDEX('Weapons Database'!$C$2:$C$100,MATCH($Y505,'Weapons Database'!$A$2:$A$100,0))&amp;" "&amp;INDEX('Weapons Database'!$D$2:$D$100,MATCH($Y505,'Weapons Database'!$A$2:$A$100,0)),""))</x:f>
      </x:c>
      <x:c r="AA505" t="str">
        <x:f>IF($Y505="","","Weapons Database")</x:f>
      </x:c>
    </x:row>
    <x:row r="506">
      <x:c r="Z506" t="str">
        <x:f>IF($Y506="","",IFERROR(INDEX('Weapons Database'!$C$2:$C$100,MATCH($Y506,'Weapons Database'!$A$2:$A$100,0))&amp;" "&amp;INDEX('Weapons Database'!$D$2:$D$100,MATCH($Y506,'Weapons Database'!$A$2:$A$100,0)),""))</x:f>
      </x:c>
      <x:c r="AA506" t="str">
        <x:f>IF($Y506="","","Weapons Database")</x:f>
      </x:c>
    </x:row>
    <x:row r="507">
      <x:c r="Z507" t="str">
        <x:f>IF($Y507="","",IFERROR(INDEX('Weapons Database'!$C$2:$C$100,MATCH($Y507,'Weapons Database'!$A$2:$A$100,0))&amp;" "&amp;INDEX('Weapons Database'!$D$2:$D$100,MATCH($Y507,'Weapons Database'!$A$2:$A$100,0)),""))</x:f>
      </x:c>
      <x:c r="AA507" t="str">
        <x:f>IF($Y507="","","Weapons Database")</x:f>
      </x:c>
    </x:row>
    <x:row r="508">
      <x:c r="Z508" t="str">
        <x:f>IF($Y508="","",IFERROR(INDEX('Weapons Database'!$C$2:$C$100,MATCH($Y508,'Weapons Database'!$A$2:$A$100,0))&amp;" "&amp;INDEX('Weapons Database'!$D$2:$D$100,MATCH($Y508,'Weapons Database'!$A$2:$A$100,0)),""))</x:f>
      </x:c>
      <x:c r="AA508" t="str">
        <x:f>IF($Y508="","","Weapons Database")</x:f>
      </x:c>
    </x:row>
    <x:row r="509">
      <x:c r="Z509" t="str">
        <x:f>IF($Y509="","",IFERROR(INDEX('Weapons Database'!$C$2:$C$100,MATCH($Y509,'Weapons Database'!$A$2:$A$100,0))&amp;" "&amp;INDEX('Weapons Database'!$D$2:$D$100,MATCH($Y509,'Weapons Database'!$A$2:$A$100,0)),""))</x:f>
      </x:c>
      <x:c r="AA509" t="str">
        <x:f>IF($Y509="","","Weapons Database")</x:f>
      </x:c>
    </x:row>
    <x:row r="510">
      <x:c r="Z510" t="str">
        <x:f>IF($Y510="","",IFERROR(INDEX('Weapons Database'!$C$2:$C$100,MATCH($Y510,'Weapons Database'!$A$2:$A$100,0))&amp;" "&amp;INDEX('Weapons Database'!$D$2:$D$100,MATCH($Y510,'Weapons Database'!$A$2:$A$100,0)),""))</x:f>
      </x:c>
      <x:c r="AA510" t="str">
        <x:f>IF($Y510="","","Weapons Database")</x:f>
      </x:c>
    </x:row>
    <x:row r="511">
      <x:c r="Z511" t="str">
        <x:f>IF($Y511="","",IFERROR(INDEX('Weapons Database'!$C$2:$C$100,MATCH($Y511,'Weapons Database'!$A$2:$A$100,0))&amp;" "&amp;INDEX('Weapons Database'!$D$2:$D$100,MATCH($Y511,'Weapons Database'!$A$2:$A$100,0)),""))</x:f>
      </x:c>
      <x:c r="AA511" t="str">
        <x:f>IF($Y511="","","Weapons Database")</x:f>
      </x:c>
    </x:row>
    <x:row r="512">
      <x:c r="Z512" t="str">
        <x:f>IF($Y512="","",IFERROR(INDEX('Weapons Database'!$C$2:$C$100,MATCH($Y512,'Weapons Database'!$A$2:$A$100,0))&amp;" "&amp;INDEX('Weapons Database'!$D$2:$D$100,MATCH($Y512,'Weapons Database'!$A$2:$A$100,0)),""))</x:f>
      </x:c>
      <x:c r="AA512" t="str">
        <x:f>IF($Y512="","","Weapons Database")</x:f>
      </x:c>
    </x:row>
    <x:row r="513">
      <x:c r="Z513" t="str">
        <x:f>IF($Y513="","",IFERROR(INDEX('Weapons Database'!$C$2:$C$100,MATCH($Y513,'Weapons Database'!$A$2:$A$100,0))&amp;" "&amp;INDEX('Weapons Database'!$D$2:$D$100,MATCH($Y513,'Weapons Database'!$A$2:$A$100,0)),""))</x:f>
      </x:c>
      <x:c r="AA513" t="str">
        <x:f>IF($Y513="","","Weapons Database")</x:f>
      </x:c>
    </x:row>
    <x:row r="514">
      <x:c r="Z514" t="str">
        <x:f>IF($Y514="","",IFERROR(INDEX('Weapons Database'!$C$2:$C$100,MATCH($Y514,'Weapons Database'!$A$2:$A$100,0))&amp;" "&amp;INDEX('Weapons Database'!$D$2:$D$100,MATCH($Y514,'Weapons Database'!$A$2:$A$100,0)),""))</x:f>
      </x:c>
      <x:c r="AA514" t="str">
        <x:f>IF($Y514="","","Weapons Database")</x:f>
      </x:c>
    </x:row>
    <x:row r="515">
      <x:c r="Z515" t="str">
        <x:f>IF($Y515="","",IFERROR(INDEX('Weapons Database'!$C$2:$C$100,MATCH($Y515,'Weapons Database'!$A$2:$A$100,0))&amp;" "&amp;INDEX('Weapons Database'!$D$2:$D$100,MATCH($Y515,'Weapons Database'!$A$2:$A$100,0)),""))</x:f>
      </x:c>
      <x:c r="AA515" t="str">
        <x:f>IF($Y515="","","Weapons Database")</x:f>
      </x:c>
    </x:row>
    <x:row r="516">
      <x:c r="Z516" t="str">
        <x:f>IF($Y516="","",IFERROR(INDEX('Weapons Database'!$C$2:$C$100,MATCH($Y516,'Weapons Database'!$A$2:$A$100,0))&amp;" "&amp;INDEX('Weapons Database'!$D$2:$D$100,MATCH($Y516,'Weapons Database'!$A$2:$A$100,0)),""))</x:f>
      </x:c>
      <x:c r="AA516" t="str">
        <x:f>IF($Y516="","","Weapons Database")</x:f>
      </x:c>
    </x:row>
    <x:row r="517">
      <x:c r="Z517" t="str">
        <x:f>IF($Y517="","",IFERROR(INDEX('Weapons Database'!$C$2:$C$100,MATCH($Y517,'Weapons Database'!$A$2:$A$100,0))&amp;" "&amp;INDEX('Weapons Database'!$D$2:$D$100,MATCH($Y517,'Weapons Database'!$A$2:$A$100,0)),""))</x:f>
      </x:c>
      <x:c r="AA517" t="str">
        <x:f>IF($Y517="","","Weapons Database")</x:f>
      </x:c>
    </x:row>
    <x:row r="518">
      <x:c r="Z518" t="str">
        <x:f>IF($Y518="","",IFERROR(INDEX('Weapons Database'!$C$2:$C$100,MATCH($Y518,'Weapons Database'!$A$2:$A$100,0))&amp;" "&amp;INDEX('Weapons Database'!$D$2:$D$100,MATCH($Y518,'Weapons Database'!$A$2:$A$100,0)),""))</x:f>
      </x:c>
      <x:c r="AA518" t="str">
        <x:f>IF($Y518="","","Weapons Database")</x:f>
      </x:c>
    </x:row>
    <x:row r="519">
      <x:c r="Z519" t="str">
        <x:f>IF($Y519="","",IFERROR(INDEX('Weapons Database'!$C$2:$C$100,MATCH($Y519,'Weapons Database'!$A$2:$A$100,0))&amp;" "&amp;INDEX('Weapons Database'!$D$2:$D$100,MATCH($Y519,'Weapons Database'!$A$2:$A$100,0)),""))</x:f>
      </x:c>
      <x:c r="AA519" t="str">
        <x:f>IF($Y519="","","Weapons Database")</x:f>
      </x:c>
    </x:row>
    <x:row r="520">
      <x:c r="Z520" t="str">
        <x:f>IF($Y520="","",IFERROR(INDEX('Weapons Database'!$C$2:$C$100,MATCH($Y520,'Weapons Database'!$A$2:$A$100,0))&amp;" "&amp;INDEX('Weapons Database'!$D$2:$D$100,MATCH($Y520,'Weapons Database'!$A$2:$A$100,0)),""))</x:f>
      </x:c>
      <x:c r="AA520" t="str">
        <x:f>IF($Y520="","","Weapons Database")</x:f>
      </x:c>
    </x:row>
    <x:row r="521">
      <x:c r="Z521" t="str">
        <x:f>IF($Y521="","",IFERROR(INDEX('Weapons Database'!$C$2:$C$100,MATCH($Y521,'Weapons Database'!$A$2:$A$100,0))&amp;" "&amp;INDEX('Weapons Database'!$D$2:$D$100,MATCH($Y521,'Weapons Database'!$A$2:$A$100,0)),""))</x:f>
      </x:c>
      <x:c r="AA521" t="str">
        <x:f>IF($Y521="","","Weapons Database")</x:f>
      </x:c>
    </x:row>
    <x:row r="522">
      <x:c r="Z522" t="str">
        <x:f>IF($Y522="","",IFERROR(INDEX('Weapons Database'!$C$2:$C$100,MATCH($Y522,'Weapons Database'!$A$2:$A$100,0))&amp;" "&amp;INDEX('Weapons Database'!$D$2:$D$100,MATCH($Y522,'Weapons Database'!$A$2:$A$100,0)),""))</x:f>
      </x:c>
      <x:c r="AA522" t="str">
        <x:f>IF($Y522="","","Weapons Database")</x:f>
      </x:c>
    </x:row>
    <x:row r="523">
      <x:c r="Z523" t="str">
        <x:f>IF($Y523="","",IFERROR(INDEX('Weapons Database'!$C$2:$C$100,MATCH($Y523,'Weapons Database'!$A$2:$A$100,0))&amp;" "&amp;INDEX('Weapons Database'!$D$2:$D$100,MATCH($Y523,'Weapons Database'!$A$2:$A$100,0)),""))</x:f>
      </x:c>
      <x:c r="AA523" t="str">
        <x:f>IF($Y523="","","Weapons Database")</x:f>
      </x:c>
    </x:row>
    <x:row r="524">
      <x:c r="Z524" t="str">
        <x:f>IF($Y524="","",IFERROR(INDEX('Weapons Database'!$C$2:$C$100,MATCH($Y524,'Weapons Database'!$A$2:$A$100,0))&amp;" "&amp;INDEX('Weapons Database'!$D$2:$D$100,MATCH($Y524,'Weapons Database'!$A$2:$A$100,0)),""))</x:f>
      </x:c>
      <x:c r="AA524" t="str">
        <x:f>IF($Y524="","","Weapons Database")</x:f>
      </x:c>
    </x:row>
    <x:row r="525">
      <x:c r="Z525" t="str">
        <x:f>IF($Y525="","",IFERROR(INDEX('Weapons Database'!$C$2:$C$100,MATCH($Y525,'Weapons Database'!$A$2:$A$100,0))&amp;" "&amp;INDEX('Weapons Database'!$D$2:$D$100,MATCH($Y525,'Weapons Database'!$A$2:$A$100,0)),""))</x:f>
      </x:c>
      <x:c r="AA525" t="str">
        <x:f>IF($Y525="","","Weapons Database")</x:f>
      </x:c>
    </x:row>
    <x:row r="526">
      <x:c r="Z526" t="str">
        <x:f>IF($Y526="","",IFERROR(INDEX('Weapons Database'!$C$2:$C$100,MATCH($Y526,'Weapons Database'!$A$2:$A$100,0))&amp;" "&amp;INDEX('Weapons Database'!$D$2:$D$100,MATCH($Y526,'Weapons Database'!$A$2:$A$100,0)),""))</x:f>
      </x:c>
      <x:c r="AA526" t="str">
        <x:f>IF($Y526="","","Weapons Database")</x:f>
      </x:c>
    </x:row>
    <x:row r="527">
      <x:c r="Z527" t="str">
        <x:f>IF($Y527="","",IFERROR(INDEX('Weapons Database'!$C$2:$C$100,MATCH($Y527,'Weapons Database'!$A$2:$A$100,0))&amp;" "&amp;INDEX('Weapons Database'!$D$2:$D$100,MATCH($Y527,'Weapons Database'!$A$2:$A$100,0)),""))</x:f>
      </x:c>
      <x:c r="AA527" t="str">
        <x:f>IF($Y527="","","Weapons Database")</x:f>
      </x:c>
    </x:row>
    <x:row r="528">
      <x:c r="Z528" t="str">
        <x:f>IF($Y528="","",IFERROR(INDEX('Weapons Database'!$C$2:$C$100,MATCH($Y528,'Weapons Database'!$A$2:$A$100,0))&amp;" "&amp;INDEX('Weapons Database'!$D$2:$D$100,MATCH($Y528,'Weapons Database'!$A$2:$A$100,0)),""))</x:f>
      </x:c>
      <x:c r="AA528" t="str">
        <x:f>IF($Y528="","","Weapons Database")</x:f>
      </x:c>
    </x:row>
    <x:row r="529">
      <x:c r="Z529" t="str">
        <x:f>IF($Y529="","",IFERROR(INDEX('Weapons Database'!$C$2:$C$100,MATCH($Y529,'Weapons Database'!$A$2:$A$100,0))&amp;" "&amp;INDEX('Weapons Database'!$D$2:$D$100,MATCH($Y529,'Weapons Database'!$A$2:$A$100,0)),""))</x:f>
      </x:c>
      <x:c r="AA529" t="str">
        <x:f>IF($Y529="","","Weapons Database")</x:f>
      </x:c>
    </x:row>
    <x:row r="530">
      <x:c r="Z530" t="str">
        <x:f>IF($Y530="","",IFERROR(INDEX('Weapons Database'!$C$2:$C$100,MATCH($Y530,'Weapons Database'!$A$2:$A$100,0))&amp;" "&amp;INDEX('Weapons Database'!$D$2:$D$100,MATCH($Y530,'Weapons Database'!$A$2:$A$100,0)),""))</x:f>
      </x:c>
      <x:c r="AA530" t="str">
        <x:f>IF($Y530="","","Weapons Database")</x:f>
      </x:c>
    </x:row>
    <x:row r="531">
      <x:c r="Z531" t="str">
        <x:f>IF($Y531="","",IFERROR(INDEX('Weapons Database'!$C$2:$C$100,MATCH($Y531,'Weapons Database'!$A$2:$A$100,0))&amp;" "&amp;INDEX('Weapons Database'!$D$2:$D$100,MATCH($Y531,'Weapons Database'!$A$2:$A$100,0)),""))</x:f>
      </x:c>
      <x:c r="AA531" t="str">
        <x:f>IF($Y531="","","Weapons Database")</x:f>
      </x:c>
    </x:row>
    <x:row r="532">
      <x:c r="Z532" t="str">
        <x:f>IF($Y532="","",IFERROR(INDEX('Weapons Database'!$C$2:$C$100,MATCH($Y532,'Weapons Database'!$A$2:$A$100,0))&amp;" "&amp;INDEX('Weapons Database'!$D$2:$D$100,MATCH($Y532,'Weapons Database'!$A$2:$A$100,0)),""))</x:f>
      </x:c>
      <x:c r="AA532" t="str">
        <x:f>IF($Y532="","","Weapons Database")</x:f>
      </x:c>
    </x:row>
    <x:row r="533">
      <x:c r="Z533" t="str">
        <x:f>IF($Y533="","",IFERROR(INDEX('Weapons Database'!$C$2:$C$100,MATCH($Y533,'Weapons Database'!$A$2:$A$100,0))&amp;" "&amp;INDEX('Weapons Database'!$D$2:$D$100,MATCH($Y533,'Weapons Database'!$A$2:$A$100,0)),""))</x:f>
      </x:c>
      <x:c r="AA533" t="str">
        <x:f>IF($Y533="","","Weapons Database")</x:f>
      </x:c>
    </x:row>
    <x:row r="534">
      <x:c r="Z534" t="str">
        <x:f>IF($Y534="","",IFERROR(INDEX('Weapons Database'!$C$2:$C$100,MATCH($Y534,'Weapons Database'!$A$2:$A$100,0))&amp;" "&amp;INDEX('Weapons Database'!$D$2:$D$100,MATCH($Y534,'Weapons Database'!$A$2:$A$100,0)),""))</x:f>
      </x:c>
      <x:c r="AA534" t="str">
        <x:f>IF($Y534="","","Weapons Database")</x:f>
      </x:c>
    </x:row>
    <x:row r="535">
      <x:c r="Z535" t="str">
        <x:f>IF($Y535="","",IFERROR(INDEX('Weapons Database'!$C$2:$C$100,MATCH($Y535,'Weapons Database'!$A$2:$A$100,0))&amp;" "&amp;INDEX('Weapons Database'!$D$2:$D$100,MATCH($Y535,'Weapons Database'!$A$2:$A$100,0)),""))</x:f>
      </x:c>
      <x:c r="AA535" t="str">
        <x:f>IF($Y535="","","Weapons Database")</x:f>
      </x:c>
    </x:row>
    <x:row r="536">
      <x:c r="Z536" t="str">
        <x:f>IF($Y536="","",IFERROR(INDEX('Weapons Database'!$C$2:$C$100,MATCH($Y536,'Weapons Database'!$A$2:$A$100,0))&amp;" "&amp;INDEX('Weapons Database'!$D$2:$D$100,MATCH($Y536,'Weapons Database'!$A$2:$A$100,0)),""))</x:f>
      </x:c>
      <x:c r="AA536" t="str">
        <x:f>IF($Y536="","","Weapons Database")</x:f>
      </x:c>
    </x:row>
    <x:row r="537">
      <x:c r="Z537" t="str">
        <x:f>IF($Y537="","",IFERROR(INDEX('Weapons Database'!$C$2:$C$100,MATCH($Y537,'Weapons Database'!$A$2:$A$100,0))&amp;" "&amp;INDEX('Weapons Database'!$D$2:$D$100,MATCH($Y537,'Weapons Database'!$A$2:$A$100,0)),""))</x:f>
      </x:c>
      <x:c r="AA537" t="str">
        <x:f>IF($Y537="","","Weapons Database")</x:f>
      </x:c>
    </x:row>
    <x:row r="538">
      <x:c r="Z538" t="str">
        <x:f>IF($Y538="","",IFERROR(INDEX('Weapons Database'!$C$2:$C$100,MATCH($Y538,'Weapons Database'!$A$2:$A$100,0))&amp;" "&amp;INDEX('Weapons Database'!$D$2:$D$100,MATCH($Y538,'Weapons Database'!$A$2:$A$100,0)),""))</x:f>
      </x:c>
      <x:c r="AA538" t="str">
        <x:f>IF($Y538="","","Weapons Database")</x:f>
      </x:c>
    </x:row>
    <x:row r="539">
      <x:c r="Z539" t="str">
        <x:f>IF($Y539="","",IFERROR(INDEX('Weapons Database'!$C$2:$C$100,MATCH($Y539,'Weapons Database'!$A$2:$A$100,0))&amp;" "&amp;INDEX('Weapons Database'!$D$2:$D$100,MATCH($Y539,'Weapons Database'!$A$2:$A$100,0)),""))</x:f>
      </x:c>
      <x:c r="AA539" t="str">
        <x:f>IF($Y539="","","Weapons Database")</x:f>
      </x:c>
    </x:row>
    <x:row r="540">
      <x:c r="Z540" t="str">
        <x:f>IF($Y540="","",IFERROR(INDEX('Weapons Database'!$C$2:$C$100,MATCH($Y540,'Weapons Database'!$A$2:$A$100,0))&amp;" "&amp;INDEX('Weapons Database'!$D$2:$D$100,MATCH($Y540,'Weapons Database'!$A$2:$A$100,0)),""))</x:f>
      </x:c>
      <x:c r="AA540" t="str">
        <x:f>IF($Y540="","","Weapons Database")</x:f>
      </x:c>
    </x:row>
    <x:row r="541">
      <x:c r="Z541" t="str">
        <x:f>IF($Y541="","",IFERROR(INDEX('Weapons Database'!$C$2:$C$100,MATCH($Y541,'Weapons Database'!$A$2:$A$100,0))&amp;" "&amp;INDEX('Weapons Database'!$D$2:$D$100,MATCH($Y541,'Weapons Database'!$A$2:$A$100,0)),""))</x:f>
      </x:c>
      <x:c r="AA541" t="str">
        <x:f>IF($Y541="","","Weapons Database")</x:f>
      </x:c>
    </x:row>
    <x:row r="542">
      <x:c r="Z542" t="str">
        <x:f>IF($Y542="","",IFERROR(INDEX('Weapons Database'!$C$2:$C$100,MATCH($Y542,'Weapons Database'!$A$2:$A$100,0))&amp;" "&amp;INDEX('Weapons Database'!$D$2:$D$100,MATCH($Y542,'Weapons Database'!$A$2:$A$100,0)),""))</x:f>
      </x:c>
      <x:c r="AA542" t="str">
        <x:f>IF($Y542="","","Weapons Database")</x:f>
      </x:c>
    </x:row>
    <x:row r="543">
      <x:c r="Z543" t="str">
        <x:f>IF($Y543="","",IFERROR(INDEX('Weapons Database'!$C$2:$C$100,MATCH($Y543,'Weapons Database'!$A$2:$A$100,0))&amp;" "&amp;INDEX('Weapons Database'!$D$2:$D$100,MATCH($Y543,'Weapons Database'!$A$2:$A$100,0)),""))</x:f>
      </x:c>
      <x:c r="AA543" t="str">
        <x:f>IF($Y543="","","Weapons Database")</x:f>
      </x:c>
    </x:row>
    <x:row r="544">
      <x:c r="Z544" t="str">
        <x:f>IF($Y544="","",IFERROR(INDEX('Weapons Database'!$C$2:$C$100,MATCH($Y544,'Weapons Database'!$A$2:$A$100,0))&amp;" "&amp;INDEX('Weapons Database'!$D$2:$D$100,MATCH($Y544,'Weapons Database'!$A$2:$A$100,0)),""))</x:f>
      </x:c>
      <x:c r="AA544" t="str">
        <x:f>IF($Y544="","","Weapons Database")</x:f>
      </x:c>
    </x:row>
    <x:row r="545">
      <x:c r="Z545" t="str">
        <x:f>IF($Y545="","",IFERROR(INDEX('Weapons Database'!$C$2:$C$100,MATCH($Y545,'Weapons Database'!$A$2:$A$100,0))&amp;" "&amp;INDEX('Weapons Database'!$D$2:$D$100,MATCH($Y545,'Weapons Database'!$A$2:$A$100,0)),""))</x:f>
      </x:c>
      <x:c r="AA545" t="str">
        <x:f>IF($Y545="","","Weapons Database")</x:f>
      </x:c>
    </x:row>
    <x:row r="546">
      <x:c r="Z546" t="str">
        <x:f>IF($Y546="","",IFERROR(INDEX('Weapons Database'!$C$2:$C$100,MATCH($Y546,'Weapons Database'!$A$2:$A$100,0))&amp;" "&amp;INDEX('Weapons Database'!$D$2:$D$100,MATCH($Y546,'Weapons Database'!$A$2:$A$100,0)),""))</x:f>
      </x:c>
      <x:c r="AA546" t="str">
        <x:f>IF($Y546="","","Weapons Database")</x:f>
      </x:c>
    </x:row>
    <x:row r="547">
      <x:c r="Z547" t="str">
        <x:f>IF($Y547="","",IFERROR(INDEX('Weapons Database'!$C$2:$C$100,MATCH($Y547,'Weapons Database'!$A$2:$A$100,0))&amp;" "&amp;INDEX('Weapons Database'!$D$2:$D$100,MATCH($Y547,'Weapons Database'!$A$2:$A$100,0)),""))</x:f>
      </x:c>
      <x:c r="AA547" t="str">
        <x:f>IF($Y547="","","Weapons Database")</x:f>
      </x:c>
    </x:row>
    <x:row r="548">
      <x:c r="Z548" t="str">
        <x:f>IF($Y548="","",IFERROR(INDEX('Weapons Database'!$C$2:$C$100,MATCH($Y548,'Weapons Database'!$A$2:$A$100,0))&amp;" "&amp;INDEX('Weapons Database'!$D$2:$D$100,MATCH($Y548,'Weapons Database'!$A$2:$A$100,0)),""))</x:f>
      </x:c>
      <x:c r="AA548" t="str">
        <x:f>IF($Y548="","","Weapons Database")</x:f>
      </x:c>
    </x:row>
    <x:row r="549">
      <x:c r="Z549" t="str">
        <x:f>IF($Y549="","",IFERROR(INDEX('Weapons Database'!$C$2:$C$100,MATCH($Y549,'Weapons Database'!$A$2:$A$100,0))&amp;" "&amp;INDEX('Weapons Database'!$D$2:$D$100,MATCH($Y549,'Weapons Database'!$A$2:$A$100,0)),""))</x:f>
      </x:c>
      <x:c r="AA549" t="str">
        <x:f>IF($Y549="","","Weapons Database")</x:f>
      </x:c>
    </x:row>
    <x:row r="550">
      <x:c r="Z550" t="str">
        <x:f>IF($Y550="","",IFERROR(INDEX('Weapons Database'!$C$2:$C$100,MATCH($Y550,'Weapons Database'!$A$2:$A$100,0))&amp;" "&amp;INDEX('Weapons Database'!$D$2:$D$100,MATCH($Y550,'Weapons Database'!$A$2:$A$100,0)),""))</x:f>
      </x:c>
      <x:c r="AA550" t="str">
        <x:f>IF($Y550="","","Weapons Database")</x:f>
      </x:c>
    </x:row>
    <x:row r="551">
      <x:c r="Z551" t="str">
        <x:f>IF($Y551="","",IFERROR(INDEX('Weapons Database'!$C$2:$C$100,MATCH($Y551,'Weapons Database'!$A$2:$A$100,0))&amp;" "&amp;INDEX('Weapons Database'!$D$2:$D$100,MATCH($Y551,'Weapons Database'!$A$2:$A$100,0)),""))</x:f>
      </x:c>
      <x:c r="AA551" t="str">
        <x:f>IF($Y551="","","Weapons Database")</x:f>
      </x:c>
    </x:row>
    <x:row r="552">
      <x:c r="Z552" t="str">
        <x:f>IF($Y552="","",IFERROR(INDEX('Weapons Database'!$C$2:$C$100,MATCH($Y552,'Weapons Database'!$A$2:$A$100,0))&amp;" "&amp;INDEX('Weapons Database'!$D$2:$D$100,MATCH($Y552,'Weapons Database'!$A$2:$A$100,0)),""))</x:f>
      </x:c>
      <x:c r="AA552" t="str">
        <x:f>IF($Y552="","","Weapons Database")</x:f>
      </x:c>
    </x:row>
    <x:row r="553">
      <x:c r="Z553" t="str">
        <x:f>IF($Y553="","",IFERROR(INDEX('Weapons Database'!$C$2:$C$100,MATCH($Y553,'Weapons Database'!$A$2:$A$100,0))&amp;" "&amp;INDEX('Weapons Database'!$D$2:$D$100,MATCH($Y553,'Weapons Database'!$A$2:$A$100,0)),""))</x:f>
      </x:c>
      <x:c r="AA553" t="str">
        <x:f>IF($Y553="","","Weapons Database")</x:f>
      </x:c>
    </x:row>
    <x:row r="554">
      <x:c r="Z554" t="str">
        <x:f>IF($Y554="","",IFERROR(INDEX('Weapons Database'!$C$2:$C$100,MATCH($Y554,'Weapons Database'!$A$2:$A$100,0))&amp;" "&amp;INDEX('Weapons Database'!$D$2:$D$100,MATCH($Y554,'Weapons Database'!$A$2:$A$100,0)),""))</x:f>
      </x:c>
      <x:c r="AA554" t="str">
        <x:f>IF($Y554="","","Weapons Database")</x:f>
      </x:c>
    </x:row>
    <x:row r="555">
      <x:c r="Z555" t="str">
        <x:f>IF($Y555="","",IFERROR(INDEX('Weapons Database'!$C$2:$C$100,MATCH($Y555,'Weapons Database'!$A$2:$A$100,0))&amp;" "&amp;INDEX('Weapons Database'!$D$2:$D$100,MATCH($Y555,'Weapons Database'!$A$2:$A$100,0)),""))</x:f>
      </x:c>
      <x:c r="AA555" t="str">
        <x:f>IF($Y555="","","Weapons Database")</x:f>
      </x:c>
    </x:row>
    <x:row r="556">
      <x:c r="Z556" t="str">
        <x:f>IF($Y556="","",IFERROR(INDEX('Weapons Database'!$C$2:$C$100,MATCH($Y556,'Weapons Database'!$A$2:$A$100,0))&amp;" "&amp;INDEX('Weapons Database'!$D$2:$D$100,MATCH($Y556,'Weapons Database'!$A$2:$A$100,0)),""))</x:f>
      </x:c>
      <x:c r="AA556" t="str">
        <x:f>IF($Y556="","","Weapons Database")</x:f>
      </x:c>
    </x:row>
    <x:row r="557">
      <x:c r="Z557" t="str">
        <x:f>IF($Y557="","",IFERROR(INDEX('Weapons Database'!$C$2:$C$100,MATCH($Y557,'Weapons Database'!$A$2:$A$100,0))&amp;" "&amp;INDEX('Weapons Database'!$D$2:$D$100,MATCH($Y557,'Weapons Database'!$A$2:$A$100,0)),""))</x:f>
      </x:c>
      <x:c r="AA557" t="str">
        <x:f>IF($Y557="","","Weapons Database")</x:f>
      </x:c>
    </x:row>
    <x:row r="558">
      <x:c r="Z558" t="str">
        <x:f>IF($Y558="","",IFERROR(INDEX('Weapons Database'!$C$2:$C$100,MATCH($Y558,'Weapons Database'!$A$2:$A$100,0))&amp;" "&amp;INDEX('Weapons Database'!$D$2:$D$100,MATCH($Y558,'Weapons Database'!$A$2:$A$100,0)),""))</x:f>
      </x:c>
      <x:c r="AA558" t="str">
        <x:f>IF($Y558="","","Weapons Database")</x:f>
      </x:c>
    </x:row>
    <x:row r="559">
      <x:c r="Z559" t="str">
        <x:f>IF($Y559="","",IFERROR(INDEX('Weapons Database'!$C$2:$C$100,MATCH($Y559,'Weapons Database'!$A$2:$A$100,0))&amp;" "&amp;INDEX('Weapons Database'!$D$2:$D$100,MATCH($Y559,'Weapons Database'!$A$2:$A$100,0)),""))</x:f>
      </x:c>
      <x:c r="AA559" t="str">
        <x:f>IF($Y559="","","Weapons Database")</x:f>
      </x:c>
    </x:row>
    <x:row r="560">
      <x:c r="Z560" t="str">
        <x:f>IF($Y560="","",IFERROR(INDEX('Weapons Database'!$C$2:$C$100,MATCH($Y560,'Weapons Database'!$A$2:$A$100,0))&amp;" "&amp;INDEX('Weapons Database'!$D$2:$D$100,MATCH($Y560,'Weapons Database'!$A$2:$A$100,0)),""))</x:f>
      </x:c>
      <x:c r="AA560" t="str">
        <x:f>IF($Y560="","","Weapons Database")</x:f>
      </x:c>
    </x:row>
    <x:row r="561">
      <x:c r="Z561" t="str">
        <x:f>IF($Y561="","",IFERROR(INDEX('Weapons Database'!$C$2:$C$100,MATCH($Y561,'Weapons Database'!$A$2:$A$100,0))&amp;" "&amp;INDEX('Weapons Database'!$D$2:$D$100,MATCH($Y561,'Weapons Database'!$A$2:$A$100,0)),""))</x:f>
      </x:c>
      <x:c r="AA561" t="str">
        <x:f>IF($Y561="","","Weapons Database")</x:f>
      </x:c>
    </x:row>
    <x:row r="562">
      <x:c r="Z562" t="str">
        <x:f>IF($Y562="","",IFERROR(INDEX('Weapons Database'!$C$2:$C$100,MATCH($Y562,'Weapons Database'!$A$2:$A$100,0))&amp;" "&amp;INDEX('Weapons Database'!$D$2:$D$100,MATCH($Y562,'Weapons Database'!$A$2:$A$100,0)),""))</x:f>
      </x:c>
      <x:c r="AA562" t="str">
        <x:f>IF($Y562="","","Weapons Database")</x:f>
      </x:c>
    </x:row>
    <x:row r="563">
      <x:c r="Z563" t="str">
        <x:f>IF($Y563="","",IFERROR(INDEX('Weapons Database'!$C$2:$C$100,MATCH($Y563,'Weapons Database'!$A$2:$A$100,0))&amp;" "&amp;INDEX('Weapons Database'!$D$2:$D$100,MATCH($Y563,'Weapons Database'!$A$2:$A$100,0)),""))</x:f>
      </x:c>
      <x:c r="AA563" t="str">
        <x:f>IF($Y563="","","Weapons Database")</x:f>
      </x:c>
    </x:row>
    <x:row r="564">
      <x:c r="Z564" t="str">
        <x:f>IF($Y564="","",IFERROR(INDEX('Weapons Database'!$C$2:$C$100,MATCH($Y564,'Weapons Database'!$A$2:$A$100,0))&amp;" "&amp;INDEX('Weapons Database'!$D$2:$D$100,MATCH($Y564,'Weapons Database'!$A$2:$A$100,0)),""))</x:f>
      </x:c>
      <x:c r="AA564" t="str">
        <x:f>IF($Y564="","","Weapons Database")</x:f>
      </x:c>
    </x:row>
    <x:row r="565">
      <x:c r="Z565" t="str">
        <x:f>IF($Y565="","",IFERROR(INDEX('Weapons Database'!$C$2:$C$100,MATCH($Y565,'Weapons Database'!$A$2:$A$100,0))&amp;" "&amp;INDEX('Weapons Database'!$D$2:$D$100,MATCH($Y565,'Weapons Database'!$A$2:$A$100,0)),""))</x:f>
      </x:c>
      <x:c r="AA565" t="str">
        <x:f>IF($Y565="","","Weapons Database")</x:f>
      </x:c>
    </x:row>
    <x:row r="566">
      <x:c r="Z566" t="str">
        <x:f>IF($Y566="","",IFERROR(INDEX('Weapons Database'!$C$2:$C$100,MATCH($Y566,'Weapons Database'!$A$2:$A$100,0))&amp;" "&amp;INDEX('Weapons Database'!$D$2:$D$100,MATCH($Y566,'Weapons Database'!$A$2:$A$100,0)),""))</x:f>
      </x:c>
      <x:c r="AA566" t="str">
        <x:f>IF($Y566="","","Weapons Database")</x:f>
      </x:c>
    </x:row>
    <x:row r="567">
      <x:c r="Z567" t="str">
        <x:f>IF($Y567="","",IFERROR(INDEX('Weapons Database'!$C$2:$C$100,MATCH($Y567,'Weapons Database'!$A$2:$A$100,0))&amp;" "&amp;INDEX('Weapons Database'!$D$2:$D$100,MATCH($Y567,'Weapons Database'!$A$2:$A$100,0)),""))</x:f>
      </x:c>
      <x:c r="AA567" t="str">
        <x:f>IF($Y567="","","Weapons Database")</x:f>
      </x:c>
    </x:row>
    <x:row r="568">
      <x:c r="Z568" t="str">
        <x:f>IF($Y568="","",IFERROR(INDEX('Weapons Database'!$C$2:$C$100,MATCH($Y568,'Weapons Database'!$A$2:$A$100,0))&amp;" "&amp;INDEX('Weapons Database'!$D$2:$D$100,MATCH($Y568,'Weapons Database'!$A$2:$A$100,0)),""))</x:f>
      </x:c>
      <x:c r="AA568" t="str">
        <x:f>IF($Y568="","","Weapons Database")</x:f>
      </x:c>
    </x:row>
    <x:row r="569">
      <x:c r="Z569" t="str">
        <x:f>IF($Y569="","",IFERROR(INDEX('Weapons Database'!$C$2:$C$100,MATCH($Y569,'Weapons Database'!$A$2:$A$100,0))&amp;" "&amp;INDEX('Weapons Database'!$D$2:$D$100,MATCH($Y569,'Weapons Database'!$A$2:$A$100,0)),""))</x:f>
      </x:c>
      <x:c r="AA569" t="str">
        <x:f>IF($Y569="","","Weapons Database")</x:f>
      </x:c>
    </x:row>
    <x:row r="570">
      <x:c r="Z570" t="str">
        <x:f>IF($Y570="","",IFERROR(INDEX('Weapons Database'!$C$2:$C$100,MATCH($Y570,'Weapons Database'!$A$2:$A$100,0))&amp;" "&amp;INDEX('Weapons Database'!$D$2:$D$100,MATCH($Y570,'Weapons Database'!$A$2:$A$100,0)),""))</x:f>
      </x:c>
      <x:c r="AA570" t="str">
        <x:f>IF($Y570="","","Weapons Database")</x:f>
      </x:c>
    </x:row>
    <x:row r="571">
      <x:c r="Z571" t="str">
        <x:f>IF($Y571="","",IFERROR(INDEX('Weapons Database'!$C$2:$C$100,MATCH($Y571,'Weapons Database'!$A$2:$A$100,0))&amp;" "&amp;INDEX('Weapons Database'!$D$2:$D$100,MATCH($Y571,'Weapons Database'!$A$2:$A$100,0)),""))</x:f>
      </x:c>
      <x:c r="AA571" t="str">
        <x:f>IF($Y571="","","Weapons Database")</x:f>
      </x:c>
    </x:row>
    <x:row r="572">
      <x:c r="Z572" t="str">
        <x:f>IF($Y572="","",IFERROR(INDEX('Weapons Database'!$C$2:$C$100,MATCH($Y572,'Weapons Database'!$A$2:$A$100,0))&amp;" "&amp;INDEX('Weapons Database'!$D$2:$D$100,MATCH($Y572,'Weapons Database'!$A$2:$A$100,0)),""))</x:f>
      </x:c>
      <x:c r="AA572" t="str">
        <x:f>IF($Y572="","","Weapons Database")</x:f>
      </x:c>
    </x:row>
    <x:row r="573">
      <x:c r="Z573" t="str">
        <x:f>IF($Y573="","",IFERROR(INDEX('Weapons Database'!$C$2:$C$100,MATCH($Y573,'Weapons Database'!$A$2:$A$100,0))&amp;" "&amp;INDEX('Weapons Database'!$D$2:$D$100,MATCH($Y573,'Weapons Database'!$A$2:$A$100,0)),""))</x:f>
      </x:c>
      <x:c r="AA573" t="str">
        <x:f>IF($Y573="","","Weapons Database")</x:f>
      </x:c>
    </x:row>
    <x:row r="574">
      <x:c r="Z574" t="str">
        <x:f>IF($Y574="","",IFERROR(INDEX('Weapons Database'!$C$2:$C$100,MATCH($Y574,'Weapons Database'!$A$2:$A$100,0))&amp;" "&amp;INDEX('Weapons Database'!$D$2:$D$100,MATCH($Y574,'Weapons Database'!$A$2:$A$100,0)),""))</x:f>
      </x:c>
      <x:c r="AA574" t="str">
        <x:f>IF($Y574="","","Weapons Database")</x:f>
      </x:c>
    </x:row>
    <x:row r="575">
      <x:c r="Z575" t="str">
        <x:f>IF($Y575="","",IFERROR(INDEX('Weapons Database'!$C$2:$C$100,MATCH($Y575,'Weapons Database'!$A$2:$A$100,0))&amp;" "&amp;INDEX('Weapons Database'!$D$2:$D$100,MATCH($Y575,'Weapons Database'!$A$2:$A$100,0)),""))</x:f>
      </x:c>
      <x:c r="AA575" t="str">
        <x:f>IF($Y575="","","Weapons Database")</x:f>
      </x:c>
    </x:row>
    <x:row r="576">
      <x:c r="Z576" t="str">
        <x:f>IF($Y576="","",IFERROR(INDEX('Weapons Database'!$C$2:$C$100,MATCH($Y576,'Weapons Database'!$A$2:$A$100,0))&amp;" "&amp;INDEX('Weapons Database'!$D$2:$D$100,MATCH($Y576,'Weapons Database'!$A$2:$A$100,0)),""))</x:f>
      </x:c>
      <x:c r="AA576" t="str">
        <x:f>IF($Y576="","","Weapons Database")</x:f>
      </x:c>
    </x:row>
    <x:row r="577">
      <x:c r="Z577" t="str">
        <x:f>IF($Y577="","",IFERROR(INDEX('Weapons Database'!$C$2:$C$100,MATCH($Y577,'Weapons Database'!$A$2:$A$100,0))&amp;" "&amp;INDEX('Weapons Database'!$D$2:$D$100,MATCH($Y577,'Weapons Database'!$A$2:$A$100,0)),""))</x:f>
      </x:c>
      <x:c r="AA577" t="str">
        <x:f>IF($Y577="","","Weapons Database")</x:f>
      </x:c>
    </x:row>
    <x:row r="578">
      <x:c r="Z578" t="str">
        <x:f>IF($Y578="","",IFERROR(INDEX('Weapons Database'!$C$2:$C$100,MATCH($Y578,'Weapons Database'!$A$2:$A$100,0))&amp;" "&amp;INDEX('Weapons Database'!$D$2:$D$100,MATCH($Y578,'Weapons Database'!$A$2:$A$100,0)),""))</x:f>
      </x:c>
      <x:c r="AA578" t="str">
        <x:f>IF($Y578="","","Weapons Database")</x:f>
      </x:c>
    </x:row>
    <x:row r="579">
      <x:c r="Z579" t="str">
        <x:f>IF($Y579="","",IFERROR(INDEX('Weapons Database'!$C$2:$C$100,MATCH($Y579,'Weapons Database'!$A$2:$A$100,0))&amp;" "&amp;INDEX('Weapons Database'!$D$2:$D$100,MATCH($Y579,'Weapons Database'!$A$2:$A$100,0)),""))</x:f>
      </x:c>
      <x:c r="AA579" t="str">
        <x:f>IF($Y579="","","Weapons Database")</x:f>
      </x:c>
    </x:row>
    <x:row r="580">
      <x:c r="Z580" t="str">
        <x:f>IF($Y580="","",IFERROR(INDEX('Weapons Database'!$C$2:$C$100,MATCH($Y580,'Weapons Database'!$A$2:$A$100,0))&amp;" "&amp;INDEX('Weapons Database'!$D$2:$D$100,MATCH($Y580,'Weapons Database'!$A$2:$A$100,0)),""))</x:f>
      </x:c>
      <x:c r="AA580" t="str">
        <x:f>IF($Y580="","","Weapons Database")</x:f>
      </x:c>
    </x:row>
    <x:row r="581">
      <x:c r="Z581" t="str">
        <x:f>IF($Y581="","",IFERROR(INDEX('Weapons Database'!$C$2:$C$100,MATCH($Y581,'Weapons Database'!$A$2:$A$100,0))&amp;" "&amp;INDEX('Weapons Database'!$D$2:$D$100,MATCH($Y581,'Weapons Database'!$A$2:$A$100,0)),""))</x:f>
      </x:c>
      <x:c r="AA581" t="str">
        <x:f>IF($Y581="","","Weapons Database")</x:f>
      </x:c>
    </x:row>
    <x:row r="582">
      <x:c r="Z582" t="str">
        <x:f>IF($Y582="","",IFERROR(INDEX('Weapons Database'!$C$2:$C$100,MATCH($Y582,'Weapons Database'!$A$2:$A$100,0))&amp;" "&amp;INDEX('Weapons Database'!$D$2:$D$100,MATCH($Y582,'Weapons Database'!$A$2:$A$100,0)),""))</x:f>
      </x:c>
      <x:c r="AA582" t="str">
        <x:f>IF($Y582="","","Weapons Database")</x:f>
      </x:c>
    </x:row>
    <x:row r="583">
      <x:c r="Z583" t="str">
        <x:f>IF($Y583="","",IFERROR(INDEX('Weapons Database'!$C$2:$C$100,MATCH($Y583,'Weapons Database'!$A$2:$A$100,0))&amp;" "&amp;INDEX('Weapons Database'!$D$2:$D$100,MATCH($Y583,'Weapons Database'!$A$2:$A$100,0)),""))</x:f>
      </x:c>
      <x:c r="AA583" t="str">
        <x:f>IF($Y583="","","Weapons Database")</x:f>
      </x:c>
    </x:row>
    <x:row r="584">
      <x:c r="Z584" t="str">
        <x:f>IF($Y584="","",IFERROR(INDEX('Weapons Database'!$C$2:$C$100,MATCH($Y584,'Weapons Database'!$A$2:$A$100,0))&amp;" "&amp;INDEX('Weapons Database'!$D$2:$D$100,MATCH($Y584,'Weapons Database'!$A$2:$A$100,0)),""))</x:f>
      </x:c>
      <x:c r="AA584" t="str">
        <x:f>IF($Y584="","","Weapons Database")</x:f>
      </x:c>
    </x:row>
    <x:row r="585">
      <x:c r="Z585" t="str">
        <x:f>IF($Y585="","",IFERROR(INDEX('Weapons Database'!$C$2:$C$100,MATCH($Y585,'Weapons Database'!$A$2:$A$100,0))&amp;" "&amp;INDEX('Weapons Database'!$D$2:$D$100,MATCH($Y585,'Weapons Database'!$A$2:$A$100,0)),""))</x:f>
      </x:c>
      <x:c r="AA585" t="str">
        <x:f>IF($Y585="","","Weapons Database")</x:f>
      </x:c>
    </x:row>
    <x:row r="586">
      <x:c r="Z586" t="str">
        <x:f>IF($Y586="","",IFERROR(INDEX('Weapons Database'!$C$2:$C$100,MATCH($Y586,'Weapons Database'!$A$2:$A$100,0))&amp;" "&amp;INDEX('Weapons Database'!$D$2:$D$100,MATCH($Y586,'Weapons Database'!$A$2:$A$100,0)),""))</x:f>
      </x:c>
      <x:c r="AA586" t="str">
        <x:f>IF($Y586="","","Weapons Database")</x:f>
      </x:c>
    </x:row>
    <x:row r="587">
      <x:c r="Z587" t="str">
        <x:f>IF($Y587="","",IFERROR(INDEX('Weapons Database'!$C$2:$C$100,MATCH($Y587,'Weapons Database'!$A$2:$A$100,0))&amp;" "&amp;INDEX('Weapons Database'!$D$2:$D$100,MATCH($Y587,'Weapons Database'!$A$2:$A$100,0)),""))</x:f>
      </x:c>
      <x:c r="AA587" t="str">
        <x:f>IF($Y587="","","Weapons Database")</x:f>
      </x:c>
    </x:row>
    <x:row r="588">
      <x:c r="Z588" t="str">
        <x:f>IF($Y588="","",IFERROR(INDEX('Weapons Database'!$C$2:$C$100,MATCH($Y588,'Weapons Database'!$A$2:$A$100,0))&amp;" "&amp;INDEX('Weapons Database'!$D$2:$D$100,MATCH($Y588,'Weapons Database'!$A$2:$A$100,0)),""))</x:f>
      </x:c>
      <x:c r="AA588" t="str">
        <x:f>IF($Y588="","","Weapons Database")</x:f>
      </x:c>
    </x:row>
    <x:row r="589">
      <x:c r="Z589" t="str">
        <x:f>IF($Y589="","",IFERROR(INDEX('Weapons Database'!$C$2:$C$100,MATCH($Y589,'Weapons Database'!$A$2:$A$100,0))&amp;" "&amp;INDEX('Weapons Database'!$D$2:$D$100,MATCH($Y589,'Weapons Database'!$A$2:$A$100,0)),""))</x:f>
      </x:c>
      <x:c r="AA589" t="str">
        <x:f>IF($Y589="","","Weapons Database")</x:f>
      </x:c>
    </x:row>
    <x:row r="590">
      <x:c r="Z590" t="str">
        <x:f>IF($Y590="","",IFERROR(INDEX('Weapons Database'!$C$2:$C$100,MATCH($Y590,'Weapons Database'!$A$2:$A$100,0))&amp;" "&amp;INDEX('Weapons Database'!$D$2:$D$100,MATCH($Y590,'Weapons Database'!$A$2:$A$100,0)),""))</x:f>
      </x:c>
      <x:c r="AA590" t="str">
        <x:f>IF($Y590="","","Weapons Database")</x:f>
      </x:c>
    </x:row>
    <x:row r="591">
      <x:c r="Z591" t="str">
        <x:f>IF($Y591="","",IFERROR(INDEX('Weapons Database'!$C$2:$C$100,MATCH($Y591,'Weapons Database'!$A$2:$A$100,0))&amp;" "&amp;INDEX('Weapons Database'!$D$2:$D$100,MATCH($Y591,'Weapons Database'!$A$2:$A$100,0)),""))</x:f>
      </x:c>
      <x:c r="AA591" t="str">
        <x:f>IF($Y591="","","Weapons Database")</x:f>
      </x:c>
    </x:row>
    <x:row r="592">
      <x:c r="Z592" t="str">
        <x:f>IF($Y592="","",IFERROR(INDEX('Weapons Database'!$C$2:$C$100,MATCH($Y592,'Weapons Database'!$A$2:$A$100,0))&amp;" "&amp;INDEX('Weapons Database'!$D$2:$D$100,MATCH($Y592,'Weapons Database'!$A$2:$A$100,0)),""))</x:f>
      </x:c>
      <x:c r="AA592" t="str">
        <x:f>IF($Y592="","","Weapons Database")</x:f>
      </x:c>
    </x:row>
    <x:row r="593">
      <x:c r="Z593" t="str">
        <x:f>IF($Y593="","",IFERROR(INDEX('Weapons Database'!$C$2:$C$100,MATCH($Y593,'Weapons Database'!$A$2:$A$100,0))&amp;" "&amp;INDEX('Weapons Database'!$D$2:$D$100,MATCH($Y593,'Weapons Database'!$A$2:$A$100,0)),""))</x:f>
      </x:c>
      <x:c r="AA593" t="str">
        <x:f>IF($Y593="","","Weapons Database")</x:f>
      </x:c>
    </x:row>
    <x:row r="594">
      <x:c r="Z594" t="str">
        <x:f>IF($Y594="","",IFERROR(INDEX('Weapons Database'!$C$2:$C$100,MATCH($Y594,'Weapons Database'!$A$2:$A$100,0))&amp;" "&amp;INDEX('Weapons Database'!$D$2:$D$100,MATCH($Y594,'Weapons Database'!$A$2:$A$100,0)),""))</x:f>
      </x:c>
      <x:c r="AA594" t="str">
        <x:f>IF($Y594="","","Weapons Database")</x:f>
      </x:c>
    </x:row>
    <x:row r="595">
      <x:c r="Z595" t="str">
        <x:f>IF($Y595="","",IFERROR(INDEX('Weapons Database'!$C$2:$C$100,MATCH($Y595,'Weapons Database'!$A$2:$A$100,0))&amp;" "&amp;INDEX('Weapons Database'!$D$2:$D$100,MATCH($Y595,'Weapons Database'!$A$2:$A$100,0)),""))</x:f>
      </x:c>
      <x:c r="AA595" t="str">
        <x:f>IF($Y595="","","Weapons Database")</x:f>
      </x:c>
    </x:row>
    <x:row r="596">
      <x:c r="Z596" t="str">
        <x:f>IF($Y596="","",IFERROR(INDEX('Weapons Database'!$C$2:$C$100,MATCH($Y596,'Weapons Database'!$A$2:$A$100,0))&amp;" "&amp;INDEX('Weapons Database'!$D$2:$D$100,MATCH($Y596,'Weapons Database'!$A$2:$A$100,0)),""))</x:f>
      </x:c>
      <x:c r="AA596" t="str">
        <x:f>IF($Y596="","","Weapons Database")</x:f>
      </x:c>
    </x:row>
    <x:row r="597">
      <x:c r="Z597" t="str">
        <x:f>IF($Y597="","",IFERROR(INDEX('Weapons Database'!$C$2:$C$100,MATCH($Y597,'Weapons Database'!$A$2:$A$100,0))&amp;" "&amp;INDEX('Weapons Database'!$D$2:$D$100,MATCH($Y597,'Weapons Database'!$A$2:$A$100,0)),""))</x:f>
      </x:c>
      <x:c r="AA597" t="str">
        <x:f>IF($Y597="","","Weapons Database")</x:f>
      </x:c>
    </x:row>
    <x:row r="598">
      <x:c r="Z598" t="str">
        <x:f>IF($Y598="","",IFERROR(INDEX('Weapons Database'!$C$2:$C$100,MATCH($Y598,'Weapons Database'!$A$2:$A$100,0))&amp;" "&amp;INDEX('Weapons Database'!$D$2:$D$100,MATCH($Y598,'Weapons Database'!$A$2:$A$100,0)),""))</x:f>
      </x:c>
      <x:c r="AA598" t="str">
        <x:f>IF($Y598="","","Weapons Database")</x:f>
      </x:c>
    </x:row>
    <x:row r="599">
      <x:c r="Z599" t="str">
        <x:f>IF($Y599="","",IFERROR(INDEX('Weapons Database'!$C$2:$C$100,MATCH($Y599,'Weapons Database'!$A$2:$A$100,0))&amp;" "&amp;INDEX('Weapons Database'!$D$2:$D$100,MATCH($Y599,'Weapons Database'!$A$2:$A$100,0)),""))</x:f>
      </x:c>
      <x:c r="AA599" t="str">
        <x:f>IF($Y599="","","Weapons Database")</x:f>
      </x:c>
    </x:row>
    <x:row r="600">
      <x:c r="Z600" t="str">
        <x:f>IF($Y600="","",IFERROR(INDEX('Weapons Database'!$C$2:$C$100,MATCH($Y600,'Weapons Database'!$A$2:$A$100,0))&amp;" "&amp;INDEX('Weapons Database'!$D$2:$D$100,MATCH($Y600,'Weapons Database'!$A$2:$A$100,0)),""))</x:f>
      </x:c>
      <x:c r="AA600" t="str">
        <x:f>IF($Y600="","","Weapons Database")</x:f>
      </x:c>
    </x:row>
    <x:row r="601">
      <x:c r="Z601" t="str">
        <x:f>IF($Y601="","",IFERROR(INDEX('Weapons Database'!$C$2:$C$100,MATCH($Y601,'Weapons Database'!$A$2:$A$100,0))&amp;" "&amp;INDEX('Weapons Database'!$D$2:$D$100,MATCH($Y601,'Weapons Database'!$A$2:$A$100,0)),""))</x:f>
      </x:c>
      <x:c r="AA601" t="str">
        <x:f>IF($Y601="","","Weapons Database")</x:f>
      </x:c>
    </x:row>
    <x:row r="602">
      <x:c r="Z602" t="str">
        <x:f>IF($Y602="","",IFERROR(INDEX('Weapons Database'!$C$2:$C$100,MATCH($Y602,'Weapons Database'!$A$2:$A$100,0))&amp;" "&amp;INDEX('Weapons Database'!$D$2:$D$100,MATCH($Y602,'Weapons Database'!$A$2:$A$100,0)),""))</x:f>
      </x:c>
      <x:c r="AA602" t="str">
        <x:f>IF($Y602="","","Weapons Database")</x:f>
      </x:c>
    </x:row>
    <x:row r="603">
      <x:c r="Z603" t="str">
        <x:f>IF($Y603="","",IFERROR(INDEX('Weapons Database'!$C$2:$C$100,MATCH($Y603,'Weapons Database'!$A$2:$A$100,0))&amp;" "&amp;INDEX('Weapons Database'!$D$2:$D$100,MATCH($Y603,'Weapons Database'!$A$2:$A$100,0)),""))</x:f>
      </x:c>
      <x:c r="AA603" t="str">
        <x:f>IF($Y603="","","Weapons Database")</x:f>
      </x:c>
    </x:row>
    <x:row r="604">
      <x:c r="Z604" t="str">
        <x:f>IF($Y604="","",IFERROR(INDEX('Weapons Database'!$C$2:$C$100,MATCH($Y604,'Weapons Database'!$A$2:$A$100,0))&amp;" "&amp;INDEX('Weapons Database'!$D$2:$D$100,MATCH($Y604,'Weapons Database'!$A$2:$A$100,0)),""))</x:f>
      </x:c>
      <x:c r="AA604" t="str">
        <x:f>IF($Y604="","","Weapons Database")</x:f>
      </x:c>
    </x:row>
    <x:row r="605">
      <x:c r="Z605" t="str">
        <x:f>IF($Y605="","",IFERROR(INDEX('Weapons Database'!$C$2:$C$100,MATCH($Y605,'Weapons Database'!$A$2:$A$100,0))&amp;" "&amp;INDEX('Weapons Database'!$D$2:$D$100,MATCH($Y605,'Weapons Database'!$A$2:$A$100,0)),""))</x:f>
      </x:c>
      <x:c r="AA605" t="str">
        <x:f>IF($Y605="","","Weapons Database")</x:f>
      </x:c>
    </x:row>
    <x:row r="606">
      <x:c r="Z606" t="str">
        <x:f>IF($Y606="","",IFERROR(INDEX('Weapons Database'!$C$2:$C$100,MATCH($Y606,'Weapons Database'!$A$2:$A$100,0))&amp;" "&amp;INDEX('Weapons Database'!$D$2:$D$100,MATCH($Y606,'Weapons Database'!$A$2:$A$100,0)),""))</x:f>
      </x:c>
      <x:c r="AA606" t="str">
        <x:f>IF($Y606="","","Weapons Database")</x:f>
      </x:c>
    </x:row>
    <x:row r="607">
      <x:c r="Z607" t="str">
        <x:f>IF($Y607="","",IFERROR(INDEX('Weapons Database'!$C$2:$C$100,MATCH($Y607,'Weapons Database'!$A$2:$A$100,0))&amp;" "&amp;INDEX('Weapons Database'!$D$2:$D$100,MATCH($Y607,'Weapons Database'!$A$2:$A$100,0)),""))</x:f>
      </x:c>
      <x:c r="AA607" t="str">
        <x:f>IF($Y607="","","Weapons Database")</x:f>
      </x:c>
    </x:row>
    <x:row r="608">
      <x:c r="Z608" t="str">
        <x:f>IF($Y608="","",IFERROR(INDEX('Weapons Database'!$C$2:$C$100,MATCH($Y608,'Weapons Database'!$A$2:$A$100,0))&amp;" "&amp;INDEX('Weapons Database'!$D$2:$D$100,MATCH($Y608,'Weapons Database'!$A$2:$A$100,0)),""))</x:f>
      </x:c>
      <x:c r="AA608" t="str">
        <x:f>IF($Y608="","","Weapons Database")</x:f>
      </x:c>
    </x:row>
    <x:row r="609">
      <x:c r="Z609" t="str">
        <x:f>IF($Y609="","",IFERROR(INDEX('Weapons Database'!$C$2:$C$100,MATCH($Y609,'Weapons Database'!$A$2:$A$100,0))&amp;" "&amp;INDEX('Weapons Database'!$D$2:$D$100,MATCH($Y609,'Weapons Database'!$A$2:$A$100,0)),""))</x:f>
      </x:c>
      <x:c r="AA609" t="str">
        <x:f>IF($Y609="","","Weapons Database")</x:f>
      </x:c>
    </x:row>
    <x:row r="610">
      <x:c r="Z610" t="str">
        <x:f>IF($Y610="","",IFERROR(INDEX('Weapons Database'!$C$2:$C$100,MATCH($Y610,'Weapons Database'!$A$2:$A$100,0))&amp;" "&amp;INDEX('Weapons Database'!$D$2:$D$100,MATCH($Y610,'Weapons Database'!$A$2:$A$100,0)),""))</x:f>
      </x:c>
      <x:c r="AA610" t="str">
        <x:f>IF($Y610="","","Weapons Database")</x:f>
      </x:c>
    </x:row>
    <x:row r="611">
      <x:c r="Z611" t="str">
        <x:f>IF($Y611="","",IFERROR(INDEX('Weapons Database'!$C$2:$C$100,MATCH($Y611,'Weapons Database'!$A$2:$A$100,0))&amp;" "&amp;INDEX('Weapons Database'!$D$2:$D$100,MATCH($Y611,'Weapons Database'!$A$2:$A$100,0)),""))</x:f>
      </x:c>
      <x:c r="AA611" t="str">
        <x:f>IF($Y611="","","Weapons Database")</x:f>
      </x:c>
    </x:row>
    <x:row r="612">
      <x:c r="Z612" t="str">
        <x:f>IF($Y612="","",IFERROR(INDEX('Weapons Database'!$C$2:$C$100,MATCH($Y612,'Weapons Database'!$A$2:$A$100,0))&amp;" "&amp;INDEX('Weapons Database'!$D$2:$D$100,MATCH($Y612,'Weapons Database'!$A$2:$A$100,0)),""))</x:f>
      </x:c>
      <x:c r="AA612" t="str">
        <x:f>IF($Y612="","","Weapons Database")</x:f>
      </x:c>
    </x:row>
    <x:row r="613">
      <x:c r="Z613" t="str">
        <x:f>IF($Y613="","",IFERROR(INDEX('Weapons Database'!$C$2:$C$100,MATCH($Y613,'Weapons Database'!$A$2:$A$100,0))&amp;" "&amp;INDEX('Weapons Database'!$D$2:$D$100,MATCH($Y613,'Weapons Database'!$A$2:$A$100,0)),""))</x:f>
      </x:c>
      <x:c r="AA613" t="str">
        <x:f>IF($Y613="","","Weapons Database")</x:f>
      </x:c>
    </x:row>
    <x:row r="614">
      <x:c r="Z614" t="str">
        <x:f>IF($Y614="","",IFERROR(INDEX('Weapons Database'!$C$2:$C$100,MATCH($Y614,'Weapons Database'!$A$2:$A$100,0))&amp;" "&amp;INDEX('Weapons Database'!$D$2:$D$100,MATCH($Y614,'Weapons Database'!$A$2:$A$100,0)),""))</x:f>
      </x:c>
      <x:c r="AA614" t="str">
        <x:f>IF($Y614="","","Weapons Database")</x:f>
      </x:c>
    </x:row>
    <x:row r="615">
      <x:c r="Z615" t="str">
        <x:f>IF($Y615="","",IFERROR(INDEX('Weapons Database'!$C$2:$C$100,MATCH($Y615,'Weapons Database'!$A$2:$A$100,0))&amp;" "&amp;INDEX('Weapons Database'!$D$2:$D$100,MATCH($Y615,'Weapons Database'!$A$2:$A$100,0)),""))</x:f>
      </x:c>
      <x:c r="AA615" t="str">
        <x:f>IF($Y615="","","Weapons Database")</x:f>
      </x:c>
    </x:row>
    <x:row r="616">
      <x:c r="Z616" t="str">
        <x:f>IF($Y616="","",IFERROR(INDEX('Weapons Database'!$C$2:$C$100,MATCH($Y616,'Weapons Database'!$A$2:$A$100,0))&amp;" "&amp;INDEX('Weapons Database'!$D$2:$D$100,MATCH($Y616,'Weapons Database'!$A$2:$A$100,0)),""))</x:f>
      </x:c>
      <x:c r="AA616" t="str">
        <x:f>IF($Y616="","","Weapons Database")</x:f>
      </x:c>
    </x:row>
    <x:row r="617">
      <x:c r="Z617" t="str">
        <x:f>IF($Y617="","",IFERROR(INDEX('Weapons Database'!$C$2:$C$100,MATCH($Y617,'Weapons Database'!$A$2:$A$100,0))&amp;" "&amp;INDEX('Weapons Database'!$D$2:$D$100,MATCH($Y617,'Weapons Database'!$A$2:$A$100,0)),""))</x:f>
      </x:c>
      <x:c r="AA617" t="str">
        <x:f>IF($Y617="","","Weapons Database")</x:f>
      </x:c>
    </x:row>
    <x:row r="618">
      <x:c r="Z618" t="str">
        <x:f>IF($Y618="","",IFERROR(INDEX('Weapons Database'!$C$2:$C$100,MATCH($Y618,'Weapons Database'!$A$2:$A$100,0))&amp;" "&amp;INDEX('Weapons Database'!$D$2:$D$100,MATCH($Y618,'Weapons Database'!$A$2:$A$100,0)),""))</x:f>
      </x:c>
      <x:c r="AA618" t="str">
        <x:f>IF($Y618="","","Weapons Database")</x:f>
      </x:c>
    </x:row>
    <x:row r="619">
      <x:c r="Z619" t="str">
        <x:f>IF($Y619="","",IFERROR(INDEX('Weapons Database'!$C$2:$C$100,MATCH($Y619,'Weapons Database'!$A$2:$A$100,0))&amp;" "&amp;INDEX('Weapons Database'!$D$2:$D$100,MATCH($Y619,'Weapons Database'!$A$2:$A$100,0)),""))</x:f>
      </x:c>
      <x:c r="AA619" t="str">
        <x:f>IF($Y619="","","Weapons Database")</x:f>
      </x:c>
    </x:row>
    <x:row r="620">
      <x:c r="Z620" t="str">
        <x:f>IF($Y620="","",IFERROR(INDEX('Weapons Database'!$C$2:$C$100,MATCH($Y620,'Weapons Database'!$A$2:$A$100,0))&amp;" "&amp;INDEX('Weapons Database'!$D$2:$D$100,MATCH($Y620,'Weapons Database'!$A$2:$A$100,0)),""))</x:f>
      </x:c>
      <x:c r="AA620" t="str">
        <x:f>IF($Y620="","","Weapons Database")</x:f>
      </x:c>
    </x:row>
    <x:row r="621">
      <x:c r="Z621" t="str">
        <x:f>IF($Y621="","",IFERROR(INDEX('Weapons Database'!$C$2:$C$100,MATCH($Y621,'Weapons Database'!$A$2:$A$100,0))&amp;" "&amp;INDEX('Weapons Database'!$D$2:$D$100,MATCH($Y621,'Weapons Database'!$A$2:$A$100,0)),""))</x:f>
      </x:c>
      <x:c r="AA621" t="str">
        <x:f>IF($Y621="","","Weapons Database")</x:f>
      </x:c>
    </x:row>
    <x:row r="622">
      <x:c r="Z622" t="str">
        <x:f>IF($Y622="","",IFERROR(INDEX('Weapons Database'!$C$2:$C$100,MATCH($Y622,'Weapons Database'!$A$2:$A$100,0))&amp;" "&amp;INDEX('Weapons Database'!$D$2:$D$100,MATCH($Y622,'Weapons Database'!$A$2:$A$100,0)),""))</x:f>
      </x:c>
      <x:c r="AA622" t="str">
        <x:f>IF($Y622="","","Weapons Database")</x:f>
      </x:c>
    </x:row>
    <x:row r="623">
      <x:c r="Z623" t="str">
        <x:f>IF($Y623="","",IFERROR(INDEX('Weapons Database'!$C$2:$C$100,MATCH($Y623,'Weapons Database'!$A$2:$A$100,0))&amp;" "&amp;INDEX('Weapons Database'!$D$2:$D$100,MATCH($Y623,'Weapons Database'!$A$2:$A$100,0)),""))</x:f>
      </x:c>
      <x:c r="AA623" t="str">
        <x:f>IF($Y623="","","Weapons Database")</x:f>
      </x:c>
    </x:row>
    <x:row r="624">
      <x:c r="Z624" t="str">
        <x:f>IF($Y624="","",IFERROR(INDEX('Weapons Database'!$C$2:$C$100,MATCH($Y624,'Weapons Database'!$A$2:$A$100,0))&amp;" "&amp;INDEX('Weapons Database'!$D$2:$D$100,MATCH($Y624,'Weapons Database'!$A$2:$A$100,0)),""))</x:f>
      </x:c>
      <x:c r="AA624" t="str">
        <x:f>IF($Y624="","","Weapons Database")</x:f>
      </x:c>
    </x:row>
    <x:row r="625">
      <x:c r="Z625" t="str">
        <x:f>IF($Y625="","",IFERROR(INDEX('Weapons Database'!$C$2:$C$100,MATCH($Y625,'Weapons Database'!$A$2:$A$100,0))&amp;" "&amp;INDEX('Weapons Database'!$D$2:$D$100,MATCH($Y625,'Weapons Database'!$A$2:$A$100,0)),""))</x:f>
      </x:c>
      <x:c r="AA625" t="str">
        <x:f>IF($Y625="","","Weapons Database")</x:f>
      </x:c>
    </x:row>
    <x:row r="626">
      <x:c r="Z626" t="str">
        <x:f>IF($Y626="","",IFERROR(INDEX('Weapons Database'!$C$2:$C$100,MATCH($Y626,'Weapons Database'!$A$2:$A$100,0))&amp;" "&amp;INDEX('Weapons Database'!$D$2:$D$100,MATCH($Y626,'Weapons Database'!$A$2:$A$100,0)),""))</x:f>
      </x:c>
      <x:c r="AA626" t="str">
        <x:f>IF($Y626="","","Weapons Database")</x:f>
      </x:c>
    </x:row>
    <x:row r="627">
      <x:c r="Z627" t="str">
        <x:f>IF($Y627="","",IFERROR(INDEX('Weapons Database'!$C$2:$C$100,MATCH($Y627,'Weapons Database'!$A$2:$A$100,0))&amp;" "&amp;INDEX('Weapons Database'!$D$2:$D$100,MATCH($Y627,'Weapons Database'!$A$2:$A$100,0)),""))</x:f>
      </x:c>
      <x:c r="AA627" t="str">
        <x:f>IF($Y627="","","Weapons Database")</x:f>
      </x:c>
    </x:row>
    <x:row r="628">
      <x:c r="Z628" t="str">
        <x:f>IF($Y628="","",IFERROR(INDEX('Weapons Database'!$C$2:$C$100,MATCH($Y628,'Weapons Database'!$A$2:$A$100,0))&amp;" "&amp;INDEX('Weapons Database'!$D$2:$D$100,MATCH($Y628,'Weapons Database'!$A$2:$A$100,0)),""))</x:f>
      </x:c>
      <x:c r="AA628" t="str">
        <x:f>IF($Y628="","","Weapons Database")</x:f>
      </x:c>
    </x:row>
    <x:row r="629">
      <x:c r="Z629" t="str">
        <x:f>IF($Y629="","",IFERROR(INDEX('Weapons Database'!$C$2:$C$100,MATCH($Y629,'Weapons Database'!$A$2:$A$100,0))&amp;" "&amp;INDEX('Weapons Database'!$D$2:$D$100,MATCH($Y629,'Weapons Database'!$A$2:$A$100,0)),""))</x:f>
      </x:c>
      <x:c r="AA629" t="str">
        <x:f>IF($Y629="","","Weapons Database")</x:f>
      </x:c>
    </x:row>
    <x:row r="630">
      <x:c r="Z630" t="str">
        <x:f>IF($Y630="","",IFERROR(INDEX('Weapons Database'!$C$2:$C$100,MATCH($Y630,'Weapons Database'!$A$2:$A$100,0))&amp;" "&amp;INDEX('Weapons Database'!$D$2:$D$100,MATCH($Y630,'Weapons Database'!$A$2:$A$100,0)),""))</x:f>
      </x:c>
      <x:c r="AA630" t="str">
        <x:f>IF($Y630="","","Weapons Database")</x:f>
      </x:c>
    </x:row>
    <x:row r="631">
      <x:c r="Z631" t="str">
        <x:f>IF($Y631="","",IFERROR(INDEX('Weapons Database'!$C$2:$C$100,MATCH($Y631,'Weapons Database'!$A$2:$A$100,0))&amp;" "&amp;INDEX('Weapons Database'!$D$2:$D$100,MATCH($Y631,'Weapons Database'!$A$2:$A$100,0)),""))</x:f>
      </x:c>
      <x:c r="AA631" t="str">
        <x:f>IF($Y631="","","Weapons Database")</x:f>
      </x:c>
    </x:row>
    <x:row r="632">
      <x:c r="Z632" t="str">
        <x:f>IF($Y632="","",IFERROR(INDEX('Weapons Database'!$C$2:$C$100,MATCH($Y632,'Weapons Database'!$A$2:$A$100,0))&amp;" "&amp;INDEX('Weapons Database'!$D$2:$D$100,MATCH($Y632,'Weapons Database'!$A$2:$A$100,0)),""))</x:f>
      </x:c>
      <x:c r="AA632" t="str">
        <x:f>IF($Y632="","","Weapons Database")</x:f>
      </x:c>
    </x:row>
    <x:row r="633">
      <x:c r="Z633" t="str">
        <x:f>IF($Y633="","",IFERROR(INDEX('Weapons Database'!$C$2:$C$100,MATCH($Y633,'Weapons Database'!$A$2:$A$100,0))&amp;" "&amp;INDEX('Weapons Database'!$D$2:$D$100,MATCH($Y633,'Weapons Database'!$A$2:$A$100,0)),""))</x:f>
      </x:c>
      <x:c r="AA633" t="str">
        <x:f>IF($Y633="","","Weapons Database")</x:f>
      </x:c>
    </x:row>
    <x:row r="634">
      <x:c r="Z634" t="str">
        <x:f>IF($Y634="","",IFERROR(INDEX('Weapons Database'!$C$2:$C$100,MATCH($Y634,'Weapons Database'!$A$2:$A$100,0))&amp;" "&amp;INDEX('Weapons Database'!$D$2:$D$100,MATCH($Y634,'Weapons Database'!$A$2:$A$100,0)),""))</x:f>
      </x:c>
      <x:c r="AA634" t="str">
        <x:f>IF($Y634="","","Weapons Database")</x:f>
      </x:c>
    </x:row>
    <x:row r="635">
      <x:c r="Z635" t="str">
        <x:f>IF($Y635="","",IFERROR(INDEX('Weapons Database'!$C$2:$C$100,MATCH($Y635,'Weapons Database'!$A$2:$A$100,0))&amp;" "&amp;INDEX('Weapons Database'!$D$2:$D$100,MATCH($Y635,'Weapons Database'!$A$2:$A$100,0)),""))</x:f>
      </x:c>
      <x:c r="AA635" t="str">
        <x:f>IF($Y635="","","Weapons Database")</x:f>
      </x:c>
    </x:row>
    <x:row r="636">
      <x:c r="Z636" t="str">
        <x:f>IF($Y636="","",IFERROR(INDEX('Weapons Database'!$C$2:$C$100,MATCH($Y636,'Weapons Database'!$A$2:$A$100,0))&amp;" "&amp;INDEX('Weapons Database'!$D$2:$D$100,MATCH($Y636,'Weapons Database'!$A$2:$A$100,0)),""))</x:f>
      </x:c>
      <x:c r="AA636" t="str">
        <x:f>IF($Y636="","","Weapons Database")</x:f>
      </x:c>
    </x:row>
    <x:row r="637">
      <x:c r="Z637" t="str">
        <x:f>IF($Y637="","",IFERROR(INDEX('Weapons Database'!$C$2:$C$100,MATCH($Y637,'Weapons Database'!$A$2:$A$100,0))&amp;" "&amp;INDEX('Weapons Database'!$D$2:$D$100,MATCH($Y637,'Weapons Database'!$A$2:$A$100,0)),""))</x:f>
      </x:c>
      <x:c r="AA637" t="str">
        <x:f>IF($Y637="","","Weapons Database")</x:f>
      </x:c>
    </x:row>
    <x:row r="638">
      <x:c r="Z638" t="str">
        <x:f>IF($Y638="","",IFERROR(INDEX('Weapons Database'!$C$2:$C$100,MATCH($Y638,'Weapons Database'!$A$2:$A$100,0))&amp;" "&amp;INDEX('Weapons Database'!$D$2:$D$100,MATCH($Y638,'Weapons Database'!$A$2:$A$100,0)),""))</x:f>
      </x:c>
      <x:c r="AA638" t="str">
        <x:f>IF($Y638="","","Weapons Database")</x:f>
      </x:c>
    </x:row>
    <x:row r="639">
      <x:c r="Z639" t="str">
        <x:f>IF($Y639="","",IFERROR(INDEX('Weapons Database'!$C$2:$C$100,MATCH($Y639,'Weapons Database'!$A$2:$A$100,0))&amp;" "&amp;INDEX('Weapons Database'!$D$2:$D$100,MATCH($Y639,'Weapons Database'!$A$2:$A$100,0)),""))</x:f>
      </x:c>
      <x:c r="AA639" t="str">
        <x:f>IF($Y639="","","Weapons Database")</x:f>
      </x:c>
    </x:row>
    <x:row r="640">
      <x:c r="Z640" t="str">
        <x:f>IF($Y640="","",IFERROR(INDEX('Weapons Database'!$C$2:$C$100,MATCH($Y640,'Weapons Database'!$A$2:$A$100,0))&amp;" "&amp;INDEX('Weapons Database'!$D$2:$D$100,MATCH($Y640,'Weapons Database'!$A$2:$A$100,0)),""))</x:f>
      </x:c>
      <x:c r="AA640" t="str">
        <x:f>IF($Y640="","","Weapons Database")</x:f>
      </x:c>
    </x:row>
    <x:row r="641">
      <x:c r="Z641" t="str">
        <x:f>IF($Y641="","",IFERROR(INDEX('Weapons Database'!$C$2:$C$100,MATCH($Y641,'Weapons Database'!$A$2:$A$100,0))&amp;" "&amp;INDEX('Weapons Database'!$D$2:$D$100,MATCH($Y641,'Weapons Database'!$A$2:$A$100,0)),""))</x:f>
      </x:c>
      <x:c r="AA641" t="str">
        <x:f>IF($Y641="","","Weapons Database")</x:f>
      </x:c>
    </x:row>
    <x:row r="642">
      <x:c r="Z642" t="str">
        <x:f>IF($Y642="","",IFERROR(INDEX('Weapons Database'!$C$2:$C$100,MATCH($Y642,'Weapons Database'!$A$2:$A$100,0))&amp;" "&amp;INDEX('Weapons Database'!$D$2:$D$100,MATCH($Y642,'Weapons Database'!$A$2:$A$100,0)),""))</x:f>
      </x:c>
      <x:c r="AA642" t="str">
        <x:f>IF($Y642="","","Weapons Database")</x:f>
      </x:c>
    </x:row>
    <x:row r="643">
      <x:c r="Z643" t="str">
        <x:f>IF($Y643="","",IFERROR(INDEX('Weapons Database'!$C$2:$C$100,MATCH($Y643,'Weapons Database'!$A$2:$A$100,0))&amp;" "&amp;INDEX('Weapons Database'!$D$2:$D$100,MATCH($Y643,'Weapons Database'!$A$2:$A$100,0)),""))</x:f>
      </x:c>
      <x:c r="AA643" t="str">
        <x:f>IF($Y643="","","Weapons Database")</x:f>
      </x:c>
    </x:row>
    <x:row r="644">
      <x:c r="Z644" t="str">
        <x:f>IF($Y644="","",IFERROR(INDEX('Weapons Database'!$C$2:$C$100,MATCH($Y644,'Weapons Database'!$A$2:$A$100,0))&amp;" "&amp;INDEX('Weapons Database'!$D$2:$D$100,MATCH($Y644,'Weapons Database'!$A$2:$A$100,0)),""))</x:f>
      </x:c>
      <x:c r="AA644" t="str">
        <x:f>IF($Y644="","","Weapons Database")</x:f>
      </x:c>
    </x:row>
    <x:row r="645">
      <x:c r="Z645" t="str">
        <x:f>IF($Y645="","",IFERROR(INDEX('Weapons Database'!$C$2:$C$100,MATCH($Y645,'Weapons Database'!$A$2:$A$100,0))&amp;" "&amp;INDEX('Weapons Database'!$D$2:$D$100,MATCH($Y645,'Weapons Database'!$A$2:$A$100,0)),""))</x:f>
      </x:c>
      <x:c r="AA645" t="str">
        <x:f>IF($Y645="","","Weapons Database")</x:f>
      </x:c>
    </x:row>
    <x:row r="646">
      <x:c r="Z646" t="str">
        <x:f>IF($Y646="","",IFERROR(INDEX('Weapons Database'!$C$2:$C$100,MATCH($Y646,'Weapons Database'!$A$2:$A$100,0))&amp;" "&amp;INDEX('Weapons Database'!$D$2:$D$100,MATCH($Y646,'Weapons Database'!$A$2:$A$100,0)),""))</x:f>
      </x:c>
      <x:c r="AA646" t="str">
        <x:f>IF($Y646="","","Weapons Database")</x:f>
      </x:c>
    </x:row>
    <x:row r="647">
      <x:c r="Z647" t="str">
        <x:f>IF($Y647="","",IFERROR(INDEX('Weapons Database'!$C$2:$C$100,MATCH($Y647,'Weapons Database'!$A$2:$A$100,0))&amp;" "&amp;INDEX('Weapons Database'!$D$2:$D$100,MATCH($Y647,'Weapons Database'!$A$2:$A$100,0)),""))</x:f>
      </x:c>
      <x:c r="AA647" t="str">
        <x:f>IF($Y647="","","Weapons Database")</x:f>
      </x:c>
    </x:row>
    <x:row r="648">
      <x:c r="Z648" t="str">
        <x:f>IF($Y648="","",IFERROR(INDEX('Weapons Database'!$C$2:$C$100,MATCH($Y648,'Weapons Database'!$A$2:$A$100,0))&amp;" "&amp;INDEX('Weapons Database'!$D$2:$D$100,MATCH($Y648,'Weapons Database'!$A$2:$A$100,0)),""))</x:f>
      </x:c>
      <x:c r="AA648" t="str">
        <x:f>IF($Y648="","","Weapons Database")</x:f>
      </x:c>
    </x:row>
    <x:row r="649">
      <x:c r="Z649" t="str">
        <x:f>IF($Y649="","",IFERROR(INDEX('Weapons Database'!$C$2:$C$100,MATCH($Y649,'Weapons Database'!$A$2:$A$100,0))&amp;" "&amp;INDEX('Weapons Database'!$D$2:$D$100,MATCH($Y649,'Weapons Database'!$A$2:$A$100,0)),""))</x:f>
      </x:c>
      <x:c r="AA649" t="str">
        <x:f>IF($Y649="","","Weapons Database")</x:f>
      </x:c>
    </x:row>
    <x:row r="650">
      <x:c r="Z650" t="str">
        <x:f>IF($Y650="","",IFERROR(INDEX('Weapons Database'!$C$2:$C$100,MATCH($Y650,'Weapons Database'!$A$2:$A$100,0))&amp;" "&amp;INDEX('Weapons Database'!$D$2:$D$100,MATCH($Y650,'Weapons Database'!$A$2:$A$100,0)),""))</x:f>
      </x:c>
      <x:c r="AA650" t="str">
        <x:f>IF($Y650="","","Weapons Database")</x:f>
      </x:c>
    </x:row>
    <x:row r="651">
      <x:c r="Z651" t="str">
        <x:f>IF($Y651="","",IFERROR(INDEX('Weapons Database'!$C$2:$C$100,MATCH($Y651,'Weapons Database'!$A$2:$A$100,0))&amp;" "&amp;INDEX('Weapons Database'!$D$2:$D$100,MATCH($Y651,'Weapons Database'!$A$2:$A$100,0)),""))</x:f>
      </x:c>
      <x:c r="AA651" t="str">
        <x:f>IF($Y651="","","Weapons Database")</x:f>
      </x:c>
    </x:row>
    <x:row r="652">
      <x:c r="Z652" t="str">
        <x:f>IF($Y652="","",IFERROR(INDEX('Weapons Database'!$C$2:$C$100,MATCH($Y652,'Weapons Database'!$A$2:$A$100,0))&amp;" "&amp;INDEX('Weapons Database'!$D$2:$D$100,MATCH($Y652,'Weapons Database'!$A$2:$A$100,0)),""))</x:f>
      </x:c>
      <x:c r="AA652" t="str">
        <x:f>IF($Y652="","","Weapons Database")</x:f>
      </x:c>
    </x:row>
    <x:row r="653">
      <x:c r="Z653" t="str">
        <x:f>IF($Y653="","",IFERROR(INDEX('Weapons Database'!$C$2:$C$100,MATCH($Y653,'Weapons Database'!$A$2:$A$100,0))&amp;" "&amp;INDEX('Weapons Database'!$D$2:$D$100,MATCH($Y653,'Weapons Database'!$A$2:$A$100,0)),""))</x:f>
      </x:c>
      <x:c r="AA653" t="str">
        <x:f>IF($Y653="","","Weapons Database")</x:f>
      </x:c>
    </x:row>
    <x:row r="654">
      <x:c r="Z654" t="str">
        <x:f>IF($Y654="","",IFERROR(INDEX('Weapons Database'!$C$2:$C$100,MATCH($Y654,'Weapons Database'!$A$2:$A$100,0))&amp;" "&amp;INDEX('Weapons Database'!$D$2:$D$100,MATCH($Y654,'Weapons Database'!$A$2:$A$100,0)),""))</x:f>
      </x:c>
      <x:c r="AA654" t="str">
        <x:f>IF($Y654="","","Weapons Database")</x:f>
      </x:c>
    </x:row>
    <x:row r="655">
      <x:c r="Z655" t="str">
        <x:f>IF($Y655="","",IFERROR(INDEX('Weapons Database'!$C$2:$C$100,MATCH($Y655,'Weapons Database'!$A$2:$A$100,0))&amp;" "&amp;INDEX('Weapons Database'!$D$2:$D$100,MATCH($Y655,'Weapons Database'!$A$2:$A$100,0)),""))</x:f>
      </x:c>
      <x:c r="AA655" t="str">
        <x:f>IF($Y655="","","Weapons Database")</x:f>
      </x:c>
    </x:row>
    <x:row r="656">
      <x:c r="Z656" t="str">
        <x:f>IF($Y656="","",IFERROR(INDEX('Weapons Database'!$C$2:$C$100,MATCH($Y656,'Weapons Database'!$A$2:$A$100,0))&amp;" "&amp;INDEX('Weapons Database'!$D$2:$D$100,MATCH($Y656,'Weapons Database'!$A$2:$A$100,0)),""))</x:f>
      </x:c>
      <x:c r="AA656" t="str">
        <x:f>IF($Y656="","","Weapons Database")</x:f>
      </x:c>
    </x:row>
    <x:row r="657">
      <x:c r="Z657" t="str">
        <x:f>IF($Y657="","",IFERROR(INDEX('Weapons Database'!$C$2:$C$100,MATCH($Y657,'Weapons Database'!$A$2:$A$100,0))&amp;" "&amp;INDEX('Weapons Database'!$D$2:$D$100,MATCH($Y657,'Weapons Database'!$A$2:$A$100,0)),""))</x:f>
      </x:c>
      <x:c r="AA657" t="str">
        <x:f>IF($Y657="","","Weapons Database")</x:f>
      </x:c>
    </x:row>
    <x:row r="658">
      <x:c r="Z658" t="str">
        <x:f>IF($Y658="","",IFERROR(INDEX('Weapons Database'!$C$2:$C$100,MATCH($Y658,'Weapons Database'!$A$2:$A$100,0))&amp;" "&amp;INDEX('Weapons Database'!$D$2:$D$100,MATCH($Y658,'Weapons Database'!$A$2:$A$100,0)),""))</x:f>
      </x:c>
      <x:c r="AA658" t="str">
        <x:f>IF($Y658="","","Weapons Database")</x:f>
      </x:c>
    </x:row>
    <x:row r="659">
      <x:c r="Z659" t="str">
        <x:f>IF($Y659="","",IFERROR(INDEX('Weapons Database'!$C$2:$C$100,MATCH($Y659,'Weapons Database'!$A$2:$A$100,0))&amp;" "&amp;INDEX('Weapons Database'!$D$2:$D$100,MATCH($Y659,'Weapons Database'!$A$2:$A$100,0)),""))</x:f>
      </x:c>
      <x:c r="AA659" t="str">
        <x:f>IF($Y659="","","Weapons Database")</x:f>
      </x:c>
    </x:row>
    <x:row r="660">
      <x:c r="Z660" t="str">
        <x:f>IF($Y660="","",IFERROR(INDEX('Weapons Database'!$C$2:$C$100,MATCH($Y660,'Weapons Database'!$A$2:$A$100,0))&amp;" "&amp;INDEX('Weapons Database'!$D$2:$D$100,MATCH($Y660,'Weapons Database'!$A$2:$A$100,0)),""))</x:f>
      </x:c>
      <x:c r="AA660" t="str">
        <x:f>IF($Y660="","","Weapons Database")</x:f>
      </x:c>
    </x:row>
    <x:row r="661">
      <x:c r="Z661" t="str">
        <x:f>IF($Y661="","",IFERROR(INDEX('Weapons Database'!$C$2:$C$100,MATCH($Y661,'Weapons Database'!$A$2:$A$100,0))&amp;" "&amp;INDEX('Weapons Database'!$D$2:$D$100,MATCH($Y661,'Weapons Database'!$A$2:$A$100,0)),""))</x:f>
      </x:c>
      <x:c r="AA661" t="str">
        <x:f>IF($Y661="","","Weapons Database")</x:f>
      </x:c>
    </x:row>
    <x:row r="662">
      <x:c r="Z662" t="str">
        <x:f>IF($Y662="","",IFERROR(INDEX('Weapons Database'!$C$2:$C$100,MATCH($Y662,'Weapons Database'!$A$2:$A$100,0))&amp;" "&amp;INDEX('Weapons Database'!$D$2:$D$100,MATCH($Y662,'Weapons Database'!$A$2:$A$100,0)),""))</x:f>
      </x:c>
      <x:c r="AA662" t="str">
        <x:f>IF($Y662="","","Weapons Database")</x:f>
      </x:c>
    </x:row>
    <x:row r="663">
      <x:c r="Z663" t="str">
        <x:f>IF($Y663="","",IFERROR(INDEX('Weapons Database'!$C$2:$C$100,MATCH($Y663,'Weapons Database'!$A$2:$A$100,0))&amp;" "&amp;INDEX('Weapons Database'!$D$2:$D$100,MATCH($Y663,'Weapons Database'!$A$2:$A$100,0)),""))</x:f>
      </x:c>
      <x:c r="AA663" t="str">
        <x:f>IF($Y663="","","Weapons Database")</x:f>
      </x:c>
    </x:row>
    <x:row r="664">
      <x:c r="Z664" t="str">
        <x:f>IF($Y664="","",IFERROR(INDEX('Weapons Database'!$C$2:$C$100,MATCH($Y664,'Weapons Database'!$A$2:$A$100,0))&amp;" "&amp;INDEX('Weapons Database'!$D$2:$D$100,MATCH($Y664,'Weapons Database'!$A$2:$A$100,0)),""))</x:f>
      </x:c>
      <x:c r="AA664" t="str">
        <x:f>IF($Y664="","","Weapons Database")</x:f>
      </x:c>
    </x:row>
    <x:row r="665">
      <x:c r="Z665" t="str">
        <x:f>IF($Y665="","",IFERROR(INDEX('Weapons Database'!$C$2:$C$100,MATCH($Y665,'Weapons Database'!$A$2:$A$100,0))&amp;" "&amp;INDEX('Weapons Database'!$D$2:$D$100,MATCH($Y665,'Weapons Database'!$A$2:$A$100,0)),""))</x:f>
      </x:c>
      <x:c r="AA665" t="str">
        <x:f>IF($Y665="","","Weapons Database")</x:f>
      </x:c>
    </x:row>
    <x:row r="666">
      <x:c r="Z666" t="str">
        <x:f>IF($Y666="","",IFERROR(INDEX('Weapons Database'!$C$2:$C$100,MATCH($Y666,'Weapons Database'!$A$2:$A$100,0))&amp;" "&amp;INDEX('Weapons Database'!$D$2:$D$100,MATCH($Y666,'Weapons Database'!$A$2:$A$100,0)),""))</x:f>
      </x:c>
      <x:c r="AA666" t="str">
        <x:f>IF($Y666="","","Weapons Database")</x:f>
      </x:c>
    </x:row>
    <x:row r="667">
      <x:c r="Z667" t="str">
        <x:f>IF($Y667="","",IFERROR(INDEX('Weapons Database'!$C$2:$C$100,MATCH($Y667,'Weapons Database'!$A$2:$A$100,0))&amp;" "&amp;INDEX('Weapons Database'!$D$2:$D$100,MATCH($Y667,'Weapons Database'!$A$2:$A$100,0)),""))</x:f>
      </x:c>
      <x:c r="AA667" t="str">
        <x:f>IF($Y667="","","Weapons Database")</x:f>
      </x:c>
    </x:row>
    <x:row r="668">
      <x:c r="Z668" t="str">
        <x:f>IF($Y668="","",IFERROR(INDEX('Weapons Database'!$C$2:$C$100,MATCH($Y668,'Weapons Database'!$A$2:$A$100,0))&amp;" "&amp;INDEX('Weapons Database'!$D$2:$D$100,MATCH($Y668,'Weapons Database'!$A$2:$A$100,0)),""))</x:f>
      </x:c>
      <x:c r="AA668" t="str">
        <x:f>IF($Y668="","","Weapons Database")</x:f>
      </x:c>
    </x:row>
    <x:row r="669">
      <x:c r="Z669" t="str">
        <x:f>IF($Y669="","",IFERROR(INDEX('Weapons Database'!$C$2:$C$100,MATCH($Y669,'Weapons Database'!$A$2:$A$100,0))&amp;" "&amp;INDEX('Weapons Database'!$D$2:$D$100,MATCH($Y669,'Weapons Database'!$A$2:$A$100,0)),""))</x:f>
      </x:c>
      <x:c r="AA669" t="str">
        <x:f>IF($Y669="","","Weapons Database")</x:f>
      </x:c>
    </x:row>
    <x:row r="670">
      <x:c r="Z670" t="str">
        <x:f>IF($Y670="","",IFERROR(INDEX('Weapons Database'!$C$2:$C$100,MATCH($Y670,'Weapons Database'!$A$2:$A$100,0))&amp;" "&amp;INDEX('Weapons Database'!$D$2:$D$100,MATCH($Y670,'Weapons Database'!$A$2:$A$100,0)),""))</x:f>
      </x:c>
      <x:c r="AA670" t="str">
        <x:f>IF($Y670="","","Weapons Database")</x:f>
      </x:c>
    </x:row>
    <x:row r="671">
      <x:c r="Z671" t="str">
        <x:f>IF($Y671="","",IFERROR(INDEX('Weapons Database'!$C$2:$C$100,MATCH($Y671,'Weapons Database'!$A$2:$A$100,0))&amp;" "&amp;INDEX('Weapons Database'!$D$2:$D$100,MATCH($Y671,'Weapons Database'!$A$2:$A$100,0)),""))</x:f>
      </x:c>
      <x:c r="AA671" t="str">
        <x:f>IF($Y671="","","Weapons Database")</x:f>
      </x:c>
    </x:row>
    <x:row r="672">
      <x:c r="Z672" t="str">
        <x:f>IF($Y672="","",IFERROR(INDEX('Weapons Database'!$C$2:$C$100,MATCH($Y672,'Weapons Database'!$A$2:$A$100,0))&amp;" "&amp;INDEX('Weapons Database'!$D$2:$D$100,MATCH($Y672,'Weapons Database'!$A$2:$A$100,0)),""))</x:f>
      </x:c>
      <x:c r="AA672" t="str">
        <x:f>IF($Y672="","","Weapons Database")</x:f>
      </x:c>
    </x:row>
    <x:row r="673">
      <x:c r="Z673" t="str">
        <x:f>IF($Y673="","",IFERROR(INDEX('Weapons Database'!$C$2:$C$100,MATCH($Y673,'Weapons Database'!$A$2:$A$100,0))&amp;" "&amp;INDEX('Weapons Database'!$D$2:$D$100,MATCH($Y673,'Weapons Database'!$A$2:$A$100,0)),""))</x:f>
      </x:c>
      <x:c r="AA673" t="str">
        <x:f>IF($Y673="","","Weapons Database")</x:f>
      </x:c>
    </x:row>
    <x:row r="674">
      <x:c r="Z674" t="str">
        <x:f>IF($Y674="","",IFERROR(INDEX('Weapons Database'!$C$2:$C$100,MATCH($Y674,'Weapons Database'!$A$2:$A$100,0))&amp;" "&amp;INDEX('Weapons Database'!$D$2:$D$100,MATCH($Y674,'Weapons Database'!$A$2:$A$100,0)),""))</x:f>
      </x:c>
      <x:c r="AA674" t="str">
        <x:f>IF($Y674="","","Weapons Database")</x:f>
      </x:c>
    </x:row>
    <x:row r="675">
      <x:c r="Z675" t="str">
        <x:f>IF($Y675="","",IFERROR(INDEX('Weapons Database'!$C$2:$C$100,MATCH($Y675,'Weapons Database'!$A$2:$A$100,0))&amp;" "&amp;INDEX('Weapons Database'!$D$2:$D$100,MATCH($Y675,'Weapons Database'!$A$2:$A$100,0)),""))</x:f>
      </x:c>
      <x:c r="AA675" t="str">
        <x:f>IF($Y675="","","Weapons Database")</x:f>
      </x:c>
    </x:row>
    <x:row r="676">
      <x:c r="Z676" t="str">
        <x:f>IF($Y676="","",IFERROR(INDEX('Weapons Database'!$C$2:$C$100,MATCH($Y676,'Weapons Database'!$A$2:$A$100,0))&amp;" "&amp;INDEX('Weapons Database'!$D$2:$D$100,MATCH($Y676,'Weapons Database'!$A$2:$A$100,0)),""))</x:f>
      </x:c>
      <x:c r="AA676" t="str">
        <x:f>IF($Y676="","","Weapons Database")</x:f>
      </x:c>
    </x:row>
    <x:row r="677">
      <x:c r="Z677" t="str">
        <x:f>IF($Y677="","",IFERROR(INDEX('Weapons Database'!$C$2:$C$100,MATCH($Y677,'Weapons Database'!$A$2:$A$100,0))&amp;" "&amp;INDEX('Weapons Database'!$D$2:$D$100,MATCH($Y677,'Weapons Database'!$A$2:$A$100,0)),""))</x:f>
      </x:c>
      <x:c r="AA677" t="str">
        <x:f>IF($Y677="","","Weapons Database")</x:f>
      </x:c>
    </x:row>
    <x:row r="678">
      <x:c r="Z678" t="str">
        <x:f>IF($Y678="","",IFERROR(INDEX('Weapons Database'!$C$2:$C$100,MATCH($Y678,'Weapons Database'!$A$2:$A$100,0))&amp;" "&amp;INDEX('Weapons Database'!$D$2:$D$100,MATCH($Y678,'Weapons Database'!$A$2:$A$100,0)),""))</x:f>
      </x:c>
      <x:c r="AA678" t="str">
        <x:f>IF($Y678="","","Weapons Database")</x:f>
      </x:c>
    </x:row>
    <x:row r="679">
      <x:c r="Z679" t="str">
        <x:f>IF($Y679="","",IFERROR(INDEX('Weapons Database'!$C$2:$C$100,MATCH($Y679,'Weapons Database'!$A$2:$A$100,0))&amp;" "&amp;INDEX('Weapons Database'!$D$2:$D$100,MATCH($Y679,'Weapons Database'!$A$2:$A$100,0)),""))</x:f>
      </x:c>
      <x:c r="AA679" t="str">
        <x:f>IF($Y679="","","Weapons Database")</x:f>
      </x:c>
    </x:row>
    <x:row r="680">
      <x:c r="Z680" t="str">
        <x:f>IF($Y680="","",IFERROR(INDEX('Weapons Database'!$C$2:$C$100,MATCH($Y680,'Weapons Database'!$A$2:$A$100,0))&amp;" "&amp;INDEX('Weapons Database'!$D$2:$D$100,MATCH($Y680,'Weapons Database'!$A$2:$A$100,0)),""))</x:f>
      </x:c>
      <x:c r="AA680" t="str">
        <x:f>IF($Y680="","","Weapons Database")</x:f>
      </x:c>
    </x:row>
    <x:row r="681">
      <x:c r="Z681" t="str">
        <x:f>IF($Y681="","",IFERROR(INDEX('Weapons Database'!$C$2:$C$100,MATCH($Y681,'Weapons Database'!$A$2:$A$100,0))&amp;" "&amp;INDEX('Weapons Database'!$D$2:$D$100,MATCH($Y681,'Weapons Database'!$A$2:$A$100,0)),""))</x:f>
      </x:c>
      <x:c r="AA681" t="str">
        <x:f>IF($Y681="","","Weapons Database")</x:f>
      </x:c>
    </x:row>
    <x:row r="682">
      <x:c r="Z682" t="str">
        <x:f>IF($Y682="","",IFERROR(INDEX('Weapons Database'!$C$2:$C$100,MATCH($Y682,'Weapons Database'!$A$2:$A$100,0))&amp;" "&amp;INDEX('Weapons Database'!$D$2:$D$100,MATCH($Y682,'Weapons Database'!$A$2:$A$100,0)),""))</x:f>
      </x:c>
      <x:c r="AA682" t="str">
        <x:f>IF($Y682="","","Weapons Database")</x:f>
      </x:c>
    </x:row>
    <x:row r="683">
      <x:c r="Z683" t="str">
        <x:f>IF($Y683="","",IFERROR(INDEX('Weapons Database'!$C$2:$C$100,MATCH($Y683,'Weapons Database'!$A$2:$A$100,0))&amp;" "&amp;INDEX('Weapons Database'!$D$2:$D$100,MATCH($Y683,'Weapons Database'!$A$2:$A$100,0)),""))</x:f>
      </x:c>
      <x:c r="AA683" t="str">
        <x:f>IF($Y683="","","Weapons Database")</x:f>
      </x:c>
    </x:row>
    <x:row r="684">
      <x:c r="Z684" t="str">
        <x:f>IF($Y684="","",IFERROR(INDEX('Weapons Database'!$C$2:$C$100,MATCH($Y684,'Weapons Database'!$A$2:$A$100,0))&amp;" "&amp;INDEX('Weapons Database'!$D$2:$D$100,MATCH($Y684,'Weapons Database'!$A$2:$A$100,0)),""))</x:f>
      </x:c>
      <x:c r="AA684" t="str">
        <x:f>IF($Y684="","","Weapons Database")</x:f>
      </x:c>
    </x:row>
    <x:row r="685">
      <x:c r="Z685" t="str">
        <x:f>IF($Y685="","",IFERROR(INDEX('Weapons Database'!$C$2:$C$100,MATCH($Y685,'Weapons Database'!$A$2:$A$100,0))&amp;" "&amp;INDEX('Weapons Database'!$D$2:$D$100,MATCH($Y685,'Weapons Database'!$A$2:$A$100,0)),""))</x:f>
      </x:c>
      <x:c r="AA685" t="str">
        <x:f>IF($Y685="","","Weapons Database")</x:f>
      </x:c>
    </x:row>
    <x:row r="686">
      <x:c r="Z686" t="str">
        <x:f>IF($Y686="","",IFERROR(INDEX('Weapons Database'!$C$2:$C$100,MATCH($Y686,'Weapons Database'!$A$2:$A$100,0))&amp;" "&amp;INDEX('Weapons Database'!$D$2:$D$100,MATCH($Y686,'Weapons Database'!$A$2:$A$100,0)),""))</x:f>
      </x:c>
      <x:c r="AA686" t="str">
        <x:f>IF($Y686="","","Weapons Database")</x:f>
      </x:c>
    </x:row>
    <x:row r="687">
      <x:c r="Z687" t="str">
        <x:f>IF($Y687="","",IFERROR(INDEX('Weapons Database'!$C$2:$C$100,MATCH($Y687,'Weapons Database'!$A$2:$A$100,0))&amp;" "&amp;INDEX('Weapons Database'!$D$2:$D$100,MATCH($Y687,'Weapons Database'!$A$2:$A$100,0)),""))</x:f>
      </x:c>
      <x:c r="AA687" t="str">
        <x:f>IF($Y687="","","Weapons Database")</x:f>
      </x:c>
    </x:row>
    <x:row r="688">
      <x:c r="Z688" t="str">
        <x:f>IF($Y688="","",IFERROR(INDEX('Weapons Database'!$C$2:$C$100,MATCH($Y688,'Weapons Database'!$A$2:$A$100,0))&amp;" "&amp;INDEX('Weapons Database'!$D$2:$D$100,MATCH($Y688,'Weapons Database'!$A$2:$A$100,0)),""))</x:f>
      </x:c>
      <x:c r="AA688" t="str">
        <x:f>IF($Y688="","","Weapons Database")</x:f>
      </x:c>
    </x:row>
    <x:row r="689">
      <x:c r="Z689" t="str">
        <x:f>IF($Y689="","",IFERROR(INDEX('Weapons Database'!$C$2:$C$100,MATCH($Y689,'Weapons Database'!$A$2:$A$100,0))&amp;" "&amp;INDEX('Weapons Database'!$D$2:$D$100,MATCH($Y689,'Weapons Database'!$A$2:$A$100,0)),""))</x:f>
      </x:c>
      <x:c r="AA689" t="str">
        <x:f>IF($Y689="","","Weapons Database")</x:f>
      </x:c>
    </x:row>
    <x:row r="690">
      <x:c r="Z690" t="str">
        <x:f>IF($Y690="","",IFERROR(INDEX('Weapons Database'!$C$2:$C$100,MATCH($Y690,'Weapons Database'!$A$2:$A$100,0))&amp;" "&amp;INDEX('Weapons Database'!$D$2:$D$100,MATCH($Y690,'Weapons Database'!$A$2:$A$100,0)),""))</x:f>
      </x:c>
      <x:c r="AA690" t="str">
        <x:f>IF($Y690="","","Weapons Database")</x:f>
      </x:c>
    </x:row>
    <x:row r="691">
      <x:c r="Z691" t="str">
        <x:f>IF($Y691="","",IFERROR(INDEX('Weapons Database'!$C$2:$C$100,MATCH($Y691,'Weapons Database'!$A$2:$A$100,0))&amp;" "&amp;INDEX('Weapons Database'!$D$2:$D$100,MATCH($Y691,'Weapons Database'!$A$2:$A$100,0)),""))</x:f>
      </x:c>
      <x:c r="AA691" t="str">
        <x:f>IF($Y691="","","Weapons Database")</x:f>
      </x:c>
    </x:row>
    <x:row r="692">
      <x:c r="Z692" t="str">
        <x:f>IF($Y692="","",IFERROR(INDEX('Weapons Database'!$C$2:$C$100,MATCH($Y692,'Weapons Database'!$A$2:$A$100,0))&amp;" "&amp;INDEX('Weapons Database'!$D$2:$D$100,MATCH($Y692,'Weapons Database'!$A$2:$A$100,0)),""))</x:f>
      </x:c>
      <x:c r="AA692" t="str">
        <x:f>IF($Y692="","","Weapons Database")</x:f>
      </x:c>
    </x:row>
    <x:row r="693">
      <x:c r="Z693" t="str">
        <x:f>IF($Y693="","",IFERROR(INDEX('Weapons Database'!$C$2:$C$100,MATCH($Y693,'Weapons Database'!$A$2:$A$100,0))&amp;" "&amp;INDEX('Weapons Database'!$D$2:$D$100,MATCH($Y693,'Weapons Database'!$A$2:$A$100,0)),""))</x:f>
      </x:c>
      <x:c r="AA693" t="str">
        <x:f>IF($Y693="","","Weapons Database")</x:f>
      </x:c>
    </x:row>
    <x:row r="694">
      <x:c r="Z694" t="str">
        <x:f>IF($Y694="","",IFERROR(INDEX('Weapons Database'!$C$2:$C$100,MATCH($Y694,'Weapons Database'!$A$2:$A$100,0))&amp;" "&amp;INDEX('Weapons Database'!$D$2:$D$100,MATCH($Y694,'Weapons Database'!$A$2:$A$100,0)),""))</x:f>
      </x:c>
      <x:c r="AA694" t="str">
        <x:f>IF($Y694="","","Weapons Database")</x:f>
      </x:c>
    </x:row>
    <x:row r="695">
      <x:c r="Z695" t="str">
        <x:f>IF($Y695="","",IFERROR(INDEX('Weapons Database'!$C$2:$C$100,MATCH($Y695,'Weapons Database'!$A$2:$A$100,0))&amp;" "&amp;INDEX('Weapons Database'!$D$2:$D$100,MATCH($Y695,'Weapons Database'!$A$2:$A$100,0)),""))</x:f>
      </x:c>
      <x:c r="AA695" t="str">
        <x:f>IF($Y695="","","Weapons Database")</x:f>
      </x:c>
    </x:row>
    <x:row r="696">
      <x:c r="Z696" t="str">
        <x:f>IF($Y696="","",IFERROR(INDEX('Weapons Database'!$C$2:$C$100,MATCH($Y696,'Weapons Database'!$A$2:$A$100,0))&amp;" "&amp;INDEX('Weapons Database'!$D$2:$D$100,MATCH($Y696,'Weapons Database'!$A$2:$A$100,0)),""))</x:f>
      </x:c>
      <x:c r="AA696" t="str">
        <x:f>IF($Y696="","","Weapons Database")</x:f>
      </x:c>
    </x:row>
    <x:row r="697">
      <x:c r="Z697" t="str">
        <x:f>IF($Y697="","",IFERROR(INDEX('Weapons Database'!$C$2:$C$100,MATCH($Y697,'Weapons Database'!$A$2:$A$100,0))&amp;" "&amp;INDEX('Weapons Database'!$D$2:$D$100,MATCH($Y697,'Weapons Database'!$A$2:$A$100,0)),""))</x:f>
      </x:c>
      <x:c r="AA697" t="str">
        <x:f>IF($Y697="","","Weapons Database")</x:f>
      </x:c>
    </x:row>
    <x:row r="698">
      <x:c r="Z698" t="str">
        <x:f>IF($Y698="","",IFERROR(INDEX('Weapons Database'!$C$2:$C$100,MATCH($Y698,'Weapons Database'!$A$2:$A$100,0))&amp;" "&amp;INDEX('Weapons Database'!$D$2:$D$100,MATCH($Y698,'Weapons Database'!$A$2:$A$100,0)),""))</x:f>
      </x:c>
      <x:c r="AA698" t="str">
        <x:f>IF($Y698="","","Weapons Database")</x:f>
      </x:c>
    </x:row>
    <x:row r="699">
      <x:c r="Z699" t="str">
        <x:f>IF($Y699="","",IFERROR(INDEX('Weapons Database'!$C$2:$C$100,MATCH($Y699,'Weapons Database'!$A$2:$A$100,0))&amp;" "&amp;INDEX('Weapons Database'!$D$2:$D$100,MATCH($Y699,'Weapons Database'!$A$2:$A$100,0)),""))</x:f>
      </x:c>
      <x:c r="AA699" t="str">
        <x:f>IF($Y699="","","Weapons Database")</x:f>
      </x:c>
    </x:row>
    <x:row r="700">
      <x:c r="Z700" t="str">
        <x:f>IF($Y700="","",IFERROR(INDEX('Weapons Database'!$C$2:$C$100,MATCH($Y700,'Weapons Database'!$A$2:$A$100,0))&amp;" "&amp;INDEX('Weapons Database'!$D$2:$D$100,MATCH($Y700,'Weapons Database'!$A$2:$A$100,0)),""))</x:f>
      </x:c>
      <x:c r="AA700" t="str">
        <x:f>IF($Y700="","","Weapons Database")</x:f>
      </x:c>
    </x:row>
    <x:row r="701">
      <x:c r="Z701" t="str">
        <x:f>IF($Y701="","",IFERROR(INDEX('Weapons Database'!$C$2:$C$100,MATCH($Y701,'Weapons Database'!$A$2:$A$100,0))&amp;" "&amp;INDEX('Weapons Database'!$D$2:$D$100,MATCH($Y701,'Weapons Database'!$A$2:$A$100,0)),""))</x:f>
      </x:c>
      <x:c r="AA701" t="str">
        <x:f>IF($Y701="","","Weapons Database")</x:f>
      </x:c>
    </x:row>
    <x:row r="702">
      <x:c r="Z702" t="str">
        <x:f>IF($Y702="","",IFERROR(INDEX('Weapons Database'!$C$2:$C$100,MATCH($Y702,'Weapons Database'!$A$2:$A$100,0))&amp;" "&amp;INDEX('Weapons Database'!$D$2:$D$100,MATCH($Y702,'Weapons Database'!$A$2:$A$100,0)),""))</x:f>
      </x:c>
      <x:c r="AA702" t="str">
        <x:f>IF($Y702="","","Weapons Database")</x:f>
      </x:c>
    </x:row>
    <x:row r="703">
      <x:c r="Z703" t="str">
        <x:f>IF($Y703="","",IFERROR(INDEX('Weapons Database'!$C$2:$C$100,MATCH($Y703,'Weapons Database'!$A$2:$A$100,0))&amp;" "&amp;INDEX('Weapons Database'!$D$2:$D$100,MATCH($Y703,'Weapons Database'!$A$2:$A$100,0)),""))</x:f>
      </x:c>
      <x:c r="AA703" t="str">
        <x:f>IF($Y703="","","Weapons Database")</x:f>
      </x:c>
    </x:row>
    <x:row r="704">
      <x:c r="Z704" t="str">
        <x:f>IF($Y704="","",IFERROR(INDEX('Weapons Database'!$C$2:$C$100,MATCH($Y704,'Weapons Database'!$A$2:$A$100,0))&amp;" "&amp;INDEX('Weapons Database'!$D$2:$D$100,MATCH($Y704,'Weapons Database'!$A$2:$A$100,0)),""))</x:f>
      </x:c>
      <x:c r="AA704" t="str">
        <x:f>IF($Y704="","","Weapons Database")</x:f>
      </x:c>
    </x:row>
    <x:row r="705">
      <x:c r="Z705" t="str">
        <x:f>IF($Y705="","",IFERROR(INDEX('Weapons Database'!$C$2:$C$100,MATCH($Y705,'Weapons Database'!$A$2:$A$100,0))&amp;" "&amp;INDEX('Weapons Database'!$D$2:$D$100,MATCH($Y705,'Weapons Database'!$A$2:$A$100,0)),""))</x:f>
      </x:c>
      <x:c r="AA705" t="str">
        <x:f>IF($Y705="","","Weapons Database")</x:f>
      </x:c>
    </x:row>
    <x:row r="706">
      <x:c r="Z706" t="str">
        <x:f>IF($Y706="","",IFERROR(INDEX('Weapons Database'!$C$2:$C$100,MATCH($Y706,'Weapons Database'!$A$2:$A$100,0))&amp;" "&amp;INDEX('Weapons Database'!$D$2:$D$100,MATCH($Y706,'Weapons Database'!$A$2:$A$100,0)),""))</x:f>
      </x:c>
      <x:c r="AA706" t="str">
        <x:f>IF($Y706="","","Weapons Database")</x:f>
      </x:c>
    </x:row>
    <x:row r="707">
      <x:c r="Z707" t="str">
        <x:f>IF($Y707="","",IFERROR(INDEX('Weapons Database'!$C$2:$C$100,MATCH($Y707,'Weapons Database'!$A$2:$A$100,0))&amp;" "&amp;INDEX('Weapons Database'!$D$2:$D$100,MATCH($Y707,'Weapons Database'!$A$2:$A$100,0)),""))</x:f>
      </x:c>
      <x:c r="AA707" t="str">
        <x:f>IF($Y707="","","Weapons Database")</x:f>
      </x:c>
    </x:row>
    <x:row r="708">
      <x:c r="Z708" t="str">
        <x:f>IF($Y708="","",IFERROR(INDEX('Weapons Database'!$C$2:$C$100,MATCH($Y708,'Weapons Database'!$A$2:$A$100,0))&amp;" "&amp;INDEX('Weapons Database'!$D$2:$D$100,MATCH($Y708,'Weapons Database'!$A$2:$A$100,0)),""))</x:f>
      </x:c>
      <x:c r="AA708" t="str">
        <x:f>IF($Y708="","","Weapons Database")</x:f>
      </x:c>
    </x:row>
    <x:row r="709">
      <x:c r="Z709" t="str">
        <x:f>IF($Y709="","",IFERROR(INDEX('Weapons Database'!$C$2:$C$100,MATCH($Y709,'Weapons Database'!$A$2:$A$100,0))&amp;" "&amp;INDEX('Weapons Database'!$D$2:$D$100,MATCH($Y709,'Weapons Database'!$A$2:$A$100,0)),""))</x:f>
      </x:c>
      <x:c r="AA709" t="str">
        <x:f>IF($Y709="","","Weapons Database")</x:f>
      </x:c>
    </x:row>
    <x:row r="710">
      <x:c r="Z710" t="str">
        <x:f>IF($Y710="","",IFERROR(INDEX('Weapons Database'!$C$2:$C$100,MATCH($Y710,'Weapons Database'!$A$2:$A$100,0))&amp;" "&amp;INDEX('Weapons Database'!$D$2:$D$100,MATCH($Y710,'Weapons Database'!$A$2:$A$100,0)),""))</x:f>
      </x:c>
      <x:c r="AA710" t="str">
        <x:f>IF($Y710="","","Weapons Database")</x:f>
      </x:c>
    </x:row>
    <x:row r="711">
      <x:c r="Z711" t="str">
        <x:f>IF($Y711="","",IFERROR(INDEX('Weapons Database'!$C$2:$C$100,MATCH($Y711,'Weapons Database'!$A$2:$A$100,0))&amp;" "&amp;INDEX('Weapons Database'!$D$2:$D$100,MATCH($Y711,'Weapons Database'!$A$2:$A$100,0)),""))</x:f>
      </x:c>
      <x:c r="AA711" t="str">
        <x:f>IF($Y711="","","Weapons Database")</x:f>
      </x:c>
    </x:row>
    <x:row r="712">
      <x:c r="Z712" t="str">
        <x:f>IF($Y712="","",IFERROR(INDEX('Weapons Database'!$C$2:$C$100,MATCH($Y712,'Weapons Database'!$A$2:$A$100,0))&amp;" "&amp;INDEX('Weapons Database'!$D$2:$D$100,MATCH($Y712,'Weapons Database'!$A$2:$A$100,0)),""))</x:f>
      </x:c>
      <x:c r="AA712" t="str">
        <x:f>IF($Y712="","","Weapons Database")</x:f>
      </x:c>
    </x:row>
    <x:row r="713">
      <x:c r="Z713" t="str">
        <x:f>IF($Y713="","",IFERROR(INDEX('Weapons Database'!$C$2:$C$100,MATCH($Y713,'Weapons Database'!$A$2:$A$100,0))&amp;" "&amp;INDEX('Weapons Database'!$D$2:$D$100,MATCH($Y713,'Weapons Database'!$A$2:$A$100,0)),""))</x:f>
      </x:c>
      <x:c r="AA713" t="str">
        <x:f>IF($Y713="","","Weapons Database")</x:f>
      </x:c>
    </x:row>
    <x:row r="714">
      <x:c r="Z714" t="str">
        <x:f>IF($Y714="","",IFERROR(INDEX('Weapons Database'!$C$2:$C$100,MATCH($Y714,'Weapons Database'!$A$2:$A$100,0))&amp;" "&amp;INDEX('Weapons Database'!$D$2:$D$100,MATCH($Y714,'Weapons Database'!$A$2:$A$100,0)),""))</x:f>
      </x:c>
      <x:c r="AA714" t="str">
        <x:f>IF($Y714="","","Weapons Database")</x:f>
      </x:c>
    </x:row>
    <x:row r="715">
      <x:c r="Z715" t="str">
        <x:f>IF($Y715="","",IFERROR(INDEX('Weapons Database'!$C$2:$C$100,MATCH($Y715,'Weapons Database'!$A$2:$A$100,0))&amp;" "&amp;INDEX('Weapons Database'!$D$2:$D$100,MATCH($Y715,'Weapons Database'!$A$2:$A$100,0)),""))</x:f>
      </x:c>
      <x:c r="AA715" t="str">
        <x:f>IF($Y715="","","Weapons Database")</x:f>
      </x:c>
    </x:row>
    <x:row r="716">
      <x:c r="Z716" t="str">
        <x:f>IF($Y716="","",IFERROR(INDEX('Weapons Database'!$C$2:$C$100,MATCH($Y716,'Weapons Database'!$A$2:$A$100,0))&amp;" "&amp;INDEX('Weapons Database'!$D$2:$D$100,MATCH($Y716,'Weapons Database'!$A$2:$A$100,0)),""))</x:f>
      </x:c>
      <x:c r="AA716" t="str">
        <x:f>IF($Y716="","","Weapons Database")</x:f>
      </x:c>
    </x:row>
    <x:row r="717">
      <x:c r="Z717" t="str">
        <x:f>IF($Y717="","",IFERROR(INDEX('Weapons Database'!$C$2:$C$100,MATCH($Y717,'Weapons Database'!$A$2:$A$100,0))&amp;" "&amp;INDEX('Weapons Database'!$D$2:$D$100,MATCH($Y717,'Weapons Database'!$A$2:$A$100,0)),""))</x:f>
      </x:c>
      <x:c r="AA717" t="str">
        <x:f>IF($Y717="","","Weapons Database")</x:f>
      </x:c>
    </x:row>
    <x:row r="718">
      <x:c r="Z718" t="str">
        <x:f>IF($Y718="","",IFERROR(INDEX('Weapons Database'!$C$2:$C$100,MATCH($Y718,'Weapons Database'!$A$2:$A$100,0))&amp;" "&amp;INDEX('Weapons Database'!$D$2:$D$100,MATCH($Y718,'Weapons Database'!$A$2:$A$100,0)),""))</x:f>
      </x:c>
      <x:c r="AA718" t="str">
        <x:f>IF($Y718="","","Weapons Database")</x:f>
      </x:c>
    </x:row>
    <x:row r="719">
      <x:c r="Z719" t="str">
        <x:f>IF($Y719="","",IFERROR(INDEX('Weapons Database'!$C$2:$C$100,MATCH($Y719,'Weapons Database'!$A$2:$A$100,0))&amp;" "&amp;INDEX('Weapons Database'!$D$2:$D$100,MATCH($Y719,'Weapons Database'!$A$2:$A$100,0)),""))</x:f>
      </x:c>
      <x:c r="AA719" t="str">
        <x:f>IF($Y719="","","Weapons Database")</x:f>
      </x:c>
    </x:row>
    <x:row r="720">
      <x:c r="Z720" t="str">
        <x:f>IF($Y720="","",IFERROR(INDEX('Weapons Database'!$C$2:$C$100,MATCH($Y720,'Weapons Database'!$A$2:$A$100,0))&amp;" "&amp;INDEX('Weapons Database'!$D$2:$D$100,MATCH($Y720,'Weapons Database'!$A$2:$A$100,0)),""))</x:f>
      </x:c>
      <x:c r="AA720" t="str">
        <x:f>IF($Y720="","","Weapons Database")</x:f>
      </x:c>
    </x:row>
    <x:row r="721">
      <x:c r="Z721" t="str">
        <x:f>IF($Y721="","",IFERROR(INDEX('Weapons Database'!$C$2:$C$100,MATCH($Y721,'Weapons Database'!$A$2:$A$100,0))&amp;" "&amp;INDEX('Weapons Database'!$D$2:$D$100,MATCH($Y721,'Weapons Database'!$A$2:$A$100,0)),""))</x:f>
      </x:c>
      <x:c r="AA721" t="str">
        <x:f>IF($Y721="","","Weapons Database")</x:f>
      </x:c>
    </x:row>
    <x:row r="722">
      <x:c r="Z722" t="str">
        <x:f>IF($Y722="","",IFERROR(INDEX('Weapons Database'!$C$2:$C$100,MATCH($Y722,'Weapons Database'!$A$2:$A$100,0))&amp;" "&amp;INDEX('Weapons Database'!$D$2:$D$100,MATCH($Y722,'Weapons Database'!$A$2:$A$100,0)),""))</x:f>
      </x:c>
      <x:c r="AA722" t="str">
        <x:f>IF($Y722="","","Weapons Database")</x:f>
      </x:c>
    </x:row>
    <x:row r="723">
      <x:c r="Z723" t="str">
        <x:f>IF($Y723="","",IFERROR(INDEX('Weapons Database'!$C$2:$C$100,MATCH($Y723,'Weapons Database'!$A$2:$A$100,0))&amp;" "&amp;INDEX('Weapons Database'!$D$2:$D$100,MATCH($Y723,'Weapons Database'!$A$2:$A$100,0)),""))</x:f>
      </x:c>
      <x:c r="AA723" t="str">
        <x:f>IF($Y723="","","Weapons Database")</x:f>
      </x:c>
    </x:row>
    <x:row r="724">
      <x:c r="Z724" t="str">
        <x:f>IF($Y724="","",IFERROR(INDEX('Weapons Database'!$C$2:$C$100,MATCH($Y724,'Weapons Database'!$A$2:$A$100,0))&amp;" "&amp;INDEX('Weapons Database'!$D$2:$D$100,MATCH($Y724,'Weapons Database'!$A$2:$A$100,0)),""))</x:f>
      </x:c>
      <x:c r="AA724" t="str">
        <x:f>IF($Y724="","","Weapons Database")</x:f>
      </x:c>
    </x:row>
    <x:row r="725">
      <x:c r="Z725" t="str">
        <x:f>IF($Y725="","",IFERROR(INDEX('Weapons Database'!$C$2:$C$100,MATCH($Y725,'Weapons Database'!$A$2:$A$100,0))&amp;" "&amp;INDEX('Weapons Database'!$D$2:$D$100,MATCH($Y725,'Weapons Database'!$A$2:$A$100,0)),""))</x:f>
      </x:c>
      <x:c r="AA725" t="str">
        <x:f>IF($Y725="","","Weapons Database")</x:f>
      </x:c>
    </x:row>
    <x:row r="726">
      <x:c r="Z726" t="str">
        <x:f>IF($Y726="","",IFERROR(INDEX('Weapons Database'!$C$2:$C$100,MATCH($Y726,'Weapons Database'!$A$2:$A$100,0))&amp;" "&amp;INDEX('Weapons Database'!$D$2:$D$100,MATCH($Y726,'Weapons Database'!$A$2:$A$100,0)),""))</x:f>
      </x:c>
      <x:c r="AA726" t="str">
        <x:f>IF($Y726="","","Weapons Database")</x:f>
      </x:c>
    </x:row>
    <x:row r="727">
      <x:c r="Z727" t="str">
        <x:f>IF($Y727="","",IFERROR(INDEX('Weapons Database'!$C$2:$C$100,MATCH($Y727,'Weapons Database'!$A$2:$A$100,0))&amp;" "&amp;INDEX('Weapons Database'!$D$2:$D$100,MATCH($Y727,'Weapons Database'!$A$2:$A$100,0)),""))</x:f>
      </x:c>
      <x:c r="AA727" t="str">
        <x:f>IF($Y727="","","Weapons Database")</x:f>
      </x:c>
    </x:row>
    <x:row r="728">
      <x:c r="Z728" t="str">
        <x:f>IF($Y728="","",IFERROR(INDEX('Weapons Database'!$C$2:$C$100,MATCH($Y728,'Weapons Database'!$A$2:$A$100,0))&amp;" "&amp;INDEX('Weapons Database'!$D$2:$D$100,MATCH($Y728,'Weapons Database'!$A$2:$A$100,0)),""))</x:f>
      </x:c>
      <x:c r="AA728" t="str">
        <x:f>IF($Y728="","","Weapons Database")</x:f>
      </x:c>
    </x:row>
    <x:row r="729">
      <x:c r="Z729" t="str">
        <x:f>IF($Y729="","",IFERROR(INDEX('Weapons Database'!$C$2:$C$100,MATCH($Y729,'Weapons Database'!$A$2:$A$100,0))&amp;" "&amp;INDEX('Weapons Database'!$D$2:$D$100,MATCH($Y729,'Weapons Database'!$A$2:$A$100,0)),""))</x:f>
      </x:c>
      <x:c r="AA729" t="str">
        <x:f>IF($Y729="","","Weapons Database")</x:f>
      </x:c>
    </x:row>
    <x:row r="730">
      <x:c r="Z730" t="str">
        <x:f>IF($Y730="","",IFERROR(INDEX('Weapons Database'!$C$2:$C$100,MATCH($Y730,'Weapons Database'!$A$2:$A$100,0))&amp;" "&amp;INDEX('Weapons Database'!$D$2:$D$100,MATCH($Y730,'Weapons Database'!$A$2:$A$100,0)),""))</x:f>
      </x:c>
      <x:c r="AA730" t="str">
        <x:f>IF($Y730="","","Weapons Database")</x:f>
      </x:c>
    </x:row>
    <x:row r="731">
      <x:c r="Z731" t="str">
        <x:f>IF($Y731="","",IFERROR(INDEX('Weapons Database'!$C$2:$C$100,MATCH($Y731,'Weapons Database'!$A$2:$A$100,0))&amp;" "&amp;INDEX('Weapons Database'!$D$2:$D$100,MATCH($Y731,'Weapons Database'!$A$2:$A$100,0)),""))</x:f>
      </x:c>
      <x:c r="AA731" t="str">
        <x:f>IF($Y731="","","Weapons Database")</x:f>
      </x:c>
    </x:row>
    <x:row r="732">
      <x:c r="Z732" t="str">
        <x:f>IF($Y732="","",IFERROR(INDEX('Weapons Database'!$C$2:$C$100,MATCH($Y732,'Weapons Database'!$A$2:$A$100,0))&amp;" "&amp;INDEX('Weapons Database'!$D$2:$D$100,MATCH($Y732,'Weapons Database'!$A$2:$A$100,0)),""))</x:f>
      </x:c>
      <x:c r="AA732" t="str">
        <x:f>IF($Y732="","","Weapons Database")</x:f>
      </x:c>
    </x:row>
    <x:row r="733">
      <x:c r="Z733" t="str">
        <x:f>IF($Y733="","",IFERROR(INDEX('Weapons Database'!$C$2:$C$100,MATCH($Y733,'Weapons Database'!$A$2:$A$100,0))&amp;" "&amp;INDEX('Weapons Database'!$D$2:$D$100,MATCH($Y733,'Weapons Database'!$A$2:$A$100,0)),""))</x:f>
      </x:c>
      <x:c r="AA733" t="str">
        <x:f>IF($Y733="","","Weapons Database")</x:f>
      </x:c>
    </x:row>
    <x:row r="734">
      <x:c r="Z734" t="str">
        <x:f>IF($Y734="","",IFERROR(INDEX('Weapons Database'!$C$2:$C$100,MATCH($Y734,'Weapons Database'!$A$2:$A$100,0))&amp;" "&amp;INDEX('Weapons Database'!$D$2:$D$100,MATCH($Y734,'Weapons Database'!$A$2:$A$100,0)),""))</x:f>
      </x:c>
      <x:c r="AA734" t="str">
        <x:f>IF($Y734="","","Weapons Database")</x:f>
      </x:c>
    </x:row>
    <x:row r="735">
      <x:c r="Z735" t="str">
        <x:f>IF($Y735="","",IFERROR(INDEX('Weapons Database'!$C$2:$C$100,MATCH($Y735,'Weapons Database'!$A$2:$A$100,0))&amp;" "&amp;INDEX('Weapons Database'!$D$2:$D$100,MATCH($Y735,'Weapons Database'!$A$2:$A$100,0)),""))</x:f>
      </x:c>
      <x:c r="AA735" t="str">
        <x:f>IF($Y735="","","Weapons Database")</x:f>
      </x:c>
    </x:row>
    <x:row r="736">
      <x:c r="Z736" t="str">
        <x:f>IF($Y736="","",IFERROR(INDEX('Weapons Database'!$C$2:$C$100,MATCH($Y736,'Weapons Database'!$A$2:$A$100,0))&amp;" "&amp;INDEX('Weapons Database'!$D$2:$D$100,MATCH($Y736,'Weapons Database'!$A$2:$A$100,0)),""))</x:f>
      </x:c>
      <x:c r="AA736" t="str">
        <x:f>IF($Y736="","","Weapons Database")</x:f>
      </x:c>
    </x:row>
    <x:row r="737">
      <x:c r="Z737" t="str">
        <x:f>IF($Y737="","",IFERROR(INDEX('Weapons Database'!$C$2:$C$100,MATCH($Y737,'Weapons Database'!$A$2:$A$100,0))&amp;" "&amp;INDEX('Weapons Database'!$D$2:$D$100,MATCH($Y737,'Weapons Database'!$A$2:$A$100,0)),""))</x:f>
      </x:c>
      <x:c r="AA737" t="str">
        <x:f>IF($Y737="","","Weapons Database")</x:f>
      </x:c>
    </x:row>
    <x:row r="738">
      <x:c r="Z738" t="str">
        <x:f>IF($Y738="","",IFERROR(INDEX('Weapons Database'!$C$2:$C$100,MATCH($Y738,'Weapons Database'!$A$2:$A$100,0))&amp;" "&amp;INDEX('Weapons Database'!$D$2:$D$100,MATCH($Y738,'Weapons Database'!$A$2:$A$100,0)),""))</x:f>
      </x:c>
      <x:c r="AA738" t="str">
        <x:f>IF($Y738="","","Weapons Database")</x:f>
      </x:c>
    </x:row>
    <x:row r="739">
      <x:c r="Z739" t="str">
        <x:f>IF($Y739="","",IFERROR(INDEX('Weapons Database'!$C$2:$C$100,MATCH($Y739,'Weapons Database'!$A$2:$A$100,0))&amp;" "&amp;INDEX('Weapons Database'!$D$2:$D$100,MATCH($Y739,'Weapons Database'!$A$2:$A$100,0)),""))</x:f>
      </x:c>
      <x:c r="AA739" t="str">
        <x:f>IF($Y739="","","Weapons Database")</x:f>
      </x:c>
    </x:row>
    <x:row r="740">
      <x:c r="Z740" t="str">
        <x:f>IF($Y740="","",IFERROR(INDEX('Weapons Database'!$C$2:$C$100,MATCH($Y740,'Weapons Database'!$A$2:$A$100,0))&amp;" "&amp;INDEX('Weapons Database'!$D$2:$D$100,MATCH($Y740,'Weapons Database'!$A$2:$A$100,0)),""))</x:f>
      </x:c>
      <x:c r="AA740" t="str">
        <x:f>IF($Y740="","","Weapons Database")</x:f>
      </x:c>
    </x:row>
    <x:row r="741">
      <x:c r="Z741" t="str">
        <x:f>IF($Y741="","",IFERROR(INDEX('Weapons Database'!$C$2:$C$100,MATCH($Y741,'Weapons Database'!$A$2:$A$100,0))&amp;" "&amp;INDEX('Weapons Database'!$D$2:$D$100,MATCH($Y741,'Weapons Database'!$A$2:$A$100,0)),""))</x:f>
      </x:c>
      <x:c r="AA741" t="str">
        <x:f>IF($Y741="","","Weapons Database")</x:f>
      </x:c>
    </x:row>
    <x:row r="742">
      <x:c r="Z742" t="str">
        <x:f>IF($Y742="","",IFERROR(INDEX('Weapons Database'!$C$2:$C$100,MATCH($Y742,'Weapons Database'!$A$2:$A$100,0))&amp;" "&amp;INDEX('Weapons Database'!$D$2:$D$100,MATCH($Y742,'Weapons Database'!$A$2:$A$100,0)),""))</x:f>
      </x:c>
      <x:c r="AA742" t="str">
        <x:f>IF($Y742="","","Weapons Database")</x:f>
      </x:c>
    </x:row>
    <x:row r="743">
      <x:c r="Z743" t="str">
        <x:f>IF($Y743="","",IFERROR(INDEX('Weapons Database'!$C$2:$C$100,MATCH($Y743,'Weapons Database'!$A$2:$A$100,0))&amp;" "&amp;INDEX('Weapons Database'!$D$2:$D$100,MATCH($Y743,'Weapons Database'!$A$2:$A$100,0)),""))</x:f>
      </x:c>
      <x:c r="AA743" t="str">
        <x:f>IF($Y743="","","Weapons Database")</x:f>
      </x:c>
    </x:row>
    <x:row r="744">
      <x:c r="Z744" t="str">
        <x:f>IF($Y744="","",IFERROR(INDEX('Weapons Database'!$C$2:$C$100,MATCH($Y744,'Weapons Database'!$A$2:$A$100,0))&amp;" "&amp;INDEX('Weapons Database'!$D$2:$D$100,MATCH($Y744,'Weapons Database'!$A$2:$A$100,0)),""))</x:f>
      </x:c>
      <x:c r="AA744" t="str">
        <x:f>IF($Y744="","","Weapons Database")</x:f>
      </x:c>
    </x:row>
    <x:row r="745">
      <x:c r="Z745" t="str">
        <x:f>IF($Y745="","",IFERROR(INDEX('Weapons Database'!$C$2:$C$100,MATCH($Y745,'Weapons Database'!$A$2:$A$100,0))&amp;" "&amp;INDEX('Weapons Database'!$D$2:$D$100,MATCH($Y745,'Weapons Database'!$A$2:$A$100,0)),""))</x:f>
      </x:c>
      <x:c r="AA745" t="str">
        <x:f>IF($Y745="","","Weapons Database")</x:f>
      </x:c>
    </x:row>
    <x:row r="746">
      <x:c r="Z746" t="str">
        <x:f>IF($Y746="","",IFERROR(INDEX('Weapons Database'!$C$2:$C$100,MATCH($Y746,'Weapons Database'!$A$2:$A$100,0))&amp;" "&amp;INDEX('Weapons Database'!$D$2:$D$100,MATCH($Y746,'Weapons Database'!$A$2:$A$100,0)),""))</x:f>
      </x:c>
      <x:c r="AA746" t="str">
        <x:f>IF($Y746="","","Weapons Database")</x:f>
      </x:c>
    </x:row>
    <x:row r="747">
      <x:c r="Z747" t="str">
        <x:f>IF($Y747="","",IFERROR(INDEX('Weapons Database'!$C$2:$C$100,MATCH($Y747,'Weapons Database'!$A$2:$A$100,0))&amp;" "&amp;INDEX('Weapons Database'!$D$2:$D$100,MATCH($Y747,'Weapons Database'!$A$2:$A$100,0)),""))</x:f>
      </x:c>
      <x:c r="AA747" t="str">
        <x:f>IF($Y747="","","Weapons Database")</x:f>
      </x:c>
    </x:row>
    <x:row r="748">
      <x:c r="Z748" t="str">
        <x:f>IF($Y748="","",IFERROR(INDEX('Weapons Database'!$C$2:$C$100,MATCH($Y748,'Weapons Database'!$A$2:$A$100,0))&amp;" "&amp;INDEX('Weapons Database'!$D$2:$D$100,MATCH($Y748,'Weapons Database'!$A$2:$A$100,0)),""))</x:f>
      </x:c>
      <x:c r="AA748" t="str">
        <x:f>IF($Y748="","","Weapons Database")</x:f>
      </x:c>
    </x:row>
    <x:row r="749">
      <x:c r="Z749" t="str">
        <x:f>IF($Y749="","",IFERROR(INDEX('Weapons Database'!$C$2:$C$100,MATCH($Y749,'Weapons Database'!$A$2:$A$100,0))&amp;" "&amp;INDEX('Weapons Database'!$D$2:$D$100,MATCH($Y749,'Weapons Database'!$A$2:$A$100,0)),""))</x:f>
      </x:c>
      <x:c r="AA749" t="str">
        <x:f>IF($Y749="","","Weapons Database")</x:f>
      </x:c>
    </x:row>
    <x:row r="750">
      <x:c r="Z750" t="str">
        <x:f>IF($Y750="","",IFERROR(INDEX('Weapons Database'!$C$2:$C$100,MATCH($Y750,'Weapons Database'!$A$2:$A$100,0))&amp;" "&amp;INDEX('Weapons Database'!$D$2:$D$100,MATCH($Y750,'Weapons Database'!$A$2:$A$100,0)),""))</x:f>
      </x:c>
      <x:c r="AA750" t="str">
        <x:f>IF($Y750="","","Weapons Database")</x:f>
      </x:c>
    </x:row>
    <x:row r="751">
      <x:c r="Z751" t="str">
        <x:f>IF($Y751="","",IFERROR(INDEX('Weapons Database'!$C$2:$C$100,MATCH($Y751,'Weapons Database'!$A$2:$A$100,0))&amp;" "&amp;INDEX('Weapons Database'!$D$2:$D$100,MATCH($Y751,'Weapons Database'!$A$2:$A$100,0)),""))</x:f>
      </x:c>
      <x:c r="AA751" t="str">
        <x:f>IF($Y751="","","Weapons Database")</x:f>
      </x:c>
    </x:row>
    <x:row r="752">
      <x:c r="Z752" t="str">
        <x:f>IF($Y752="","",IFERROR(INDEX('Weapons Database'!$C$2:$C$100,MATCH($Y752,'Weapons Database'!$A$2:$A$100,0))&amp;" "&amp;INDEX('Weapons Database'!$D$2:$D$100,MATCH($Y752,'Weapons Database'!$A$2:$A$100,0)),""))</x:f>
      </x:c>
      <x:c r="AA752" t="str">
        <x:f>IF($Y752="","","Weapons Database")</x:f>
      </x:c>
    </x:row>
    <x:row r="753">
      <x:c r="Z753" t="str">
        <x:f>IF($Y753="","",IFERROR(INDEX('Weapons Database'!$C$2:$C$100,MATCH($Y753,'Weapons Database'!$A$2:$A$100,0))&amp;" "&amp;INDEX('Weapons Database'!$D$2:$D$100,MATCH($Y753,'Weapons Database'!$A$2:$A$100,0)),""))</x:f>
      </x:c>
      <x:c r="AA753" t="str">
        <x:f>IF($Y753="","","Weapons Database")</x:f>
      </x:c>
    </x:row>
    <x:row r="754">
      <x:c r="Z754" t="str">
        <x:f>IF($Y754="","",IFERROR(INDEX('Weapons Database'!$C$2:$C$100,MATCH($Y754,'Weapons Database'!$A$2:$A$100,0))&amp;" "&amp;INDEX('Weapons Database'!$D$2:$D$100,MATCH($Y754,'Weapons Database'!$A$2:$A$100,0)),""))</x:f>
      </x:c>
      <x:c r="AA754" t="str">
        <x:f>IF($Y754="","","Weapons Database")</x:f>
      </x:c>
    </x:row>
    <x:row r="755">
      <x:c r="Z755" t="str">
        <x:f>IF($Y755="","",IFERROR(INDEX('Weapons Database'!$C$2:$C$100,MATCH($Y755,'Weapons Database'!$A$2:$A$100,0))&amp;" "&amp;INDEX('Weapons Database'!$D$2:$D$100,MATCH($Y755,'Weapons Database'!$A$2:$A$100,0)),""))</x:f>
      </x:c>
      <x:c r="AA755" t="str">
        <x:f>IF($Y755="","","Weapons Database")</x:f>
      </x:c>
    </x:row>
    <x:row r="756">
      <x:c r="Z756" t="str">
        <x:f>IF($Y756="","",IFERROR(INDEX('Weapons Database'!$C$2:$C$100,MATCH($Y756,'Weapons Database'!$A$2:$A$100,0))&amp;" "&amp;INDEX('Weapons Database'!$D$2:$D$100,MATCH($Y756,'Weapons Database'!$A$2:$A$100,0)),""))</x:f>
      </x:c>
      <x:c r="AA756" t="str">
        <x:f>IF($Y756="","","Weapons Database")</x:f>
      </x:c>
    </x:row>
    <x:row r="757">
      <x:c r="Z757" t="str">
        <x:f>IF($Y757="","",IFERROR(INDEX('Weapons Database'!$C$2:$C$100,MATCH($Y757,'Weapons Database'!$A$2:$A$100,0))&amp;" "&amp;INDEX('Weapons Database'!$D$2:$D$100,MATCH($Y757,'Weapons Database'!$A$2:$A$100,0)),""))</x:f>
      </x:c>
      <x:c r="AA757" t="str">
        <x:f>IF($Y757="","","Weapons Database")</x:f>
      </x:c>
    </x:row>
    <x:row r="758">
      <x:c r="Z758" t="str">
        <x:f>IF($Y758="","",IFERROR(INDEX('Weapons Database'!$C$2:$C$100,MATCH($Y758,'Weapons Database'!$A$2:$A$100,0))&amp;" "&amp;INDEX('Weapons Database'!$D$2:$D$100,MATCH($Y758,'Weapons Database'!$A$2:$A$100,0)),""))</x:f>
      </x:c>
      <x:c r="AA758" t="str">
        <x:f>IF($Y758="","","Weapons Database")</x:f>
      </x:c>
    </x:row>
    <x:row r="759">
      <x:c r="Z759" t="str">
        <x:f>IF($Y759="","",IFERROR(INDEX('Weapons Database'!$C$2:$C$100,MATCH($Y759,'Weapons Database'!$A$2:$A$100,0))&amp;" "&amp;INDEX('Weapons Database'!$D$2:$D$100,MATCH($Y759,'Weapons Database'!$A$2:$A$100,0)),""))</x:f>
      </x:c>
      <x:c r="AA759" t="str">
        <x:f>IF($Y759="","","Weapons Database")</x:f>
      </x:c>
    </x:row>
    <x:row r="760">
      <x:c r="Z760" t="str">
        <x:f>IF($Y760="","",IFERROR(INDEX('Weapons Database'!$C$2:$C$100,MATCH($Y760,'Weapons Database'!$A$2:$A$100,0))&amp;" "&amp;INDEX('Weapons Database'!$D$2:$D$100,MATCH($Y760,'Weapons Database'!$A$2:$A$100,0)),""))</x:f>
      </x:c>
      <x:c r="AA760" t="str">
        <x:f>IF($Y760="","","Weapons Database")</x:f>
      </x:c>
    </x:row>
    <x:row r="761">
      <x:c r="Z761" t="str">
        <x:f>IF($Y761="","",IFERROR(INDEX('Weapons Database'!$C$2:$C$100,MATCH($Y761,'Weapons Database'!$A$2:$A$100,0))&amp;" "&amp;INDEX('Weapons Database'!$D$2:$D$100,MATCH($Y761,'Weapons Database'!$A$2:$A$100,0)),""))</x:f>
      </x:c>
      <x:c r="AA761" t="str">
        <x:f>IF($Y761="","","Weapons Database")</x:f>
      </x:c>
    </x:row>
    <x:row r="762">
      <x:c r="Z762" t="str">
        <x:f>IF($Y762="","",IFERROR(INDEX('Weapons Database'!$C$2:$C$100,MATCH($Y762,'Weapons Database'!$A$2:$A$100,0))&amp;" "&amp;INDEX('Weapons Database'!$D$2:$D$100,MATCH($Y762,'Weapons Database'!$A$2:$A$100,0)),""))</x:f>
      </x:c>
      <x:c r="AA762" t="str">
        <x:f>IF($Y762="","","Weapons Database")</x:f>
      </x:c>
    </x:row>
    <x:row r="763">
      <x:c r="Z763" t="str">
        <x:f>IF($Y763="","",IFERROR(INDEX('Weapons Database'!$C$2:$C$100,MATCH($Y763,'Weapons Database'!$A$2:$A$100,0))&amp;" "&amp;INDEX('Weapons Database'!$D$2:$D$100,MATCH($Y763,'Weapons Database'!$A$2:$A$100,0)),""))</x:f>
      </x:c>
      <x:c r="AA763" t="str">
        <x:f>IF($Y763="","","Weapons Database")</x:f>
      </x:c>
    </x:row>
    <x:row r="764">
      <x:c r="Z764" t="str">
        <x:f>IF($Y764="","",IFERROR(INDEX('Weapons Database'!$C$2:$C$100,MATCH($Y764,'Weapons Database'!$A$2:$A$100,0))&amp;" "&amp;INDEX('Weapons Database'!$D$2:$D$100,MATCH($Y764,'Weapons Database'!$A$2:$A$100,0)),""))</x:f>
      </x:c>
      <x:c r="AA764" t="str">
        <x:f>IF($Y764="","","Weapons Database")</x:f>
      </x:c>
    </x:row>
    <x:row r="765">
      <x:c r="Z765" t="str">
        <x:f>IF($Y765="","",IFERROR(INDEX('Weapons Database'!$C$2:$C$100,MATCH($Y765,'Weapons Database'!$A$2:$A$100,0))&amp;" "&amp;INDEX('Weapons Database'!$D$2:$D$100,MATCH($Y765,'Weapons Database'!$A$2:$A$100,0)),""))</x:f>
      </x:c>
      <x:c r="AA765" t="str">
        <x:f>IF($Y765="","","Weapons Database")</x:f>
      </x:c>
    </x:row>
    <x:row r="766">
      <x:c r="Z766" t="str">
        <x:f>IF($Y766="","",IFERROR(INDEX('Weapons Database'!$C$2:$C$100,MATCH($Y766,'Weapons Database'!$A$2:$A$100,0))&amp;" "&amp;INDEX('Weapons Database'!$D$2:$D$100,MATCH($Y766,'Weapons Database'!$A$2:$A$100,0)),""))</x:f>
      </x:c>
      <x:c r="AA766" t="str">
        <x:f>IF($Y766="","","Weapons Database")</x:f>
      </x:c>
    </x:row>
    <x:row r="767">
      <x:c r="Z767" t="str">
        <x:f>IF($Y767="","",IFERROR(INDEX('Weapons Database'!$C$2:$C$100,MATCH($Y767,'Weapons Database'!$A$2:$A$100,0))&amp;" "&amp;INDEX('Weapons Database'!$D$2:$D$100,MATCH($Y767,'Weapons Database'!$A$2:$A$100,0)),""))</x:f>
      </x:c>
      <x:c r="AA767" t="str">
        <x:f>IF($Y767="","","Weapons Database")</x:f>
      </x:c>
    </x:row>
    <x:row r="768">
      <x:c r="Z768" t="str">
        <x:f>IF($Y768="","",IFERROR(INDEX('Weapons Database'!$C$2:$C$100,MATCH($Y768,'Weapons Database'!$A$2:$A$100,0))&amp;" "&amp;INDEX('Weapons Database'!$D$2:$D$100,MATCH($Y768,'Weapons Database'!$A$2:$A$100,0)),""))</x:f>
      </x:c>
      <x:c r="AA768" t="str">
        <x:f>IF($Y768="","","Weapons Database")</x:f>
      </x:c>
    </x:row>
    <x:row r="769">
      <x:c r="Z769" t="str">
        <x:f>IF($Y769="","",IFERROR(INDEX('Weapons Database'!$C$2:$C$100,MATCH($Y769,'Weapons Database'!$A$2:$A$100,0))&amp;" "&amp;INDEX('Weapons Database'!$D$2:$D$100,MATCH($Y769,'Weapons Database'!$A$2:$A$100,0)),""))</x:f>
      </x:c>
      <x:c r="AA769" t="str">
        <x:f>IF($Y769="","","Weapons Database")</x:f>
      </x:c>
    </x:row>
    <x:row r="770">
      <x:c r="Z770" t="str">
        <x:f>IF($Y770="","",IFERROR(INDEX('Weapons Database'!$C$2:$C$100,MATCH($Y770,'Weapons Database'!$A$2:$A$100,0))&amp;" "&amp;INDEX('Weapons Database'!$D$2:$D$100,MATCH($Y770,'Weapons Database'!$A$2:$A$100,0)),""))</x:f>
      </x:c>
      <x:c r="AA770" t="str">
        <x:f>IF($Y770="","","Weapons Database")</x:f>
      </x:c>
    </x:row>
    <x:row r="771">
      <x:c r="Z771" t="str">
        <x:f>IF($Y771="","",IFERROR(INDEX('Weapons Database'!$C$2:$C$100,MATCH($Y771,'Weapons Database'!$A$2:$A$100,0))&amp;" "&amp;INDEX('Weapons Database'!$D$2:$D$100,MATCH($Y771,'Weapons Database'!$A$2:$A$100,0)),""))</x:f>
      </x:c>
      <x:c r="AA771" t="str">
        <x:f>IF($Y771="","","Weapons Database")</x:f>
      </x:c>
    </x:row>
    <x:row r="772">
      <x:c r="Z772" t="str">
        <x:f>IF($Y772="","",IFERROR(INDEX('Weapons Database'!$C$2:$C$100,MATCH($Y772,'Weapons Database'!$A$2:$A$100,0))&amp;" "&amp;INDEX('Weapons Database'!$D$2:$D$100,MATCH($Y772,'Weapons Database'!$A$2:$A$100,0)),""))</x:f>
      </x:c>
      <x:c r="AA772" t="str">
        <x:f>IF($Y772="","","Weapons Database")</x:f>
      </x:c>
    </x:row>
    <x:row r="773">
      <x:c r="Z773" t="str">
        <x:f>IF($Y773="","",IFERROR(INDEX('Weapons Database'!$C$2:$C$100,MATCH($Y773,'Weapons Database'!$A$2:$A$100,0))&amp;" "&amp;INDEX('Weapons Database'!$D$2:$D$100,MATCH($Y773,'Weapons Database'!$A$2:$A$100,0)),""))</x:f>
      </x:c>
      <x:c r="AA773" t="str">
        <x:f>IF($Y773="","","Weapons Database")</x:f>
      </x:c>
    </x:row>
    <x:row r="774">
      <x:c r="Z774" t="str">
        <x:f>IF($Y774="","",IFERROR(INDEX('Weapons Database'!$C$2:$C$100,MATCH($Y774,'Weapons Database'!$A$2:$A$100,0))&amp;" "&amp;INDEX('Weapons Database'!$D$2:$D$100,MATCH($Y774,'Weapons Database'!$A$2:$A$100,0)),""))</x:f>
      </x:c>
      <x:c r="AA774" t="str">
        <x:f>IF($Y774="","","Weapons Database")</x:f>
      </x:c>
    </x:row>
    <x:row r="775">
      <x:c r="Z775" t="str">
        <x:f>IF($Y775="","",IFERROR(INDEX('Weapons Database'!$C$2:$C$100,MATCH($Y775,'Weapons Database'!$A$2:$A$100,0))&amp;" "&amp;INDEX('Weapons Database'!$D$2:$D$100,MATCH($Y775,'Weapons Database'!$A$2:$A$100,0)),""))</x:f>
      </x:c>
      <x:c r="AA775" t="str">
        <x:f>IF($Y775="","","Weapons Database")</x:f>
      </x:c>
    </x:row>
    <x:row r="776">
      <x:c r="Z776" t="str">
        <x:f>IF($Y776="","",IFERROR(INDEX('Weapons Database'!$C$2:$C$100,MATCH($Y776,'Weapons Database'!$A$2:$A$100,0))&amp;" "&amp;INDEX('Weapons Database'!$D$2:$D$100,MATCH($Y776,'Weapons Database'!$A$2:$A$100,0)),""))</x:f>
      </x:c>
      <x:c r="AA776" t="str">
        <x:f>IF($Y776="","","Weapons Database")</x:f>
      </x:c>
    </x:row>
    <x:row r="777">
      <x:c r="Z777" t="str">
        <x:f>IF($Y777="","",IFERROR(INDEX('Weapons Database'!$C$2:$C$100,MATCH($Y777,'Weapons Database'!$A$2:$A$100,0))&amp;" "&amp;INDEX('Weapons Database'!$D$2:$D$100,MATCH($Y777,'Weapons Database'!$A$2:$A$100,0)),""))</x:f>
      </x:c>
      <x:c r="AA777" t="str">
        <x:f>IF($Y777="","","Weapons Database")</x:f>
      </x:c>
    </x:row>
    <x:row r="778">
      <x:c r="Z778" t="str">
        <x:f>IF($Y778="","",IFERROR(INDEX('Weapons Database'!$C$2:$C$100,MATCH($Y778,'Weapons Database'!$A$2:$A$100,0))&amp;" "&amp;INDEX('Weapons Database'!$D$2:$D$100,MATCH($Y778,'Weapons Database'!$A$2:$A$100,0)),""))</x:f>
      </x:c>
      <x:c r="AA778" t="str">
        <x:f>IF($Y778="","","Weapons Database")</x:f>
      </x:c>
    </x:row>
    <x:row r="779">
      <x:c r="Z779" t="str">
        <x:f>IF($Y779="","",IFERROR(INDEX('Weapons Database'!$C$2:$C$100,MATCH($Y779,'Weapons Database'!$A$2:$A$100,0))&amp;" "&amp;INDEX('Weapons Database'!$D$2:$D$100,MATCH($Y779,'Weapons Database'!$A$2:$A$100,0)),""))</x:f>
      </x:c>
      <x:c r="AA779" t="str">
        <x:f>IF($Y779="","","Weapons Database")</x:f>
      </x:c>
    </x:row>
    <x:row r="780">
      <x:c r="Z780" t="str">
        <x:f>IF($Y780="","",IFERROR(INDEX('Weapons Database'!$C$2:$C$100,MATCH($Y780,'Weapons Database'!$A$2:$A$100,0))&amp;" "&amp;INDEX('Weapons Database'!$D$2:$D$100,MATCH($Y780,'Weapons Database'!$A$2:$A$100,0)),""))</x:f>
      </x:c>
      <x:c r="AA780" t="str">
        <x:f>IF($Y780="","","Weapons Database")</x:f>
      </x:c>
    </x:row>
    <x:row r="781">
      <x:c r="Z781" t="str">
        <x:f>IF($Y781="","",IFERROR(INDEX('Weapons Database'!$C$2:$C$100,MATCH($Y781,'Weapons Database'!$A$2:$A$100,0))&amp;" "&amp;INDEX('Weapons Database'!$D$2:$D$100,MATCH($Y781,'Weapons Database'!$A$2:$A$100,0)),""))</x:f>
      </x:c>
      <x:c r="AA781" t="str">
        <x:f>IF($Y781="","","Weapons Database")</x:f>
      </x:c>
    </x:row>
    <x:row r="782">
      <x:c r="Z782" t="str">
        <x:f>IF($Y782="","",IFERROR(INDEX('Weapons Database'!$C$2:$C$100,MATCH($Y782,'Weapons Database'!$A$2:$A$100,0))&amp;" "&amp;INDEX('Weapons Database'!$D$2:$D$100,MATCH($Y782,'Weapons Database'!$A$2:$A$100,0)),""))</x:f>
      </x:c>
      <x:c r="AA782" t="str">
        <x:f>IF($Y782="","","Weapons Database")</x:f>
      </x:c>
    </x:row>
    <x:row r="783">
      <x:c r="Z783" t="str">
        <x:f>IF($Y783="","",IFERROR(INDEX('Weapons Database'!$C$2:$C$100,MATCH($Y783,'Weapons Database'!$A$2:$A$100,0))&amp;" "&amp;INDEX('Weapons Database'!$D$2:$D$100,MATCH($Y783,'Weapons Database'!$A$2:$A$100,0)),""))</x:f>
      </x:c>
      <x:c r="AA783" t="str">
        <x:f>IF($Y783="","","Weapons Database")</x:f>
      </x:c>
    </x:row>
    <x:row r="784">
      <x:c r="Z784" t="str">
        <x:f>IF($Y784="","",IFERROR(INDEX('Weapons Database'!$C$2:$C$100,MATCH($Y784,'Weapons Database'!$A$2:$A$100,0))&amp;" "&amp;INDEX('Weapons Database'!$D$2:$D$100,MATCH($Y784,'Weapons Database'!$A$2:$A$100,0)),""))</x:f>
      </x:c>
      <x:c r="AA784" t="str">
        <x:f>IF($Y784="","","Weapons Database")</x:f>
      </x:c>
    </x:row>
    <x:row r="785">
      <x:c r="Z785" t="str">
        <x:f>IF($Y785="","",IFERROR(INDEX('Weapons Database'!$C$2:$C$100,MATCH($Y785,'Weapons Database'!$A$2:$A$100,0))&amp;" "&amp;INDEX('Weapons Database'!$D$2:$D$100,MATCH($Y785,'Weapons Database'!$A$2:$A$100,0)),""))</x:f>
      </x:c>
      <x:c r="AA785" t="str">
        <x:f>IF($Y785="","","Weapons Database")</x:f>
      </x:c>
    </x:row>
    <x:row r="786">
      <x:c r="Z786" t="str">
        <x:f>IF($Y786="","",IFERROR(INDEX('Weapons Database'!$C$2:$C$100,MATCH($Y786,'Weapons Database'!$A$2:$A$100,0))&amp;" "&amp;INDEX('Weapons Database'!$D$2:$D$100,MATCH($Y786,'Weapons Database'!$A$2:$A$100,0)),""))</x:f>
      </x:c>
      <x:c r="AA786" t="str">
        <x:f>IF($Y786="","","Weapons Database")</x:f>
      </x:c>
    </x:row>
    <x:row r="787">
      <x:c r="Z787" t="str">
        <x:f>IF($Y787="","",IFERROR(INDEX('Weapons Database'!$C$2:$C$100,MATCH($Y787,'Weapons Database'!$A$2:$A$100,0))&amp;" "&amp;INDEX('Weapons Database'!$D$2:$D$100,MATCH($Y787,'Weapons Database'!$A$2:$A$100,0)),""))</x:f>
      </x:c>
      <x:c r="AA787" t="str">
        <x:f>IF($Y787="","","Weapons Database")</x:f>
      </x:c>
    </x:row>
    <x:row r="788">
      <x:c r="Z788" t="str">
        <x:f>IF($Y788="","",IFERROR(INDEX('Weapons Database'!$C$2:$C$100,MATCH($Y788,'Weapons Database'!$A$2:$A$100,0))&amp;" "&amp;INDEX('Weapons Database'!$D$2:$D$100,MATCH($Y788,'Weapons Database'!$A$2:$A$100,0)),""))</x:f>
      </x:c>
      <x:c r="AA788" t="str">
        <x:f>IF($Y788="","","Weapons Database")</x:f>
      </x:c>
    </x:row>
    <x:row r="789">
      <x:c r="Z789" t="str">
        <x:f>IF($Y789="","",IFERROR(INDEX('Weapons Database'!$C$2:$C$100,MATCH($Y789,'Weapons Database'!$A$2:$A$100,0))&amp;" "&amp;INDEX('Weapons Database'!$D$2:$D$100,MATCH($Y789,'Weapons Database'!$A$2:$A$100,0)),""))</x:f>
      </x:c>
      <x:c r="AA789" t="str">
        <x:f>IF($Y789="","","Weapons Database")</x:f>
      </x:c>
    </x:row>
    <x:row r="790">
      <x:c r="Z790" t="str">
        <x:f>IF($Y790="","",IFERROR(INDEX('Weapons Database'!$C$2:$C$100,MATCH($Y790,'Weapons Database'!$A$2:$A$100,0))&amp;" "&amp;INDEX('Weapons Database'!$D$2:$D$100,MATCH($Y790,'Weapons Database'!$A$2:$A$100,0)),""))</x:f>
      </x:c>
      <x:c r="AA790" t="str">
        <x:f>IF($Y790="","","Weapons Database")</x:f>
      </x:c>
    </x:row>
    <x:row r="791">
      <x:c r="Z791" t="str">
        <x:f>IF($Y791="","",IFERROR(INDEX('Weapons Database'!$C$2:$C$100,MATCH($Y791,'Weapons Database'!$A$2:$A$100,0))&amp;" "&amp;INDEX('Weapons Database'!$D$2:$D$100,MATCH($Y791,'Weapons Database'!$A$2:$A$100,0)),""))</x:f>
      </x:c>
      <x:c r="AA791" t="str">
        <x:f>IF($Y791="","","Weapons Database")</x:f>
      </x:c>
    </x:row>
    <x:row r="792">
      <x:c r="Z792" t="str">
        <x:f>IF($Y792="","",IFERROR(INDEX('Weapons Database'!$C$2:$C$100,MATCH($Y792,'Weapons Database'!$A$2:$A$100,0))&amp;" "&amp;INDEX('Weapons Database'!$D$2:$D$100,MATCH($Y792,'Weapons Database'!$A$2:$A$100,0)),""))</x:f>
      </x:c>
      <x:c r="AA792" t="str">
        <x:f>IF($Y792="","","Weapons Database")</x:f>
      </x:c>
    </x:row>
    <x:row r="793">
      <x:c r="Z793" t="str">
        <x:f>IF($Y793="","",IFERROR(INDEX('Weapons Database'!$C$2:$C$100,MATCH($Y793,'Weapons Database'!$A$2:$A$100,0))&amp;" "&amp;INDEX('Weapons Database'!$D$2:$D$100,MATCH($Y793,'Weapons Database'!$A$2:$A$100,0)),""))</x:f>
      </x:c>
      <x:c r="AA793" t="str">
        <x:f>IF($Y793="","","Weapons Database")</x:f>
      </x:c>
    </x:row>
    <x:row r="794">
      <x:c r="Z794" t="str">
        <x:f>IF($Y794="","",IFERROR(INDEX('Weapons Database'!$C$2:$C$100,MATCH($Y794,'Weapons Database'!$A$2:$A$100,0))&amp;" "&amp;INDEX('Weapons Database'!$D$2:$D$100,MATCH($Y794,'Weapons Database'!$A$2:$A$100,0)),""))</x:f>
      </x:c>
      <x:c r="AA794" t="str">
        <x:f>IF($Y794="","","Weapons Database")</x:f>
      </x:c>
    </x:row>
    <x:row r="795">
      <x:c r="Z795" t="str">
        <x:f>IF($Y795="","",IFERROR(INDEX('Weapons Database'!$C$2:$C$100,MATCH($Y795,'Weapons Database'!$A$2:$A$100,0))&amp;" "&amp;INDEX('Weapons Database'!$D$2:$D$100,MATCH($Y795,'Weapons Database'!$A$2:$A$100,0)),""))</x:f>
      </x:c>
      <x:c r="AA795" t="str">
        <x:f>IF($Y795="","","Weapons Database")</x:f>
      </x:c>
    </x:row>
    <x:row r="796">
      <x:c r="Z796" t="str">
        <x:f>IF($Y796="","",IFERROR(INDEX('Weapons Database'!$C$2:$C$100,MATCH($Y796,'Weapons Database'!$A$2:$A$100,0))&amp;" "&amp;INDEX('Weapons Database'!$D$2:$D$100,MATCH($Y796,'Weapons Database'!$A$2:$A$100,0)),""))</x:f>
      </x:c>
      <x:c r="AA796" t="str">
        <x:f>IF($Y796="","","Weapons Database")</x:f>
      </x:c>
    </x:row>
    <x:row r="797">
      <x:c r="Z797" t="str">
        <x:f>IF($Y797="","",IFERROR(INDEX('Weapons Database'!$C$2:$C$100,MATCH($Y797,'Weapons Database'!$A$2:$A$100,0))&amp;" "&amp;INDEX('Weapons Database'!$D$2:$D$100,MATCH($Y797,'Weapons Database'!$A$2:$A$100,0)),""))</x:f>
      </x:c>
      <x:c r="AA797" t="str">
        <x:f>IF($Y797="","","Weapons Database")</x:f>
      </x:c>
    </x:row>
    <x:row r="798">
      <x:c r="Z798" t="str">
        <x:f>IF($Y798="","",IFERROR(INDEX('Weapons Database'!$C$2:$C$100,MATCH($Y798,'Weapons Database'!$A$2:$A$100,0))&amp;" "&amp;INDEX('Weapons Database'!$D$2:$D$100,MATCH($Y798,'Weapons Database'!$A$2:$A$100,0)),""))</x:f>
      </x:c>
      <x:c r="AA798" t="str">
        <x:f>IF($Y798="","","Weapons Database")</x:f>
      </x:c>
    </x:row>
    <x:row r="799">
      <x:c r="Z799" t="str">
        <x:f>IF($Y799="","",IFERROR(INDEX('Weapons Database'!$C$2:$C$100,MATCH($Y799,'Weapons Database'!$A$2:$A$100,0))&amp;" "&amp;INDEX('Weapons Database'!$D$2:$D$100,MATCH($Y799,'Weapons Database'!$A$2:$A$100,0)),""))</x:f>
      </x:c>
      <x:c r="AA799" t="str">
        <x:f>IF($Y799="","","Weapons Database")</x:f>
      </x:c>
    </x:row>
    <x:row r="800">
      <x:c r="Z800" t="str">
        <x:f>IF($Y800="","",IFERROR(INDEX('Weapons Database'!$C$2:$C$100,MATCH($Y800,'Weapons Database'!$A$2:$A$100,0))&amp;" "&amp;INDEX('Weapons Database'!$D$2:$D$100,MATCH($Y800,'Weapons Database'!$A$2:$A$100,0)),""))</x:f>
      </x:c>
      <x:c r="AA800" t="str">
        <x:f>IF($Y800="","","Weapons Database")</x:f>
      </x:c>
    </x:row>
    <x:row r="801">
      <x:c r="Z801" t="str">
        <x:f>IF($Y801="","",IFERROR(INDEX('Weapons Database'!$C$2:$C$100,MATCH($Y801,'Weapons Database'!$A$2:$A$100,0))&amp;" "&amp;INDEX('Weapons Database'!$D$2:$D$100,MATCH($Y801,'Weapons Database'!$A$2:$A$100,0)),""))</x:f>
      </x:c>
      <x:c r="AA801" t="str">
        <x:f>IF($Y801="","","Weapons Database")</x:f>
      </x:c>
    </x:row>
    <x:row r="802">
      <x:c r="Z802" t="str">
        <x:f>IF($Y802="","",IFERROR(INDEX('Weapons Database'!$C$2:$C$100,MATCH($Y802,'Weapons Database'!$A$2:$A$100,0))&amp;" "&amp;INDEX('Weapons Database'!$D$2:$D$100,MATCH($Y802,'Weapons Database'!$A$2:$A$100,0)),""))</x:f>
      </x:c>
      <x:c r="AA802" t="str">
        <x:f>IF($Y802="","","Weapons Database")</x:f>
      </x:c>
    </x:row>
    <x:row r="803">
      <x:c r="Z803" t="str">
        <x:f>IF($Y803="","",IFERROR(INDEX('Weapons Database'!$C$2:$C$100,MATCH($Y803,'Weapons Database'!$A$2:$A$100,0))&amp;" "&amp;INDEX('Weapons Database'!$D$2:$D$100,MATCH($Y803,'Weapons Database'!$A$2:$A$100,0)),""))</x:f>
      </x:c>
      <x:c r="AA803" t="str">
        <x:f>IF($Y803="","","Weapons Database")</x:f>
      </x:c>
    </x:row>
    <x:row r="804">
      <x:c r="Z804" t="str">
        <x:f>IF($Y804="","",IFERROR(INDEX('Weapons Database'!$C$2:$C$100,MATCH($Y804,'Weapons Database'!$A$2:$A$100,0))&amp;" "&amp;INDEX('Weapons Database'!$D$2:$D$100,MATCH($Y804,'Weapons Database'!$A$2:$A$100,0)),""))</x:f>
      </x:c>
      <x:c r="AA804" t="str">
        <x:f>IF($Y804="","","Weapons Database")</x:f>
      </x:c>
    </x:row>
    <x:row r="805">
      <x:c r="Z805" t="str">
        <x:f>IF($Y805="","",IFERROR(INDEX('Weapons Database'!$C$2:$C$100,MATCH($Y805,'Weapons Database'!$A$2:$A$100,0))&amp;" "&amp;INDEX('Weapons Database'!$D$2:$D$100,MATCH($Y805,'Weapons Database'!$A$2:$A$100,0)),""))</x:f>
      </x:c>
      <x:c r="AA805" t="str">
        <x:f>IF($Y805="","","Weapons Database")</x:f>
      </x:c>
    </x:row>
    <x:row r="806">
      <x:c r="Z806" t="str">
        <x:f>IF($Y806="","",IFERROR(INDEX('Weapons Database'!$C$2:$C$100,MATCH($Y806,'Weapons Database'!$A$2:$A$100,0))&amp;" "&amp;INDEX('Weapons Database'!$D$2:$D$100,MATCH($Y806,'Weapons Database'!$A$2:$A$100,0)),""))</x:f>
      </x:c>
      <x:c r="AA806" t="str">
        <x:f>IF($Y806="","","Weapons Database")</x:f>
      </x:c>
    </x:row>
    <x:row r="807">
      <x:c r="Z807" t="str">
        <x:f>IF($Y807="","",IFERROR(INDEX('Weapons Database'!$C$2:$C$100,MATCH($Y807,'Weapons Database'!$A$2:$A$100,0))&amp;" "&amp;INDEX('Weapons Database'!$D$2:$D$100,MATCH($Y807,'Weapons Database'!$A$2:$A$100,0)),""))</x:f>
      </x:c>
      <x:c r="AA807" t="str">
        <x:f>IF($Y807="","","Weapons Database")</x:f>
      </x:c>
    </x:row>
    <x:row r="808">
      <x:c r="Z808" t="str">
        <x:f>IF($Y808="","",IFERROR(INDEX('Weapons Database'!$C$2:$C$100,MATCH($Y808,'Weapons Database'!$A$2:$A$100,0))&amp;" "&amp;INDEX('Weapons Database'!$D$2:$D$100,MATCH($Y808,'Weapons Database'!$A$2:$A$100,0)),""))</x:f>
      </x:c>
      <x:c r="AA808" t="str">
        <x:f>IF($Y808="","","Weapons Database")</x:f>
      </x:c>
    </x:row>
    <x:row r="809">
      <x:c r="Z809" t="str">
        <x:f>IF($Y809="","",IFERROR(INDEX('Weapons Database'!$C$2:$C$100,MATCH($Y809,'Weapons Database'!$A$2:$A$100,0))&amp;" "&amp;INDEX('Weapons Database'!$D$2:$D$100,MATCH($Y809,'Weapons Database'!$A$2:$A$100,0)),""))</x:f>
      </x:c>
      <x:c r="AA809" t="str">
        <x:f>IF($Y809="","","Weapons Database")</x:f>
      </x:c>
    </x:row>
    <x:row r="810">
      <x:c r="Z810" t="str">
        <x:f>IF($Y810="","",IFERROR(INDEX('Weapons Database'!$C$2:$C$100,MATCH($Y810,'Weapons Database'!$A$2:$A$100,0))&amp;" "&amp;INDEX('Weapons Database'!$D$2:$D$100,MATCH($Y810,'Weapons Database'!$A$2:$A$100,0)),""))</x:f>
      </x:c>
      <x:c r="AA810" t="str">
        <x:f>IF($Y810="","","Weapons Database")</x:f>
      </x:c>
    </x:row>
    <x:row r="811">
      <x:c r="Z811" t="str">
        <x:f>IF($Y811="","",IFERROR(INDEX('Weapons Database'!$C$2:$C$100,MATCH($Y811,'Weapons Database'!$A$2:$A$100,0))&amp;" "&amp;INDEX('Weapons Database'!$D$2:$D$100,MATCH($Y811,'Weapons Database'!$A$2:$A$100,0)),""))</x:f>
      </x:c>
      <x:c r="AA811" t="str">
        <x:f>IF($Y811="","","Weapons Database")</x:f>
      </x:c>
    </x:row>
    <x:row r="812">
      <x:c r="Z812" t="str">
        <x:f>IF($Y812="","",IFERROR(INDEX('Weapons Database'!$C$2:$C$100,MATCH($Y812,'Weapons Database'!$A$2:$A$100,0))&amp;" "&amp;INDEX('Weapons Database'!$D$2:$D$100,MATCH($Y812,'Weapons Database'!$A$2:$A$100,0)),""))</x:f>
      </x:c>
      <x:c r="AA812" t="str">
        <x:f>IF($Y812="","","Weapons Database")</x:f>
      </x:c>
    </x:row>
    <x:row r="813">
      <x:c r="Z813" t="str">
        <x:f>IF($Y813="","",IFERROR(INDEX('Weapons Database'!$C$2:$C$100,MATCH($Y813,'Weapons Database'!$A$2:$A$100,0))&amp;" "&amp;INDEX('Weapons Database'!$D$2:$D$100,MATCH($Y813,'Weapons Database'!$A$2:$A$100,0)),""))</x:f>
      </x:c>
      <x:c r="AA813" t="str">
        <x:f>IF($Y813="","","Weapons Database")</x:f>
      </x:c>
    </x:row>
    <x:row r="814">
      <x:c r="Z814" t="str">
        <x:f>IF($Y814="","",IFERROR(INDEX('Weapons Database'!$C$2:$C$100,MATCH($Y814,'Weapons Database'!$A$2:$A$100,0))&amp;" "&amp;INDEX('Weapons Database'!$D$2:$D$100,MATCH($Y814,'Weapons Database'!$A$2:$A$100,0)),""))</x:f>
      </x:c>
      <x:c r="AA814" t="str">
        <x:f>IF($Y814="","","Weapons Database")</x:f>
      </x:c>
    </x:row>
    <x:row r="815">
      <x:c r="Z815" t="str">
        <x:f>IF($Y815="","",IFERROR(INDEX('Weapons Database'!$C$2:$C$100,MATCH($Y815,'Weapons Database'!$A$2:$A$100,0))&amp;" "&amp;INDEX('Weapons Database'!$D$2:$D$100,MATCH($Y815,'Weapons Database'!$A$2:$A$100,0)),""))</x:f>
      </x:c>
      <x:c r="AA815" t="str">
        <x:f>IF($Y815="","","Weapons Database")</x:f>
      </x:c>
    </x:row>
    <x:row r="816">
      <x:c r="Z816" t="str">
        <x:f>IF($Y816="","",IFERROR(INDEX('Weapons Database'!$C$2:$C$100,MATCH($Y816,'Weapons Database'!$A$2:$A$100,0))&amp;" "&amp;INDEX('Weapons Database'!$D$2:$D$100,MATCH($Y816,'Weapons Database'!$A$2:$A$100,0)),""))</x:f>
      </x:c>
      <x:c r="AA816" t="str">
        <x:f>IF($Y816="","","Weapons Database")</x:f>
      </x:c>
    </x:row>
    <x:row r="817">
      <x:c r="Z817" t="str">
        <x:f>IF($Y817="","",IFERROR(INDEX('Weapons Database'!$C$2:$C$100,MATCH($Y817,'Weapons Database'!$A$2:$A$100,0))&amp;" "&amp;INDEX('Weapons Database'!$D$2:$D$100,MATCH($Y817,'Weapons Database'!$A$2:$A$100,0)),""))</x:f>
      </x:c>
      <x:c r="AA817" t="str">
        <x:f>IF($Y817="","","Weapons Database")</x:f>
      </x:c>
    </x:row>
    <x:row r="818">
      <x:c r="Z818" t="str">
        <x:f>IF($Y818="","",IFERROR(INDEX('Weapons Database'!$C$2:$C$100,MATCH($Y818,'Weapons Database'!$A$2:$A$100,0))&amp;" "&amp;INDEX('Weapons Database'!$D$2:$D$100,MATCH($Y818,'Weapons Database'!$A$2:$A$100,0)),""))</x:f>
      </x:c>
      <x:c r="AA818" t="str">
        <x:f>IF($Y818="","","Weapons Database")</x:f>
      </x:c>
    </x:row>
    <x:row r="819">
      <x:c r="Z819" t="str">
        <x:f>IF($Y819="","",IFERROR(INDEX('Weapons Database'!$C$2:$C$100,MATCH($Y819,'Weapons Database'!$A$2:$A$100,0))&amp;" "&amp;INDEX('Weapons Database'!$D$2:$D$100,MATCH($Y819,'Weapons Database'!$A$2:$A$100,0)),""))</x:f>
      </x:c>
      <x:c r="AA819" t="str">
        <x:f>IF($Y819="","","Weapons Database")</x:f>
      </x:c>
    </x:row>
    <x:row r="820">
      <x:c r="Z820" t="str">
        <x:f>IF($Y820="","",IFERROR(INDEX('Weapons Database'!$C$2:$C$100,MATCH($Y820,'Weapons Database'!$A$2:$A$100,0))&amp;" "&amp;INDEX('Weapons Database'!$D$2:$D$100,MATCH($Y820,'Weapons Database'!$A$2:$A$100,0)),""))</x:f>
      </x:c>
      <x:c r="AA820" t="str">
        <x:f>IF($Y820="","","Weapons Database")</x:f>
      </x:c>
    </x:row>
    <x:row r="821">
      <x:c r="Z821" t="str">
        <x:f>IF($Y821="","",IFERROR(INDEX('Weapons Database'!$C$2:$C$100,MATCH($Y821,'Weapons Database'!$A$2:$A$100,0))&amp;" "&amp;INDEX('Weapons Database'!$D$2:$D$100,MATCH($Y821,'Weapons Database'!$A$2:$A$100,0)),""))</x:f>
      </x:c>
      <x:c r="AA821" t="str">
        <x:f>IF($Y821="","","Weapons Database")</x:f>
      </x:c>
    </x:row>
    <x:row r="822">
      <x:c r="Z822" t="str">
        <x:f>IF($Y822="","",IFERROR(INDEX('Weapons Database'!$C$2:$C$100,MATCH($Y822,'Weapons Database'!$A$2:$A$100,0))&amp;" "&amp;INDEX('Weapons Database'!$D$2:$D$100,MATCH($Y822,'Weapons Database'!$A$2:$A$100,0)),""))</x:f>
      </x:c>
      <x:c r="AA822" t="str">
        <x:f>IF($Y822="","","Weapons Database")</x:f>
      </x:c>
    </x:row>
    <x:row r="823">
      <x:c r="Z823" t="str">
        <x:f>IF($Y823="","",IFERROR(INDEX('Weapons Database'!$C$2:$C$100,MATCH($Y823,'Weapons Database'!$A$2:$A$100,0))&amp;" "&amp;INDEX('Weapons Database'!$D$2:$D$100,MATCH($Y823,'Weapons Database'!$A$2:$A$100,0)),""))</x:f>
      </x:c>
      <x:c r="AA823" t="str">
        <x:f>IF($Y823="","","Weapons Database")</x:f>
      </x:c>
    </x:row>
    <x:row r="824">
      <x:c r="Z824" t="str">
        <x:f>IF($Y824="","",IFERROR(INDEX('Weapons Database'!$C$2:$C$100,MATCH($Y824,'Weapons Database'!$A$2:$A$100,0))&amp;" "&amp;INDEX('Weapons Database'!$D$2:$D$100,MATCH($Y824,'Weapons Database'!$A$2:$A$100,0)),""))</x:f>
      </x:c>
      <x:c r="AA824" t="str">
        <x:f>IF($Y824="","","Weapons Database")</x:f>
      </x:c>
    </x:row>
    <x:row r="825">
      <x:c r="Z825" t="str">
        <x:f>IF($Y825="","",IFERROR(INDEX('Weapons Database'!$C$2:$C$100,MATCH($Y825,'Weapons Database'!$A$2:$A$100,0))&amp;" "&amp;INDEX('Weapons Database'!$D$2:$D$100,MATCH($Y825,'Weapons Database'!$A$2:$A$100,0)),""))</x:f>
      </x:c>
      <x:c r="AA825" t="str">
        <x:f>IF($Y825="","","Weapons Database")</x:f>
      </x:c>
    </x:row>
    <x:row r="826">
      <x:c r="Z826" t="str">
        <x:f>IF($Y826="","",IFERROR(INDEX('Weapons Database'!$C$2:$C$100,MATCH($Y826,'Weapons Database'!$A$2:$A$100,0))&amp;" "&amp;INDEX('Weapons Database'!$D$2:$D$100,MATCH($Y826,'Weapons Database'!$A$2:$A$100,0)),""))</x:f>
      </x:c>
      <x:c r="AA826" t="str">
        <x:f>IF($Y826="","","Weapons Database")</x:f>
      </x:c>
    </x:row>
    <x:row r="827">
      <x:c r="Z827" t="str">
        <x:f>IF($Y827="","",IFERROR(INDEX('Weapons Database'!$C$2:$C$100,MATCH($Y827,'Weapons Database'!$A$2:$A$100,0))&amp;" "&amp;INDEX('Weapons Database'!$D$2:$D$100,MATCH($Y827,'Weapons Database'!$A$2:$A$100,0)),""))</x:f>
      </x:c>
      <x:c r="AA827" t="str">
        <x:f>IF($Y827="","","Weapons Database")</x:f>
      </x:c>
    </x:row>
    <x:row r="828">
      <x:c r="Z828" t="str">
        <x:f>IF($Y828="","",IFERROR(INDEX('Weapons Database'!$C$2:$C$100,MATCH($Y828,'Weapons Database'!$A$2:$A$100,0))&amp;" "&amp;INDEX('Weapons Database'!$D$2:$D$100,MATCH($Y828,'Weapons Database'!$A$2:$A$100,0)),""))</x:f>
      </x:c>
      <x:c r="AA828" t="str">
        <x:f>IF($Y828="","","Weapons Database")</x:f>
      </x:c>
    </x:row>
    <x:row r="829">
      <x:c r="Z829" t="str">
        <x:f>IF($Y829="","",IFERROR(INDEX('Weapons Database'!$C$2:$C$100,MATCH($Y829,'Weapons Database'!$A$2:$A$100,0))&amp;" "&amp;INDEX('Weapons Database'!$D$2:$D$100,MATCH($Y829,'Weapons Database'!$A$2:$A$100,0)),""))</x:f>
      </x:c>
      <x:c r="AA829" t="str">
        <x:f>IF($Y829="","","Weapons Database")</x:f>
      </x:c>
    </x:row>
    <x:row r="830">
      <x:c r="Z830" t="str">
        <x:f>IF($Y830="","",IFERROR(INDEX('Weapons Database'!$C$2:$C$100,MATCH($Y830,'Weapons Database'!$A$2:$A$100,0))&amp;" "&amp;INDEX('Weapons Database'!$D$2:$D$100,MATCH($Y830,'Weapons Database'!$A$2:$A$100,0)),""))</x:f>
      </x:c>
      <x:c r="AA830" t="str">
        <x:f>IF($Y830="","","Weapons Database")</x:f>
      </x:c>
    </x:row>
    <x:row r="831">
      <x:c r="Z831" t="str">
        <x:f>IF($Y831="","",IFERROR(INDEX('Weapons Database'!$C$2:$C$100,MATCH($Y831,'Weapons Database'!$A$2:$A$100,0))&amp;" "&amp;INDEX('Weapons Database'!$D$2:$D$100,MATCH($Y831,'Weapons Database'!$A$2:$A$100,0)),""))</x:f>
      </x:c>
      <x:c r="AA831" t="str">
        <x:f>IF($Y831="","","Weapons Database")</x:f>
      </x:c>
    </x:row>
    <x:row r="832">
      <x:c r="Z832" t="str">
        <x:f>IF($Y832="","",IFERROR(INDEX('Weapons Database'!$C$2:$C$100,MATCH($Y832,'Weapons Database'!$A$2:$A$100,0))&amp;" "&amp;INDEX('Weapons Database'!$D$2:$D$100,MATCH($Y832,'Weapons Database'!$A$2:$A$100,0)),""))</x:f>
      </x:c>
      <x:c r="AA832" t="str">
        <x:f>IF($Y832="","","Weapons Database")</x:f>
      </x:c>
    </x:row>
    <x:row r="833">
      <x:c r="Z833" t="str">
        <x:f>IF($Y833="","",IFERROR(INDEX('Weapons Database'!$C$2:$C$100,MATCH($Y833,'Weapons Database'!$A$2:$A$100,0))&amp;" "&amp;INDEX('Weapons Database'!$D$2:$D$100,MATCH($Y833,'Weapons Database'!$A$2:$A$100,0)),""))</x:f>
      </x:c>
      <x:c r="AA833" t="str">
        <x:f>IF($Y833="","","Weapons Database")</x:f>
      </x:c>
    </x:row>
    <x:row r="834">
      <x:c r="Z834" t="str">
        <x:f>IF($Y834="","",IFERROR(INDEX('Weapons Database'!$C$2:$C$100,MATCH($Y834,'Weapons Database'!$A$2:$A$100,0))&amp;" "&amp;INDEX('Weapons Database'!$D$2:$D$100,MATCH($Y834,'Weapons Database'!$A$2:$A$100,0)),""))</x:f>
      </x:c>
      <x:c r="AA834" t="str">
        <x:f>IF($Y834="","","Weapons Database")</x:f>
      </x:c>
    </x:row>
    <x:row r="835">
      <x:c r="Z835" t="str">
        <x:f>IF($Y835="","",IFERROR(INDEX('Weapons Database'!$C$2:$C$100,MATCH($Y835,'Weapons Database'!$A$2:$A$100,0))&amp;" "&amp;INDEX('Weapons Database'!$D$2:$D$100,MATCH($Y835,'Weapons Database'!$A$2:$A$100,0)),""))</x:f>
      </x:c>
      <x:c r="AA835" t="str">
        <x:f>IF($Y835="","","Weapons Database")</x:f>
      </x:c>
    </x:row>
    <x:row r="836">
      <x:c r="Z836" t="str">
        <x:f>IF($Y836="","",IFERROR(INDEX('Weapons Database'!$C$2:$C$100,MATCH($Y836,'Weapons Database'!$A$2:$A$100,0))&amp;" "&amp;INDEX('Weapons Database'!$D$2:$D$100,MATCH($Y836,'Weapons Database'!$A$2:$A$100,0)),""))</x:f>
      </x:c>
      <x:c r="AA836" t="str">
        <x:f>IF($Y836="","","Weapons Database")</x:f>
      </x:c>
    </x:row>
    <x:row r="837">
      <x:c r="Z837" t="str">
        <x:f>IF($Y837="","",IFERROR(INDEX('Weapons Database'!$C$2:$C$100,MATCH($Y837,'Weapons Database'!$A$2:$A$100,0))&amp;" "&amp;INDEX('Weapons Database'!$D$2:$D$100,MATCH($Y837,'Weapons Database'!$A$2:$A$100,0)),""))</x:f>
      </x:c>
      <x:c r="AA837" t="str">
        <x:f>IF($Y837="","","Weapons Database")</x:f>
      </x:c>
    </x:row>
    <x:row r="838">
      <x:c r="Z838" t="str">
        <x:f>IF($Y838="","",IFERROR(INDEX('Weapons Database'!$C$2:$C$100,MATCH($Y838,'Weapons Database'!$A$2:$A$100,0))&amp;" "&amp;INDEX('Weapons Database'!$D$2:$D$100,MATCH($Y838,'Weapons Database'!$A$2:$A$100,0)),""))</x:f>
      </x:c>
      <x:c r="AA838" t="str">
        <x:f>IF($Y838="","","Weapons Database")</x:f>
      </x:c>
    </x:row>
    <x:row r="839">
      <x:c r="Z839" t="str">
        <x:f>IF($Y839="","",IFERROR(INDEX('Weapons Database'!$C$2:$C$100,MATCH($Y839,'Weapons Database'!$A$2:$A$100,0))&amp;" "&amp;INDEX('Weapons Database'!$D$2:$D$100,MATCH($Y839,'Weapons Database'!$A$2:$A$100,0)),""))</x:f>
      </x:c>
      <x:c r="AA839" t="str">
        <x:f>IF($Y839="","","Weapons Database")</x:f>
      </x:c>
    </x:row>
    <x:row r="840">
      <x:c r="Z840" t="str">
        <x:f>IF($Y840="","",IFERROR(INDEX('Weapons Database'!$C$2:$C$100,MATCH($Y840,'Weapons Database'!$A$2:$A$100,0))&amp;" "&amp;INDEX('Weapons Database'!$D$2:$D$100,MATCH($Y840,'Weapons Database'!$A$2:$A$100,0)),""))</x:f>
      </x:c>
      <x:c r="AA840" t="str">
        <x:f>IF($Y840="","","Weapons Database")</x:f>
      </x:c>
    </x:row>
    <x:row r="841">
      <x:c r="Z841" t="str">
        <x:f>IF($Y841="","",IFERROR(INDEX('Weapons Database'!$C$2:$C$100,MATCH($Y841,'Weapons Database'!$A$2:$A$100,0))&amp;" "&amp;INDEX('Weapons Database'!$D$2:$D$100,MATCH($Y841,'Weapons Database'!$A$2:$A$100,0)),""))</x:f>
      </x:c>
      <x:c r="AA841" t="str">
        <x:f>IF($Y841="","","Weapons Database")</x:f>
      </x:c>
    </x:row>
    <x:row r="842">
      <x:c r="Z842" t="str">
        <x:f>IF($Y842="","",IFERROR(INDEX('Weapons Database'!$C$2:$C$100,MATCH($Y842,'Weapons Database'!$A$2:$A$100,0))&amp;" "&amp;INDEX('Weapons Database'!$D$2:$D$100,MATCH($Y842,'Weapons Database'!$A$2:$A$100,0)),""))</x:f>
      </x:c>
      <x:c r="AA842" t="str">
        <x:f>IF($Y842="","","Weapons Database")</x:f>
      </x:c>
    </x:row>
    <x:row r="843">
      <x:c r="Z843" t="str">
        <x:f>IF($Y843="","",IFERROR(INDEX('Weapons Database'!$C$2:$C$100,MATCH($Y843,'Weapons Database'!$A$2:$A$100,0))&amp;" "&amp;INDEX('Weapons Database'!$D$2:$D$100,MATCH($Y843,'Weapons Database'!$A$2:$A$100,0)),""))</x:f>
      </x:c>
      <x:c r="AA843" t="str">
        <x:f>IF($Y843="","","Weapons Database")</x:f>
      </x:c>
    </x:row>
    <x:row r="844">
      <x:c r="Z844" t="str">
        <x:f>IF($Y844="","",IFERROR(INDEX('Weapons Database'!$C$2:$C$100,MATCH($Y844,'Weapons Database'!$A$2:$A$100,0))&amp;" "&amp;INDEX('Weapons Database'!$D$2:$D$100,MATCH($Y844,'Weapons Database'!$A$2:$A$100,0)),""))</x:f>
      </x:c>
      <x:c r="AA844" t="str">
        <x:f>IF($Y844="","","Weapons Database")</x:f>
      </x:c>
    </x:row>
    <x:row r="845">
      <x:c r="Z845" t="str">
        <x:f>IF($Y845="","",IFERROR(INDEX('Weapons Database'!$C$2:$C$100,MATCH($Y845,'Weapons Database'!$A$2:$A$100,0))&amp;" "&amp;INDEX('Weapons Database'!$D$2:$D$100,MATCH($Y845,'Weapons Database'!$A$2:$A$100,0)),""))</x:f>
      </x:c>
      <x:c r="AA845" t="str">
        <x:f>IF($Y845="","","Weapons Database")</x:f>
      </x:c>
    </x:row>
    <x:row r="846">
      <x:c r="Z846" t="str">
        <x:f>IF($Y846="","",IFERROR(INDEX('Weapons Database'!$C$2:$C$100,MATCH($Y846,'Weapons Database'!$A$2:$A$100,0))&amp;" "&amp;INDEX('Weapons Database'!$D$2:$D$100,MATCH($Y846,'Weapons Database'!$A$2:$A$100,0)),""))</x:f>
      </x:c>
      <x:c r="AA846" t="str">
        <x:f>IF($Y846="","","Weapons Database")</x:f>
      </x:c>
    </x:row>
    <x:row r="847">
      <x:c r="Z847" t="str">
        <x:f>IF($Y847="","",IFERROR(INDEX('Weapons Database'!$C$2:$C$100,MATCH($Y847,'Weapons Database'!$A$2:$A$100,0))&amp;" "&amp;INDEX('Weapons Database'!$D$2:$D$100,MATCH($Y847,'Weapons Database'!$A$2:$A$100,0)),""))</x:f>
      </x:c>
      <x:c r="AA847" t="str">
        <x:f>IF($Y847="","","Weapons Database")</x:f>
      </x:c>
    </x:row>
    <x:row r="848">
      <x:c r="Z848" t="str">
        <x:f>IF($Y848="","",IFERROR(INDEX('Weapons Database'!$C$2:$C$100,MATCH($Y848,'Weapons Database'!$A$2:$A$100,0))&amp;" "&amp;INDEX('Weapons Database'!$D$2:$D$100,MATCH($Y848,'Weapons Database'!$A$2:$A$100,0)),""))</x:f>
      </x:c>
      <x:c r="AA848" t="str">
        <x:f>IF($Y848="","","Weapons Database")</x:f>
      </x:c>
    </x:row>
    <x:row r="849">
      <x:c r="Z849" t="str">
        <x:f>IF($Y849="","",IFERROR(INDEX('Weapons Database'!$C$2:$C$100,MATCH($Y849,'Weapons Database'!$A$2:$A$100,0))&amp;" "&amp;INDEX('Weapons Database'!$D$2:$D$100,MATCH($Y849,'Weapons Database'!$A$2:$A$100,0)),""))</x:f>
      </x:c>
      <x:c r="AA849" t="str">
        <x:f>IF($Y849="","","Weapons Database")</x:f>
      </x:c>
    </x:row>
    <x:row r="850">
      <x:c r="Z850" t="str">
        <x:f>IF($Y850="","",IFERROR(INDEX('Weapons Database'!$C$2:$C$100,MATCH($Y850,'Weapons Database'!$A$2:$A$100,0))&amp;" "&amp;INDEX('Weapons Database'!$D$2:$D$100,MATCH($Y850,'Weapons Database'!$A$2:$A$100,0)),""))</x:f>
      </x:c>
      <x:c r="AA850" t="str">
        <x:f>IF($Y850="","","Weapons Database")</x:f>
      </x:c>
    </x:row>
    <x:row r="851">
      <x:c r="Z851" t="str">
        <x:f>IF($Y851="","",IFERROR(INDEX('Weapons Database'!$C$2:$C$100,MATCH($Y851,'Weapons Database'!$A$2:$A$100,0))&amp;" "&amp;INDEX('Weapons Database'!$D$2:$D$100,MATCH($Y851,'Weapons Database'!$A$2:$A$100,0)),""))</x:f>
      </x:c>
      <x:c r="AA851" t="str">
        <x:f>IF($Y851="","","Weapons Database")</x:f>
      </x:c>
    </x:row>
    <x:row r="852">
      <x:c r="Z852" t="str">
        <x:f>IF($Y852="","",IFERROR(INDEX('Weapons Database'!$C$2:$C$100,MATCH($Y852,'Weapons Database'!$A$2:$A$100,0))&amp;" "&amp;INDEX('Weapons Database'!$D$2:$D$100,MATCH($Y852,'Weapons Database'!$A$2:$A$100,0)),""))</x:f>
      </x:c>
      <x:c r="AA852" t="str">
        <x:f>IF($Y852="","","Weapons Database")</x:f>
      </x:c>
    </x:row>
    <x:row r="853">
      <x:c r="Z853" t="str">
        <x:f>IF($Y853="","",IFERROR(INDEX('Weapons Database'!$C$2:$C$100,MATCH($Y853,'Weapons Database'!$A$2:$A$100,0))&amp;" "&amp;INDEX('Weapons Database'!$D$2:$D$100,MATCH($Y853,'Weapons Database'!$A$2:$A$100,0)),""))</x:f>
      </x:c>
      <x:c r="AA853" t="str">
        <x:f>IF($Y853="","","Weapons Database")</x:f>
      </x:c>
    </x:row>
    <x:row r="854">
      <x:c r="Z854" t="str">
        <x:f>IF($Y854="","",IFERROR(INDEX('Weapons Database'!$C$2:$C$100,MATCH($Y854,'Weapons Database'!$A$2:$A$100,0))&amp;" "&amp;INDEX('Weapons Database'!$D$2:$D$100,MATCH($Y854,'Weapons Database'!$A$2:$A$100,0)),""))</x:f>
      </x:c>
      <x:c r="AA854" t="str">
        <x:f>IF($Y854="","","Weapons Database")</x:f>
      </x:c>
    </x:row>
    <x:row r="855">
      <x:c r="Z855" t="str">
        <x:f>IF($Y855="","",IFERROR(INDEX('Weapons Database'!$C$2:$C$100,MATCH($Y855,'Weapons Database'!$A$2:$A$100,0))&amp;" "&amp;INDEX('Weapons Database'!$D$2:$D$100,MATCH($Y855,'Weapons Database'!$A$2:$A$100,0)),""))</x:f>
      </x:c>
      <x:c r="AA855" t="str">
        <x:f>IF($Y855="","","Weapons Database")</x:f>
      </x:c>
    </x:row>
    <x:row r="856">
      <x:c r="Z856" t="str">
        <x:f>IF($Y856="","",IFERROR(INDEX('Weapons Database'!$C$2:$C$100,MATCH($Y856,'Weapons Database'!$A$2:$A$100,0))&amp;" "&amp;INDEX('Weapons Database'!$D$2:$D$100,MATCH($Y856,'Weapons Database'!$A$2:$A$100,0)),""))</x:f>
      </x:c>
      <x:c r="AA856" t="str">
        <x:f>IF($Y856="","","Weapons Database")</x:f>
      </x:c>
    </x:row>
    <x:row r="857">
      <x:c r="Z857" t="str">
        <x:f>IF($Y857="","",IFERROR(INDEX('Weapons Database'!$C$2:$C$100,MATCH($Y857,'Weapons Database'!$A$2:$A$100,0))&amp;" "&amp;INDEX('Weapons Database'!$D$2:$D$100,MATCH($Y857,'Weapons Database'!$A$2:$A$100,0)),""))</x:f>
      </x:c>
      <x:c r="AA857" t="str">
        <x:f>IF($Y857="","","Weapons Database")</x:f>
      </x:c>
    </x:row>
    <x:row r="858">
      <x:c r="Z858" t="str">
        <x:f>IF($Y858="","",IFERROR(INDEX('Weapons Database'!$C$2:$C$100,MATCH($Y858,'Weapons Database'!$A$2:$A$100,0))&amp;" "&amp;INDEX('Weapons Database'!$D$2:$D$100,MATCH($Y858,'Weapons Database'!$A$2:$A$100,0)),""))</x:f>
      </x:c>
      <x:c r="AA858" t="str">
        <x:f>IF($Y858="","","Weapons Database")</x:f>
      </x:c>
    </x:row>
    <x:row r="859">
      <x:c r="Z859" t="str">
        <x:f>IF($Y859="","",IFERROR(INDEX('Weapons Database'!$C$2:$C$100,MATCH($Y859,'Weapons Database'!$A$2:$A$100,0))&amp;" "&amp;INDEX('Weapons Database'!$D$2:$D$100,MATCH($Y859,'Weapons Database'!$A$2:$A$100,0)),""))</x:f>
      </x:c>
      <x:c r="AA859" t="str">
        <x:f>IF($Y859="","","Weapons Database")</x:f>
      </x:c>
    </x:row>
    <x:row r="860">
      <x:c r="Z860" t="str">
        <x:f>IF($Y860="","",IFERROR(INDEX('Weapons Database'!$C$2:$C$100,MATCH($Y860,'Weapons Database'!$A$2:$A$100,0))&amp;" "&amp;INDEX('Weapons Database'!$D$2:$D$100,MATCH($Y860,'Weapons Database'!$A$2:$A$100,0)),""))</x:f>
      </x:c>
      <x:c r="AA860" t="str">
        <x:f>IF($Y860="","","Weapons Database")</x:f>
      </x:c>
    </x:row>
    <x:row r="861">
      <x:c r="Z861" t="str">
        <x:f>IF($Y861="","",IFERROR(INDEX('Weapons Database'!$C$2:$C$100,MATCH($Y861,'Weapons Database'!$A$2:$A$100,0))&amp;" "&amp;INDEX('Weapons Database'!$D$2:$D$100,MATCH($Y861,'Weapons Database'!$A$2:$A$100,0)),""))</x:f>
      </x:c>
      <x:c r="AA861" t="str">
        <x:f>IF($Y861="","","Weapons Database")</x:f>
      </x:c>
    </x:row>
    <x:row r="862">
      <x:c r="Z862" t="str">
        <x:f>IF($Y862="","",IFERROR(INDEX('Weapons Database'!$C$2:$C$100,MATCH($Y862,'Weapons Database'!$A$2:$A$100,0))&amp;" "&amp;INDEX('Weapons Database'!$D$2:$D$100,MATCH($Y862,'Weapons Database'!$A$2:$A$100,0)),""))</x:f>
      </x:c>
      <x:c r="AA862" t="str">
        <x:f>IF($Y862="","","Weapons Database")</x:f>
      </x:c>
    </x:row>
    <x:row r="863">
      <x:c r="Z863" t="str">
        <x:f>IF($Y863="","",IFERROR(INDEX('Weapons Database'!$C$2:$C$100,MATCH($Y863,'Weapons Database'!$A$2:$A$100,0))&amp;" "&amp;INDEX('Weapons Database'!$D$2:$D$100,MATCH($Y863,'Weapons Database'!$A$2:$A$100,0)),""))</x:f>
      </x:c>
      <x:c r="AA863" t="str">
        <x:f>IF($Y863="","","Weapons Database")</x:f>
      </x:c>
    </x:row>
    <x:row r="864">
      <x:c r="Z864" t="str">
        <x:f>IF($Y864="","",IFERROR(INDEX('Weapons Database'!$C$2:$C$100,MATCH($Y864,'Weapons Database'!$A$2:$A$100,0))&amp;" "&amp;INDEX('Weapons Database'!$D$2:$D$100,MATCH($Y864,'Weapons Database'!$A$2:$A$100,0)),""))</x:f>
      </x:c>
      <x:c r="AA864" t="str">
        <x:f>IF($Y864="","","Weapons Database")</x:f>
      </x:c>
    </x:row>
    <x:row r="865">
      <x:c r="Z865" t="str">
        <x:f>IF($Y865="","",IFERROR(INDEX('Weapons Database'!$C$2:$C$100,MATCH($Y865,'Weapons Database'!$A$2:$A$100,0))&amp;" "&amp;INDEX('Weapons Database'!$D$2:$D$100,MATCH($Y865,'Weapons Database'!$A$2:$A$100,0)),""))</x:f>
      </x:c>
      <x:c r="AA865" t="str">
        <x:f>IF($Y865="","","Weapons Database")</x:f>
      </x:c>
    </x:row>
    <x:row r="866">
      <x:c r="Z866" t="str">
        <x:f>IF($Y866="","",IFERROR(INDEX('Weapons Database'!$C$2:$C$100,MATCH($Y866,'Weapons Database'!$A$2:$A$100,0))&amp;" "&amp;INDEX('Weapons Database'!$D$2:$D$100,MATCH($Y866,'Weapons Database'!$A$2:$A$100,0)),""))</x:f>
      </x:c>
      <x:c r="AA866" t="str">
        <x:f>IF($Y866="","","Weapons Database")</x:f>
      </x:c>
    </x:row>
    <x:row r="867">
      <x:c r="Z867" t="str">
        <x:f>IF($Y867="","",IFERROR(INDEX('Weapons Database'!$C$2:$C$100,MATCH($Y867,'Weapons Database'!$A$2:$A$100,0))&amp;" "&amp;INDEX('Weapons Database'!$D$2:$D$100,MATCH($Y867,'Weapons Database'!$A$2:$A$100,0)),""))</x:f>
      </x:c>
      <x:c r="AA867" t="str">
        <x:f>IF($Y867="","","Weapons Database")</x:f>
      </x:c>
    </x:row>
    <x:row r="868">
      <x:c r="Z868" t="str">
        <x:f>IF($Y868="","",IFERROR(INDEX('Weapons Database'!$C$2:$C$100,MATCH($Y868,'Weapons Database'!$A$2:$A$100,0))&amp;" "&amp;INDEX('Weapons Database'!$D$2:$D$100,MATCH($Y868,'Weapons Database'!$A$2:$A$100,0)),""))</x:f>
      </x:c>
      <x:c r="AA868" t="str">
        <x:f>IF($Y868="","","Weapons Database")</x:f>
      </x:c>
    </x:row>
    <x:row r="869">
      <x:c r="Z869" t="str">
        <x:f>IF($Y869="","",IFERROR(INDEX('Weapons Database'!$C$2:$C$100,MATCH($Y869,'Weapons Database'!$A$2:$A$100,0))&amp;" "&amp;INDEX('Weapons Database'!$D$2:$D$100,MATCH($Y869,'Weapons Database'!$A$2:$A$100,0)),""))</x:f>
      </x:c>
      <x:c r="AA869" t="str">
        <x:f>IF($Y869="","","Weapons Database")</x:f>
      </x:c>
    </x:row>
    <x:row r="870">
      <x:c r="Z870" t="str">
        <x:f>IF($Y870="","",IFERROR(INDEX('Weapons Database'!$C$2:$C$100,MATCH($Y870,'Weapons Database'!$A$2:$A$100,0))&amp;" "&amp;INDEX('Weapons Database'!$D$2:$D$100,MATCH($Y870,'Weapons Database'!$A$2:$A$100,0)),""))</x:f>
      </x:c>
      <x:c r="AA870" t="str">
        <x:f>IF($Y870="","","Weapons Database")</x:f>
      </x:c>
    </x:row>
    <x:row r="871">
      <x:c r="Z871" t="str">
        <x:f>IF($Y871="","",IFERROR(INDEX('Weapons Database'!$C$2:$C$100,MATCH($Y871,'Weapons Database'!$A$2:$A$100,0))&amp;" "&amp;INDEX('Weapons Database'!$D$2:$D$100,MATCH($Y871,'Weapons Database'!$A$2:$A$100,0)),""))</x:f>
      </x:c>
      <x:c r="AA871" t="str">
        <x:f>IF($Y871="","","Weapons Database")</x:f>
      </x:c>
    </x:row>
    <x:row r="872">
      <x:c r="Z872" t="str">
        <x:f>IF($Y872="","",IFERROR(INDEX('Weapons Database'!$C$2:$C$100,MATCH($Y872,'Weapons Database'!$A$2:$A$100,0))&amp;" "&amp;INDEX('Weapons Database'!$D$2:$D$100,MATCH($Y872,'Weapons Database'!$A$2:$A$100,0)),""))</x:f>
      </x:c>
      <x:c r="AA872" t="str">
        <x:f>IF($Y872="","","Weapons Database")</x:f>
      </x:c>
    </x:row>
    <x:row r="873">
      <x:c r="Z873" t="str">
        <x:f>IF($Y873="","",IFERROR(INDEX('Weapons Database'!$C$2:$C$100,MATCH($Y873,'Weapons Database'!$A$2:$A$100,0))&amp;" "&amp;INDEX('Weapons Database'!$D$2:$D$100,MATCH($Y873,'Weapons Database'!$A$2:$A$100,0)),""))</x:f>
      </x:c>
      <x:c r="AA873" t="str">
        <x:f>IF($Y873="","","Weapons Database")</x:f>
      </x:c>
    </x:row>
    <x:row r="874">
      <x:c r="Z874" t="str">
        <x:f>IF($Y874="","",IFERROR(INDEX('Weapons Database'!$C$2:$C$100,MATCH($Y874,'Weapons Database'!$A$2:$A$100,0))&amp;" "&amp;INDEX('Weapons Database'!$D$2:$D$100,MATCH($Y874,'Weapons Database'!$A$2:$A$100,0)),""))</x:f>
      </x:c>
      <x:c r="AA874" t="str">
        <x:f>IF($Y874="","","Weapons Database")</x:f>
      </x:c>
    </x:row>
    <x:row r="875">
      <x:c r="Z875" t="str">
        <x:f>IF($Y875="","",IFERROR(INDEX('Weapons Database'!$C$2:$C$100,MATCH($Y875,'Weapons Database'!$A$2:$A$100,0))&amp;" "&amp;INDEX('Weapons Database'!$D$2:$D$100,MATCH($Y875,'Weapons Database'!$A$2:$A$100,0)),""))</x:f>
      </x:c>
      <x:c r="AA875" t="str">
        <x:f>IF($Y875="","","Weapons Database")</x:f>
      </x:c>
    </x:row>
    <x:row r="876">
      <x:c r="Z876" t="str">
        <x:f>IF($Y876="","",IFERROR(INDEX('Weapons Database'!$C$2:$C$100,MATCH($Y876,'Weapons Database'!$A$2:$A$100,0))&amp;" "&amp;INDEX('Weapons Database'!$D$2:$D$100,MATCH($Y876,'Weapons Database'!$A$2:$A$100,0)),""))</x:f>
      </x:c>
      <x:c r="AA876" t="str">
        <x:f>IF($Y876="","","Weapons Database")</x:f>
      </x:c>
    </x:row>
    <x:row r="877">
      <x:c r="Z877" t="str">
        <x:f>IF($Y877="","",IFERROR(INDEX('Weapons Database'!$C$2:$C$100,MATCH($Y877,'Weapons Database'!$A$2:$A$100,0))&amp;" "&amp;INDEX('Weapons Database'!$D$2:$D$100,MATCH($Y877,'Weapons Database'!$A$2:$A$100,0)),""))</x:f>
      </x:c>
      <x:c r="AA877" t="str">
        <x:f>IF($Y877="","","Weapons Database")</x:f>
      </x:c>
    </x:row>
    <x:row r="878">
      <x:c r="Z878" t="str">
        <x:f>IF($Y878="","",IFERROR(INDEX('Weapons Database'!$C$2:$C$100,MATCH($Y878,'Weapons Database'!$A$2:$A$100,0))&amp;" "&amp;INDEX('Weapons Database'!$D$2:$D$100,MATCH($Y878,'Weapons Database'!$A$2:$A$100,0)),""))</x:f>
      </x:c>
      <x:c r="AA878" t="str">
        <x:f>IF($Y878="","","Weapons Database")</x:f>
      </x:c>
    </x:row>
    <x:row r="879">
      <x:c r="Z879" t="str">
        <x:f>IF($Y879="","",IFERROR(INDEX('Weapons Database'!$C$2:$C$100,MATCH($Y879,'Weapons Database'!$A$2:$A$100,0))&amp;" "&amp;INDEX('Weapons Database'!$D$2:$D$100,MATCH($Y879,'Weapons Database'!$A$2:$A$100,0)),""))</x:f>
      </x:c>
      <x:c r="AA879" t="str">
        <x:f>IF($Y879="","","Weapons Database")</x:f>
      </x:c>
    </x:row>
    <x:row r="880">
      <x:c r="Z880" t="str">
        <x:f>IF($Y880="","",IFERROR(INDEX('Weapons Database'!$C$2:$C$100,MATCH($Y880,'Weapons Database'!$A$2:$A$100,0))&amp;" "&amp;INDEX('Weapons Database'!$D$2:$D$100,MATCH($Y880,'Weapons Database'!$A$2:$A$100,0)),""))</x:f>
      </x:c>
      <x:c r="AA880" t="str">
        <x:f>IF($Y880="","","Weapons Database")</x:f>
      </x:c>
    </x:row>
    <x:row r="881">
      <x:c r="Z881" t="str">
        <x:f>IF($Y881="","",IFERROR(INDEX('Weapons Database'!$C$2:$C$100,MATCH($Y881,'Weapons Database'!$A$2:$A$100,0))&amp;" "&amp;INDEX('Weapons Database'!$D$2:$D$100,MATCH($Y881,'Weapons Database'!$A$2:$A$100,0)),""))</x:f>
      </x:c>
      <x:c r="AA881" t="str">
        <x:f>IF($Y881="","","Weapons Database")</x:f>
      </x:c>
    </x:row>
    <x:row r="882">
      <x:c r="Z882" t="str">
        <x:f>IF($Y882="","",IFERROR(INDEX('Weapons Database'!$C$2:$C$100,MATCH($Y882,'Weapons Database'!$A$2:$A$100,0))&amp;" "&amp;INDEX('Weapons Database'!$D$2:$D$100,MATCH($Y882,'Weapons Database'!$A$2:$A$100,0)),""))</x:f>
      </x:c>
      <x:c r="AA882" t="str">
        <x:f>IF($Y882="","","Weapons Database")</x:f>
      </x:c>
    </x:row>
    <x:row r="883">
      <x:c r="Z883" t="str">
        <x:f>IF($Y883="","",IFERROR(INDEX('Weapons Database'!$C$2:$C$100,MATCH($Y883,'Weapons Database'!$A$2:$A$100,0))&amp;" "&amp;INDEX('Weapons Database'!$D$2:$D$100,MATCH($Y883,'Weapons Database'!$A$2:$A$100,0)),""))</x:f>
      </x:c>
      <x:c r="AA883" t="str">
        <x:f>IF($Y883="","","Weapons Database")</x:f>
      </x:c>
    </x:row>
    <x:row r="884">
      <x:c r="Z884" t="str">
        <x:f>IF($Y884="","",IFERROR(INDEX('Weapons Database'!$C$2:$C$100,MATCH($Y884,'Weapons Database'!$A$2:$A$100,0))&amp;" "&amp;INDEX('Weapons Database'!$D$2:$D$100,MATCH($Y884,'Weapons Database'!$A$2:$A$100,0)),""))</x:f>
      </x:c>
      <x:c r="AA884" t="str">
        <x:f>IF($Y884="","","Weapons Database")</x:f>
      </x:c>
    </x:row>
    <x:row r="885">
      <x:c r="Z885" t="str">
        <x:f>IF($Y885="","",IFERROR(INDEX('Weapons Database'!$C$2:$C$100,MATCH($Y885,'Weapons Database'!$A$2:$A$100,0))&amp;" "&amp;INDEX('Weapons Database'!$D$2:$D$100,MATCH($Y885,'Weapons Database'!$A$2:$A$100,0)),""))</x:f>
      </x:c>
      <x:c r="AA885" t="str">
        <x:f>IF($Y885="","","Weapons Database")</x:f>
      </x:c>
    </x:row>
    <x:row r="886">
      <x:c r="Z886" t="str">
        <x:f>IF($Y886="","",IFERROR(INDEX('Weapons Database'!$C$2:$C$100,MATCH($Y886,'Weapons Database'!$A$2:$A$100,0))&amp;" "&amp;INDEX('Weapons Database'!$D$2:$D$100,MATCH($Y886,'Weapons Database'!$A$2:$A$100,0)),""))</x:f>
      </x:c>
      <x:c r="AA886" t="str">
        <x:f>IF($Y886="","","Weapons Database")</x:f>
      </x:c>
    </x:row>
    <x:row r="887">
      <x:c r="Z887" t="str">
        <x:f>IF($Y887="","",IFERROR(INDEX('Weapons Database'!$C$2:$C$100,MATCH($Y887,'Weapons Database'!$A$2:$A$100,0))&amp;" "&amp;INDEX('Weapons Database'!$D$2:$D$100,MATCH($Y887,'Weapons Database'!$A$2:$A$100,0)),""))</x:f>
      </x:c>
      <x:c r="AA887" t="str">
        <x:f>IF($Y887="","","Weapons Database")</x:f>
      </x:c>
    </x:row>
    <x:row r="888">
      <x:c r="Z888" t="str">
        <x:f>IF($Y888="","",IFERROR(INDEX('Weapons Database'!$C$2:$C$100,MATCH($Y888,'Weapons Database'!$A$2:$A$100,0))&amp;" "&amp;INDEX('Weapons Database'!$D$2:$D$100,MATCH($Y888,'Weapons Database'!$A$2:$A$100,0)),""))</x:f>
      </x:c>
      <x:c r="AA888" t="str">
        <x:f>IF($Y888="","","Weapons Database")</x:f>
      </x:c>
    </x:row>
    <x:row r="889">
      <x:c r="Z889" t="str">
        <x:f>IF($Y889="","",IFERROR(INDEX('Weapons Database'!$C$2:$C$100,MATCH($Y889,'Weapons Database'!$A$2:$A$100,0))&amp;" "&amp;INDEX('Weapons Database'!$D$2:$D$100,MATCH($Y889,'Weapons Database'!$A$2:$A$100,0)),""))</x:f>
      </x:c>
      <x:c r="AA889" t="str">
        <x:f>IF($Y889="","","Weapons Database")</x:f>
      </x:c>
    </x:row>
    <x:row r="890">
      <x:c r="Z890" t="str">
        <x:f>IF($Y890="","",IFERROR(INDEX('Weapons Database'!$C$2:$C$100,MATCH($Y890,'Weapons Database'!$A$2:$A$100,0))&amp;" "&amp;INDEX('Weapons Database'!$D$2:$D$100,MATCH($Y890,'Weapons Database'!$A$2:$A$100,0)),""))</x:f>
      </x:c>
      <x:c r="AA890" t="str">
        <x:f>IF($Y890="","","Weapons Database")</x:f>
      </x:c>
    </x:row>
    <x:row r="891">
      <x:c r="Z891" t="str">
        <x:f>IF($Y891="","",IFERROR(INDEX('Weapons Database'!$C$2:$C$100,MATCH($Y891,'Weapons Database'!$A$2:$A$100,0))&amp;" "&amp;INDEX('Weapons Database'!$D$2:$D$100,MATCH($Y891,'Weapons Database'!$A$2:$A$100,0)),""))</x:f>
      </x:c>
      <x:c r="AA891" t="str">
        <x:f>IF($Y891="","","Weapons Database")</x:f>
      </x:c>
    </x:row>
    <x:row r="892">
      <x:c r="Z892" t="str">
        <x:f>IF($Y892="","",IFERROR(INDEX('Weapons Database'!$C$2:$C$100,MATCH($Y892,'Weapons Database'!$A$2:$A$100,0))&amp;" "&amp;INDEX('Weapons Database'!$D$2:$D$100,MATCH($Y892,'Weapons Database'!$A$2:$A$100,0)),""))</x:f>
      </x:c>
      <x:c r="AA892" t="str">
        <x:f>IF($Y892="","","Weapons Database")</x:f>
      </x:c>
    </x:row>
    <x:row r="893">
      <x:c r="Z893" t="str">
        <x:f>IF($Y893="","",IFERROR(INDEX('Weapons Database'!$C$2:$C$100,MATCH($Y893,'Weapons Database'!$A$2:$A$100,0))&amp;" "&amp;INDEX('Weapons Database'!$D$2:$D$100,MATCH($Y893,'Weapons Database'!$A$2:$A$100,0)),""))</x:f>
      </x:c>
      <x:c r="AA893" t="str">
        <x:f>IF($Y893="","","Weapons Database")</x:f>
      </x:c>
    </x:row>
    <x:row r="894">
      <x:c r="Z894" t="str">
        <x:f>IF($Y894="","",IFERROR(INDEX('Weapons Database'!$C$2:$C$100,MATCH($Y894,'Weapons Database'!$A$2:$A$100,0))&amp;" "&amp;INDEX('Weapons Database'!$D$2:$D$100,MATCH($Y894,'Weapons Database'!$A$2:$A$100,0)),""))</x:f>
      </x:c>
      <x:c r="AA894" t="str">
        <x:f>IF($Y894="","","Weapons Database")</x:f>
      </x:c>
    </x:row>
    <x:row r="895">
      <x:c r="Z895" t="str">
        <x:f>IF($Y895="","",IFERROR(INDEX('Weapons Database'!$C$2:$C$100,MATCH($Y895,'Weapons Database'!$A$2:$A$100,0))&amp;" "&amp;INDEX('Weapons Database'!$D$2:$D$100,MATCH($Y895,'Weapons Database'!$A$2:$A$100,0)),""))</x:f>
      </x:c>
      <x:c r="AA895" t="str">
        <x:f>IF($Y895="","","Weapons Database")</x:f>
      </x:c>
    </x:row>
    <x:row r="896">
      <x:c r="Z896" t="str">
        <x:f>IF($Y896="","",IFERROR(INDEX('Weapons Database'!$C$2:$C$100,MATCH($Y896,'Weapons Database'!$A$2:$A$100,0))&amp;" "&amp;INDEX('Weapons Database'!$D$2:$D$100,MATCH($Y896,'Weapons Database'!$A$2:$A$100,0)),""))</x:f>
      </x:c>
      <x:c r="AA896" t="str">
        <x:f>IF($Y896="","","Weapons Database")</x:f>
      </x:c>
    </x:row>
    <x:row r="897">
      <x:c r="Z897" t="str">
        <x:f>IF($Y897="","",IFERROR(INDEX('Weapons Database'!$C$2:$C$100,MATCH($Y897,'Weapons Database'!$A$2:$A$100,0))&amp;" "&amp;INDEX('Weapons Database'!$D$2:$D$100,MATCH($Y897,'Weapons Database'!$A$2:$A$100,0)),""))</x:f>
      </x:c>
      <x:c r="AA897" t="str">
        <x:f>IF($Y897="","","Weapons Database")</x:f>
      </x:c>
    </x:row>
    <x:row r="898">
      <x:c r="Z898" t="str">
        <x:f>IF($Y898="","",IFERROR(INDEX('Weapons Database'!$C$2:$C$100,MATCH($Y898,'Weapons Database'!$A$2:$A$100,0))&amp;" "&amp;INDEX('Weapons Database'!$D$2:$D$100,MATCH($Y898,'Weapons Database'!$A$2:$A$100,0)),""))</x:f>
      </x:c>
      <x:c r="AA898" t="str">
        <x:f>IF($Y898="","","Weapons Database")</x:f>
      </x:c>
    </x:row>
    <x:row r="899">
      <x:c r="Z899" t="str">
        <x:f>IF($Y899="","",IFERROR(INDEX('Weapons Database'!$C$2:$C$100,MATCH($Y899,'Weapons Database'!$A$2:$A$100,0))&amp;" "&amp;INDEX('Weapons Database'!$D$2:$D$100,MATCH($Y899,'Weapons Database'!$A$2:$A$100,0)),""))</x:f>
      </x:c>
      <x:c r="AA899" t="str">
        <x:f>IF($Y899="","","Weapons Database")</x:f>
      </x:c>
    </x:row>
    <x:row r="900">
      <x:c r="Z900" t="str">
        <x:f>IF($Y900="","",IFERROR(INDEX('Weapons Database'!$C$2:$C$100,MATCH($Y900,'Weapons Database'!$A$2:$A$100,0))&amp;" "&amp;INDEX('Weapons Database'!$D$2:$D$100,MATCH($Y900,'Weapons Database'!$A$2:$A$100,0)),""))</x:f>
      </x:c>
      <x:c r="AA900" t="str">
        <x:f>IF($Y900="","","Weapons Database")</x:f>
      </x:c>
    </x:row>
    <x:row r="901">
      <x:c r="Z901" t="str">
        <x:f>IF($Y901="","",IFERROR(INDEX('Weapons Database'!$C$2:$C$100,MATCH($Y901,'Weapons Database'!$A$2:$A$100,0))&amp;" "&amp;INDEX('Weapons Database'!$D$2:$D$100,MATCH($Y901,'Weapons Database'!$A$2:$A$100,0)),""))</x:f>
      </x:c>
      <x:c r="AA901" t="str">
        <x:f>IF($Y901="","","Weapons Database")</x:f>
      </x:c>
    </x:row>
    <x:row r="902">
      <x:c r="Z902" t="str">
        <x:f>IF($Y902="","",IFERROR(INDEX('Weapons Database'!$C$2:$C$100,MATCH($Y902,'Weapons Database'!$A$2:$A$100,0))&amp;" "&amp;INDEX('Weapons Database'!$D$2:$D$100,MATCH($Y902,'Weapons Database'!$A$2:$A$100,0)),""))</x:f>
      </x:c>
      <x:c r="AA902" t="str">
        <x:f>IF($Y902="","","Weapons Database")</x:f>
      </x:c>
    </x:row>
    <x:row r="903">
      <x:c r="Z903" t="str">
        <x:f>IF($Y903="","",IFERROR(INDEX('Weapons Database'!$C$2:$C$100,MATCH($Y903,'Weapons Database'!$A$2:$A$100,0))&amp;" "&amp;INDEX('Weapons Database'!$D$2:$D$100,MATCH($Y903,'Weapons Database'!$A$2:$A$100,0)),""))</x:f>
      </x:c>
      <x:c r="AA903" t="str">
        <x:f>IF($Y903="","","Weapons Database")</x:f>
      </x:c>
    </x:row>
    <x:row r="904">
      <x:c r="Z904" t="str">
        <x:f>IF($Y904="","",IFERROR(INDEX('Weapons Database'!$C$2:$C$100,MATCH($Y904,'Weapons Database'!$A$2:$A$100,0))&amp;" "&amp;INDEX('Weapons Database'!$D$2:$D$100,MATCH($Y904,'Weapons Database'!$A$2:$A$100,0)),""))</x:f>
      </x:c>
      <x:c r="AA904" t="str">
        <x:f>IF($Y904="","","Weapons Database")</x:f>
      </x:c>
    </x:row>
    <x:row r="905">
      <x:c r="Z905" t="str">
        <x:f>IF($Y905="","",IFERROR(INDEX('Weapons Database'!$C$2:$C$100,MATCH($Y905,'Weapons Database'!$A$2:$A$100,0))&amp;" "&amp;INDEX('Weapons Database'!$D$2:$D$100,MATCH($Y905,'Weapons Database'!$A$2:$A$100,0)),""))</x:f>
      </x:c>
      <x:c r="AA905" t="str">
        <x:f>IF($Y905="","","Weapons Database")</x:f>
      </x:c>
    </x:row>
    <x:row r="906">
      <x:c r="Z906" t="str">
        <x:f>IF($Y906="","",IFERROR(INDEX('Weapons Database'!$C$2:$C$100,MATCH($Y906,'Weapons Database'!$A$2:$A$100,0))&amp;" "&amp;INDEX('Weapons Database'!$D$2:$D$100,MATCH($Y906,'Weapons Database'!$A$2:$A$100,0)),""))</x:f>
      </x:c>
      <x:c r="AA906" t="str">
        <x:f>IF($Y906="","","Weapons Database")</x:f>
      </x:c>
    </x:row>
    <x:row r="907">
      <x:c r="Z907" t="str">
        <x:f>IF($Y907="","",IFERROR(INDEX('Weapons Database'!$C$2:$C$100,MATCH($Y907,'Weapons Database'!$A$2:$A$100,0))&amp;" "&amp;INDEX('Weapons Database'!$D$2:$D$100,MATCH($Y907,'Weapons Database'!$A$2:$A$100,0)),""))</x:f>
      </x:c>
      <x:c r="AA907" t="str">
        <x:f>IF($Y907="","","Weapons Database")</x:f>
      </x:c>
    </x:row>
    <x:row r="908">
      <x:c r="Z908" t="str">
        <x:f>IF($Y908="","",IFERROR(INDEX('Weapons Database'!$C$2:$C$100,MATCH($Y908,'Weapons Database'!$A$2:$A$100,0))&amp;" "&amp;INDEX('Weapons Database'!$D$2:$D$100,MATCH($Y908,'Weapons Database'!$A$2:$A$100,0)),""))</x:f>
      </x:c>
      <x:c r="AA908" t="str">
        <x:f>IF($Y908="","","Weapons Database")</x:f>
      </x:c>
    </x:row>
    <x:row r="909">
      <x:c r="Z909" t="str">
        <x:f>IF($Y909="","",IFERROR(INDEX('Weapons Database'!$C$2:$C$100,MATCH($Y909,'Weapons Database'!$A$2:$A$100,0))&amp;" "&amp;INDEX('Weapons Database'!$D$2:$D$100,MATCH($Y909,'Weapons Database'!$A$2:$A$100,0)),""))</x:f>
      </x:c>
      <x:c r="AA909" t="str">
        <x:f>IF($Y909="","","Weapons Database")</x:f>
      </x:c>
    </x:row>
    <x:row r="910">
      <x:c r="Z910" t="str">
        <x:f>IF($Y910="","",IFERROR(INDEX('Weapons Database'!$C$2:$C$100,MATCH($Y910,'Weapons Database'!$A$2:$A$100,0))&amp;" "&amp;INDEX('Weapons Database'!$D$2:$D$100,MATCH($Y910,'Weapons Database'!$A$2:$A$100,0)),""))</x:f>
      </x:c>
      <x:c r="AA910" t="str">
        <x:f>IF($Y910="","","Weapons Database")</x:f>
      </x:c>
    </x:row>
    <x:row r="911">
      <x:c r="Z911" t="str">
        <x:f>IF($Y911="","",IFERROR(INDEX('Weapons Database'!$C$2:$C$100,MATCH($Y911,'Weapons Database'!$A$2:$A$100,0))&amp;" "&amp;INDEX('Weapons Database'!$D$2:$D$100,MATCH($Y911,'Weapons Database'!$A$2:$A$100,0)),""))</x:f>
      </x:c>
      <x:c r="AA911" t="str">
        <x:f>IF($Y911="","","Weapons Database")</x:f>
      </x:c>
    </x:row>
    <x:row r="912">
      <x:c r="Z912" t="str">
        <x:f>IF($Y912="","",IFERROR(INDEX('Weapons Database'!$C$2:$C$100,MATCH($Y912,'Weapons Database'!$A$2:$A$100,0))&amp;" "&amp;INDEX('Weapons Database'!$D$2:$D$100,MATCH($Y912,'Weapons Database'!$A$2:$A$100,0)),""))</x:f>
      </x:c>
      <x:c r="AA912" t="str">
        <x:f>IF($Y912="","","Weapons Database")</x:f>
      </x:c>
    </x:row>
    <x:row r="913">
      <x:c r="Z913" t="str">
        <x:f>IF($Y913="","",IFERROR(INDEX('Weapons Database'!$C$2:$C$100,MATCH($Y913,'Weapons Database'!$A$2:$A$100,0))&amp;" "&amp;INDEX('Weapons Database'!$D$2:$D$100,MATCH($Y913,'Weapons Database'!$A$2:$A$100,0)),""))</x:f>
      </x:c>
      <x:c r="AA913" t="str">
        <x:f>IF($Y913="","","Weapons Database")</x:f>
      </x:c>
    </x:row>
    <x:row r="914">
      <x:c r="Z914" t="str">
        <x:f>IF($Y914="","",IFERROR(INDEX('Weapons Database'!$C$2:$C$100,MATCH($Y914,'Weapons Database'!$A$2:$A$100,0))&amp;" "&amp;INDEX('Weapons Database'!$D$2:$D$100,MATCH($Y914,'Weapons Database'!$A$2:$A$100,0)),""))</x:f>
      </x:c>
      <x:c r="AA914" t="str">
        <x:f>IF($Y914="","","Weapons Database")</x:f>
      </x:c>
    </x:row>
    <x:row r="915">
      <x:c r="Z915" t="str">
        <x:f>IF($Y915="","",IFERROR(INDEX('Weapons Database'!$C$2:$C$100,MATCH($Y915,'Weapons Database'!$A$2:$A$100,0))&amp;" "&amp;INDEX('Weapons Database'!$D$2:$D$100,MATCH($Y915,'Weapons Database'!$A$2:$A$100,0)),""))</x:f>
      </x:c>
      <x:c r="AA915" t="str">
        <x:f>IF($Y915="","","Weapons Database")</x:f>
      </x:c>
    </x:row>
    <x:row r="916">
      <x:c r="Z916" t="str">
        <x:f>IF($Y916="","",IFERROR(INDEX('Weapons Database'!$C$2:$C$100,MATCH($Y916,'Weapons Database'!$A$2:$A$100,0))&amp;" "&amp;INDEX('Weapons Database'!$D$2:$D$100,MATCH($Y916,'Weapons Database'!$A$2:$A$100,0)),""))</x:f>
      </x:c>
      <x:c r="AA916" t="str">
        <x:f>IF($Y916="","","Weapons Database")</x:f>
      </x:c>
    </x:row>
    <x:row r="917">
      <x:c r="Z917" t="str">
        <x:f>IF($Y917="","",IFERROR(INDEX('Weapons Database'!$C$2:$C$100,MATCH($Y917,'Weapons Database'!$A$2:$A$100,0))&amp;" "&amp;INDEX('Weapons Database'!$D$2:$D$100,MATCH($Y917,'Weapons Database'!$A$2:$A$100,0)),""))</x:f>
      </x:c>
      <x:c r="AA917" t="str">
        <x:f>IF($Y917="","","Weapons Database")</x:f>
      </x:c>
    </x:row>
    <x:row r="918">
      <x:c r="Z918" t="str">
        <x:f>IF($Y918="","",IFERROR(INDEX('Weapons Database'!$C$2:$C$100,MATCH($Y918,'Weapons Database'!$A$2:$A$100,0))&amp;" "&amp;INDEX('Weapons Database'!$D$2:$D$100,MATCH($Y918,'Weapons Database'!$A$2:$A$100,0)),""))</x:f>
      </x:c>
      <x:c r="AA918" t="str">
        <x:f>IF($Y918="","","Weapons Database")</x:f>
      </x:c>
    </x:row>
    <x:row r="919">
      <x:c r="Z919" t="str">
        <x:f>IF($Y919="","",IFERROR(INDEX('Weapons Database'!$C$2:$C$100,MATCH($Y919,'Weapons Database'!$A$2:$A$100,0))&amp;" "&amp;INDEX('Weapons Database'!$D$2:$D$100,MATCH($Y919,'Weapons Database'!$A$2:$A$100,0)),""))</x:f>
      </x:c>
      <x:c r="AA919" t="str">
        <x:f>IF($Y919="","","Weapons Database")</x:f>
      </x:c>
    </x:row>
    <x:row r="920">
      <x:c r="Z920" t="str">
        <x:f>IF($Y920="","",IFERROR(INDEX('Weapons Database'!$C$2:$C$100,MATCH($Y920,'Weapons Database'!$A$2:$A$100,0))&amp;" "&amp;INDEX('Weapons Database'!$D$2:$D$100,MATCH($Y920,'Weapons Database'!$A$2:$A$100,0)),""))</x:f>
      </x:c>
      <x:c r="AA920" t="str">
        <x:f>IF($Y920="","","Weapons Database")</x:f>
      </x:c>
    </x:row>
    <x:row r="921">
      <x:c r="Z921" t="str">
        <x:f>IF($Y921="","",IFERROR(INDEX('Weapons Database'!$C$2:$C$100,MATCH($Y921,'Weapons Database'!$A$2:$A$100,0))&amp;" "&amp;INDEX('Weapons Database'!$D$2:$D$100,MATCH($Y921,'Weapons Database'!$A$2:$A$100,0)),""))</x:f>
      </x:c>
      <x:c r="AA921" t="str">
        <x:f>IF($Y921="","","Weapons Database")</x:f>
      </x:c>
    </x:row>
    <x:row r="922">
      <x:c r="Z922" t="str">
        <x:f>IF($Y922="","",IFERROR(INDEX('Weapons Database'!$C$2:$C$100,MATCH($Y922,'Weapons Database'!$A$2:$A$100,0))&amp;" "&amp;INDEX('Weapons Database'!$D$2:$D$100,MATCH($Y922,'Weapons Database'!$A$2:$A$100,0)),""))</x:f>
      </x:c>
      <x:c r="AA922" t="str">
        <x:f>IF($Y922="","","Weapons Database")</x:f>
      </x:c>
    </x:row>
    <x:row r="923">
      <x:c r="Z923" t="str">
        <x:f>IF($Y923="","",IFERROR(INDEX('Weapons Database'!$C$2:$C$100,MATCH($Y923,'Weapons Database'!$A$2:$A$100,0))&amp;" "&amp;INDEX('Weapons Database'!$D$2:$D$100,MATCH($Y923,'Weapons Database'!$A$2:$A$100,0)),""))</x:f>
      </x:c>
      <x:c r="AA923" t="str">
        <x:f>IF($Y923="","","Weapons Database")</x:f>
      </x:c>
    </x:row>
    <x:row r="924">
      <x:c r="Z924" t="str">
        <x:f>IF($Y924="","",IFERROR(INDEX('Weapons Database'!$C$2:$C$100,MATCH($Y924,'Weapons Database'!$A$2:$A$100,0))&amp;" "&amp;INDEX('Weapons Database'!$D$2:$D$100,MATCH($Y924,'Weapons Database'!$A$2:$A$100,0)),""))</x:f>
      </x:c>
      <x:c r="AA924" t="str">
        <x:f>IF($Y924="","","Weapons Database")</x:f>
      </x:c>
    </x:row>
    <x:row r="925">
      <x:c r="Z925" t="str">
        <x:f>IF($Y925="","",IFERROR(INDEX('Weapons Database'!$C$2:$C$100,MATCH($Y925,'Weapons Database'!$A$2:$A$100,0))&amp;" "&amp;INDEX('Weapons Database'!$D$2:$D$100,MATCH($Y925,'Weapons Database'!$A$2:$A$100,0)),""))</x:f>
      </x:c>
      <x:c r="AA925" t="str">
        <x:f>IF($Y925="","","Weapons Database")</x:f>
      </x:c>
    </x:row>
    <x:row r="926">
      <x:c r="Z926" t="str">
        <x:f>IF($Y926="","",IFERROR(INDEX('Weapons Database'!$C$2:$C$100,MATCH($Y926,'Weapons Database'!$A$2:$A$100,0))&amp;" "&amp;INDEX('Weapons Database'!$D$2:$D$100,MATCH($Y926,'Weapons Database'!$A$2:$A$100,0)),""))</x:f>
      </x:c>
      <x:c r="AA926" t="str">
        <x:f>IF($Y926="","","Weapons Database")</x:f>
      </x:c>
    </x:row>
    <x:row r="927">
      <x:c r="Z927" t="str">
        <x:f>IF($Y927="","",IFERROR(INDEX('Weapons Database'!$C$2:$C$100,MATCH($Y927,'Weapons Database'!$A$2:$A$100,0))&amp;" "&amp;INDEX('Weapons Database'!$D$2:$D$100,MATCH($Y927,'Weapons Database'!$A$2:$A$100,0)),""))</x:f>
      </x:c>
      <x:c r="AA927" t="str">
        <x:f>IF($Y927="","","Weapons Database")</x:f>
      </x:c>
    </x:row>
    <x:row r="928">
      <x:c r="Z928" t="str">
        <x:f>IF($Y928="","",IFERROR(INDEX('Weapons Database'!$C$2:$C$100,MATCH($Y928,'Weapons Database'!$A$2:$A$100,0))&amp;" "&amp;INDEX('Weapons Database'!$D$2:$D$100,MATCH($Y928,'Weapons Database'!$A$2:$A$100,0)),""))</x:f>
      </x:c>
      <x:c r="AA928" t="str">
        <x:f>IF($Y928="","","Weapons Database")</x:f>
      </x:c>
    </x:row>
    <x:row r="929">
      <x:c r="Z929" t="str">
        <x:f>IF($Y929="","",IFERROR(INDEX('Weapons Database'!$C$2:$C$100,MATCH($Y929,'Weapons Database'!$A$2:$A$100,0))&amp;" "&amp;INDEX('Weapons Database'!$D$2:$D$100,MATCH($Y929,'Weapons Database'!$A$2:$A$100,0)),""))</x:f>
      </x:c>
      <x:c r="AA929" t="str">
        <x:f>IF($Y929="","","Weapons Database")</x:f>
      </x:c>
    </x:row>
    <x:row r="930">
      <x:c r="Z930" t="str">
        <x:f>IF($Y930="","",IFERROR(INDEX('Weapons Database'!$C$2:$C$100,MATCH($Y930,'Weapons Database'!$A$2:$A$100,0))&amp;" "&amp;INDEX('Weapons Database'!$D$2:$D$100,MATCH($Y930,'Weapons Database'!$A$2:$A$100,0)),""))</x:f>
      </x:c>
      <x:c r="AA930" t="str">
        <x:f>IF($Y930="","","Weapons Database")</x:f>
      </x:c>
    </x:row>
    <x:row r="931">
      <x:c r="Z931" t="str">
        <x:f>IF($Y931="","",IFERROR(INDEX('Weapons Database'!$C$2:$C$100,MATCH($Y931,'Weapons Database'!$A$2:$A$100,0))&amp;" "&amp;INDEX('Weapons Database'!$D$2:$D$100,MATCH($Y931,'Weapons Database'!$A$2:$A$100,0)),""))</x:f>
      </x:c>
      <x:c r="AA931" t="str">
        <x:f>IF($Y931="","","Weapons Database")</x:f>
      </x:c>
    </x:row>
    <x:row r="932">
      <x:c r="Z932" t="str">
        <x:f>IF($Y932="","",IFERROR(INDEX('Weapons Database'!$C$2:$C$100,MATCH($Y932,'Weapons Database'!$A$2:$A$100,0))&amp;" "&amp;INDEX('Weapons Database'!$D$2:$D$100,MATCH($Y932,'Weapons Database'!$A$2:$A$100,0)),""))</x:f>
      </x:c>
      <x:c r="AA932" t="str">
        <x:f>IF($Y932="","","Weapons Database")</x:f>
      </x:c>
    </x:row>
    <x:row r="933">
      <x:c r="Z933" t="str">
        <x:f>IF($Y933="","",IFERROR(INDEX('Weapons Database'!$C$2:$C$100,MATCH($Y933,'Weapons Database'!$A$2:$A$100,0))&amp;" "&amp;INDEX('Weapons Database'!$D$2:$D$100,MATCH($Y933,'Weapons Database'!$A$2:$A$100,0)),""))</x:f>
      </x:c>
      <x:c r="AA933" t="str">
        <x:f>IF($Y933="","","Weapons Database")</x:f>
      </x:c>
    </x:row>
    <x:row r="934">
      <x:c r="Z934" t="str">
        <x:f>IF($Y934="","",IFERROR(INDEX('Weapons Database'!$C$2:$C$100,MATCH($Y934,'Weapons Database'!$A$2:$A$100,0))&amp;" "&amp;INDEX('Weapons Database'!$D$2:$D$100,MATCH($Y934,'Weapons Database'!$A$2:$A$100,0)),""))</x:f>
      </x:c>
      <x:c r="AA934" t="str">
        <x:f>IF($Y934="","","Weapons Database")</x:f>
      </x:c>
    </x:row>
    <x:row r="935">
      <x:c r="Z935" t="str">
        <x:f>IF($Y935="","",IFERROR(INDEX('Weapons Database'!$C$2:$C$100,MATCH($Y935,'Weapons Database'!$A$2:$A$100,0))&amp;" "&amp;INDEX('Weapons Database'!$D$2:$D$100,MATCH($Y935,'Weapons Database'!$A$2:$A$100,0)),""))</x:f>
      </x:c>
      <x:c r="AA935" t="str">
        <x:f>IF($Y935="","","Weapons Database")</x:f>
      </x:c>
    </x:row>
    <x:row r="936">
      <x:c r="Z936" t="str">
        <x:f>IF($Y936="","",IFERROR(INDEX('Weapons Database'!$C$2:$C$100,MATCH($Y936,'Weapons Database'!$A$2:$A$100,0))&amp;" "&amp;INDEX('Weapons Database'!$D$2:$D$100,MATCH($Y936,'Weapons Database'!$A$2:$A$100,0)),""))</x:f>
      </x:c>
      <x:c r="AA936" t="str">
        <x:f>IF($Y936="","","Weapons Database")</x:f>
      </x:c>
    </x:row>
    <x:row r="937">
      <x:c r="Z937" t="str">
        <x:f>IF($Y937="","",IFERROR(INDEX('Weapons Database'!$C$2:$C$100,MATCH($Y937,'Weapons Database'!$A$2:$A$100,0))&amp;" "&amp;INDEX('Weapons Database'!$D$2:$D$100,MATCH($Y937,'Weapons Database'!$A$2:$A$100,0)),""))</x:f>
      </x:c>
      <x:c r="AA937" t="str">
        <x:f>IF($Y937="","","Weapons Database")</x:f>
      </x:c>
    </x:row>
    <x:row r="938">
      <x:c r="Z938" t="str">
        <x:f>IF($Y938="","",IFERROR(INDEX('Weapons Database'!$C$2:$C$100,MATCH($Y938,'Weapons Database'!$A$2:$A$100,0))&amp;" "&amp;INDEX('Weapons Database'!$D$2:$D$100,MATCH($Y938,'Weapons Database'!$A$2:$A$100,0)),""))</x:f>
      </x:c>
      <x:c r="AA938" t="str">
        <x:f>IF($Y938="","","Weapons Database")</x:f>
      </x:c>
    </x:row>
    <x:row r="939">
      <x:c r="Z939" t="str">
        <x:f>IF($Y939="","",IFERROR(INDEX('Weapons Database'!$C$2:$C$100,MATCH($Y939,'Weapons Database'!$A$2:$A$100,0))&amp;" "&amp;INDEX('Weapons Database'!$D$2:$D$100,MATCH($Y939,'Weapons Database'!$A$2:$A$100,0)),""))</x:f>
      </x:c>
      <x:c r="AA939" t="str">
        <x:f>IF($Y939="","","Weapons Database")</x:f>
      </x:c>
    </x:row>
    <x:row r="940">
      <x:c r="Z940" t="str">
        <x:f>IF($Y940="","",IFERROR(INDEX('Weapons Database'!$C$2:$C$100,MATCH($Y940,'Weapons Database'!$A$2:$A$100,0))&amp;" "&amp;INDEX('Weapons Database'!$D$2:$D$100,MATCH($Y940,'Weapons Database'!$A$2:$A$100,0)),""))</x:f>
      </x:c>
      <x:c r="AA940" t="str">
        <x:f>IF($Y940="","","Weapons Database")</x:f>
      </x:c>
    </x:row>
    <x:row r="941">
      <x:c r="Z941" t="str">
        <x:f>IF($Y941="","",IFERROR(INDEX('Weapons Database'!$C$2:$C$100,MATCH($Y941,'Weapons Database'!$A$2:$A$100,0))&amp;" "&amp;INDEX('Weapons Database'!$D$2:$D$100,MATCH($Y941,'Weapons Database'!$A$2:$A$100,0)),""))</x:f>
      </x:c>
      <x:c r="AA941" t="str">
        <x:f>IF($Y941="","","Weapons Database")</x:f>
      </x:c>
    </x:row>
    <x:row r="942">
      <x:c r="Z942" t="str">
        <x:f>IF($Y942="","",IFERROR(INDEX('Weapons Database'!$C$2:$C$100,MATCH($Y942,'Weapons Database'!$A$2:$A$100,0))&amp;" "&amp;INDEX('Weapons Database'!$D$2:$D$100,MATCH($Y942,'Weapons Database'!$A$2:$A$100,0)),""))</x:f>
      </x:c>
      <x:c r="AA942" t="str">
        <x:f>IF($Y942="","","Weapons Database")</x:f>
      </x:c>
    </x:row>
    <x:row r="943">
      <x:c r="Z943" t="str">
        <x:f>IF($Y943="","",IFERROR(INDEX('Weapons Database'!$C$2:$C$100,MATCH($Y943,'Weapons Database'!$A$2:$A$100,0))&amp;" "&amp;INDEX('Weapons Database'!$D$2:$D$100,MATCH($Y943,'Weapons Database'!$A$2:$A$100,0)),""))</x:f>
      </x:c>
      <x:c r="AA943" t="str">
        <x:f>IF($Y943="","","Weapons Database")</x:f>
      </x:c>
    </x:row>
    <x:row r="944">
      <x:c r="Z944" t="str">
        <x:f>IF($Y944="","",IFERROR(INDEX('Weapons Database'!$C$2:$C$100,MATCH($Y944,'Weapons Database'!$A$2:$A$100,0))&amp;" "&amp;INDEX('Weapons Database'!$D$2:$D$100,MATCH($Y944,'Weapons Database'!$A$2:$A$100,0)),""))</x:f>
      </x:c>
      <x:c r="AA944" t="str">
        <x:f>IF($Y944="","","Weapons Database")</x:f>
      </x:c>
    </x:row>
    <x:row r="945">
      <x:c r="Z945" t="str">
        <x:f>IF($Y945="","",IFERROR(INDEX('Weapons Database'!$C$2:$C$100,MATCH($Y945,'Weapons Database'!$A$2:$A$100,0))&amp;" "&amp;INDEX('Weapons Database'!$D$2:$D$100,MATCH($Y945,'Weapons Database'!$A$2:$A$100,0)),""))</x:f>
      </x:c>
      <x:c r="AA945" t="str">
        <x:f>IF($Y945="","","Weapons Database")</x:f>
      </x:c>
    </x:row>
    <x:row r="946">
      <x:c r="Z946" t="str">
        <x:f>IF($Y946="","",IFERROR(INDEX('Weapons Database'!$C$2:$C$100,MATCH($Y946,'Weapons Database'!$A$2:$A$100,0))&amp;" "&amp;INDEX('Weapons Database'!$D$2:$D$100,MATCH($Y946,'Weapons Database'!$A$2:$A$100,0)),""))</x:f>
      </x:c>
      <x:c r="AA946" t="str">
        <x:f>IF($Y946="","","Weapons Database")</x:f>
      </x:c>
    </x:row>
    <x:row r="947">
      <x:c r="Z947" t="str">
        <x:f>IF($Y947="","",IFERROR(INDEX('Weapons Database'!$C$2:$C$100,MATCH($Y947,'Weapons Database'!$A$2:$A$100,0))&amp;" "&amp;INDEX('Weapons Database'!$D$2:$D$100,MATCH($Y947,'Weapons Database'!$A$2:$A$100,0)),""))</x:f>
      </x:c>
      <x:c r="AA947" t="str">
        <x:f>IF($Y947="","","Weapons Database")</x:f>
      </x:c>
    </x:row>
    <x:row r="948">
      <x:c r="Z948" t="str">
        <x:f>IF($Y948="","",IFERROR(INDEX('Weapons Database'!$C$2:$C$100,MATCH($Y948,'Weapons Database'!$A$2:$A$100,0))&amp;" "&amp;INDEX('Weapons Database'!$D$2:$D$100,MATCH($Y948,'Weapons Database'!$A$2:$A$100,0)),""))</x:f>
      </x:c>
      <x:c r="AA948" t="str">
        <x:f>IF($Y948="","","Weapons Database")</x:f>
      </x:c>
    </x:row>
    <x:row r="949">
      <x:c r="Z949" t="str">
        <x:f>IF($Y949="","",IFERROR(INDEX('Weapons Database'!$C$2:$C$100,MATCH($Y949,'Weapons Database'!$A$2:$A$100,0))&amp;" "&amp;INDEX('Weapons Database'!$D$2:$D$100,MATCH($Y949,'Weapons Database'!$A$2:$A$100,0)),""))</x:f>
      </x:c>
      <x:c r="AA949" t="str">
        <x:f>IF($Y949="","","Weapons Database")</x:f>
      </x:c>
    </x:row>
    <x:row r="950">
      <x:c r="Z950" t="str">
        <x:f>IF($Y950="","",IFERROR(INDEX('Weapons Database'!$C$2:$C$100,MATCH($Y950,'Weapons Database'!$A$2:$A$100,0))&amp;" "&amp;INDEX('Weapons Database'!$D$2:$D$100,MATCH($Y950,'Weapons Database'!$A$2:$A$100,0)),""))</x:f>
      </x:c>
      <x:c r="AA950" t="str">
        <x:f>IF($Y950="","","Weapons Database")</x:f>
      </x:c>
    </x:row>
    <x:row r="951">
      <x:c r="Z951" t="str">
        <x:f>IF($Y951="","",IFERROR(INDEX('Weapons Database'!$C$2:$C$100,MATCH($Y951,'Weapons Database'!$A$2:$A$100,0))&amp;" "&amp;INDEX('Weapons Database'!$D$2:$D$100,MATCH($Y951,'Weapons Database'!$A$2:$A$100,0)),""))</x:f>
      </x:c>
      <x:c r="AA951" t="str">
        <x:f>IF($Y951="","","Weapons Database")</x:f>
      </x:c>
    </x:row>
    <x:row r="952">
      <x:c r="Z952" t="str">
        <x:f>IF($Y952="","",IFERROR(INDEX('Weapons Database'!$C$2:$C$100,MATCH($Y952,'Weapons Database'!$A$2:$A$100,0))&amp;" "&amp;INDEX('Weapons Database'!$D$2:$D$100,MATCH($Y952,'Weapons Database'!$A$2:$A$100,0)),""))</x:f>
      </x:c>
      <x:c r="AA952" t="str">
        <x:f>IF($Y952="","","Weapons Database")</x:f>
      </x:c>
    </x:row>
    <x:row r="953">
      <x:c r="Z953" t="str">
        <x:f>IF($Y953="","",IFERROR(INDEX('Weapons Database'!$C$2:$C$100,MATCH($Y953,'Weapons Database'!$A$2:$A$100,0))&amp;" "&amp;INDEX('Weapons Database'!$D$2:$D$100,MATCH($Y953,'Weapons Database'!$A$2:$A$100,0)),""))</x:f>
      </x:c>
      <x:c r="AA953" t="str">
        <x:f>IF($Y953="","","Weapons Database")</x:f>
      </x:c>
    </x:row>
    <x:row r="954">
      <x:c r="Z954" t="str">
        <x:f>IF($Y954="","",IFERROR(INDEX('Weapons Database'!$C$2:$C$100,MATCH($Y954,'Weapons Database'!$A$2:$A$100,0))&amp;" "&amp;INDEX('Weapons Database'!$D$2:$D$100,MATCH($Y954,'Weapons Database'!$A$2:$A$100,0)),""))</x:f>
      </x:c>
      <x:c r="AA954" t="str">
        <x:f>IF($Y954="","","Weapons Database")</x:f>
      </x:c>
    </x:row>
    <x:row r="955">
      <x:c r="Z955" t="str">
        <x:f>IF($Y955="","",IFERROR(INDEX('Weapons Database'!$C$2:$C$100,MATCH($Y955,'Weapons Database'!$A$2:$A$100,0))&amp;" "&amp;INDEX('Weapons Database'!$D$2:$D$100,MATCH($Y955,'Weapons Database'!$A$2:$A$100,0)),""))</x:f>
      </x:c>
      <x:c r="AA955" t="str">
        <x:f>IF($Y955="","","Weapons Database")</x:f>
      </x:c>
    </x:row>
    <x:row r="956">
      <x:c r="Z956" t="str">
        <x:f>IF($Y956="","",IFERROR(INDEX('Weapons Database'!$C$2:$C$100,MATCH($Y956,'Weapons Database'!$A$2:$A$100,0))&amp;" "&amp;INDEX('Weapons Database'!$D$2:$D$100,MATCH($Y956,'Weapons Database'!$A$2:$A$100,0)),""))</x:f>
      </x:c>
      <x:c r="AA956" t="str">
        <x:f>IF($Y956="","","Weapons Database")</x:f>
      </x:c>
    </x:row>
    <x:row r="957">
      <x:c r="Z957" t="str">
        <x:f>IF($Y957="","",IFERROR(INDEX('Weapons Database'!$C$2:$C$100,MATCH($Y957,'Weapons Database'!$A$2:$A$100,0))&amp;" "&amp;INDEX('Weapons Database'!$D$2:$D$100,MATCH($Y957,'Weapons Database'!$A$2:$A$100,0)),""))</x:f>
      </x:c>
      <x:c r="AA957" t="str">
        <x:f>IF($Y957="","","Weapons Database")</x:f>
      </x:c>
    </x:row>
    <x:row r="958">
      <x:c r="Z958" t="str">
        <x:f>IF($Y958="","",IFERROR(INDEX('Weapons Database'!$C$2:$C$100,MATCH($Y958,'Weapons Database'!$A$2:$A$100,0))&amp;" "&amp;INDEX('Weapons Database'!$D$2:$D$100,MATCH($Y958,'Weapons Database'!$A$2:$A$100,0)),""))</x:f>
      </x:c>
      <x:c r="AA958" t="str">
        <x:f>IF($Y958="","","Weapons Database")</x:f>
      </x:c>
    </x:row>
    <x:row r="959">
      <x:c r="Z959" t="str">
        <x:f>IF($Y959="","",IFERROR(INDEX('Weapons Database'!$C$2:$C$100,MATCH($Y959,'Weapons Database'!$A$2:$A$100,0))&amp;" "&amp;INDEX('Weapons Database'!$D$2:$D$100,MATCH($Y959,'Weapons Database'!$A$2:$A$100,0)),""))</x:f>
      </x:c>
      <x:c r="AA959" t="str">
        <x:f>IF($Y959="","","Weapons Database")</x:f>
      </x:c>
    </x:row>
    <x:row r="960">
      <x:c r="Z960" t="str">
        <x:f>IF($Y960="","",IFERROR(INDEX('Weapons Database'!$C$2:$C$100,MATCH($Y960,'Weapons Database'!$A$2:$A$100,0))&amp;" "&amp;INDEX('Weapons Database'!$D$2:$D$100,MATCH($Y960,'Weapons Database'!$A$2:$A$100,0)),""))</x:f>
      </x:c>
      <x:c r="AA960" t="str">
        <x:f>IF($Y960="","","Weapons Database")</x:f>
      </x:c>
    </x:row>
    <x:row r="961">
      <x:c r="Z961" t="str">
        <x:f>IF($Y961="","",IFERROR(INDEX('Weapons Database'!$C$2:$C$100,MATCH($Y961,'Weapons Database'!$A$2:$A$100,0))&amp;" "&amp;INDEX('Weapons Database'!$D$2:$D$100,MATCH($Y961,'Weapons Database'!$A$2:$A$100,0)),""))</x:f>
      </x:c>
      <x:c r="AA961" t="str">
        <x:f>IF($Y961="","","Weapons Database")</x:f>
      </x:c>
    </x:row>
    <x:row r="962">
      <x:c r="Z962" t="str">
        <x:f>IF($Y962="","",IFERROR(INDEX('Weapons Database'!$C$2:$C$100,MATCH($Y962,'Weapons Database'!$A$2:$A$100,0))&amp;" "&amp;INDEX('Weapons Database'!$D$2:$D$100,MATCH($Y962,'Weapons Database'!$A$2:$A$100,0)),""))</x:f>
      </x:c>
      <x:c r="AA962" t="str">
        <x:f>IF($Y962="","","Weapons Database")</x:f>
      </x:c>
    </x:row>
    <x:row r="963">
      <x:c r="Z963" t="str">
        <x:f>IF($Y963="","",IFERROR(INDEX('Weapons Database'!$C$2:$C$100,MATCH($Y963,'Weapons Database'!$A$2:$A$100,0))&amp;" "&amp;INDEX('Weapons Database'!$D$2:$D$100,MATCH($Y963,'Weapons Database'!$A$2:$A$100,0)),""))</x:f>
      </x:c>
      <x:c r="AA963" t="str">
        <x:f>IF($Y963="","","Weapons Database")</x:f>
      </x:c>
    </x:row>
    <x:row r="964">
      <x:c r="Z964" t="str">
        <x:f>IF($Y964="","",IFERROR(INDEX('Weapons Database'!$C$2:$C$100,MATCH($Y964,'Weapons Database'!$A$2:$A$100,0))&amp;" "&amp;INDEX('Weapons Database'!$D$2:$D$100,MATCH($Y964,'Weapons Database'!$A$2:$A$100,0)),""))</x:f>
      </x:c>
      <x:c r="AA964" t="str">
        <x:f>IF($Y964="","","Weapons Database")</x:f>
      </x:c>
    </x:row>
    <x:row r="965">
      <x:c r="Z965" t="str">
        <x:f>IF($Y965="","",IFERROR(INDEX('Weapons Database'!$C$2:$C$100,MATCH($Y965,'Weapons Database'!$A$2:$A$100,0))&amp;" "&amp;INDEX('Weapons Database'!$D$2:$D$100,MATCH($Y965,'Weapons Database'!$A$2:$A$100,0)),""))</x:f>
      </x:c>
      <x:c r="AA965" t="str">
        <x:f>IF($Y965="","","Weapons Database")</x:f>
      </x:c>
    </x:row>
    <x:row r="966">
      <x:c r="Z966" t="str">
        <x:f>IF($Y966="","",IFERROR(INDEX('Weapons Database'!$C$2:$C$100,MATCH($Y966,'Weapons Database'!$A$2:$A$100,0))&amp;" "&amp;INDEX('Weapons Database'!$D$2:$D$100,MATCH($Y966,'Weapons Database'!$A$2:$A$100,0)),""))</x:f>
      </x:c>
      <x:c r="AA966" t="str">
        <x:f>IF($Y966="","","Weapons Database")</x:f>
      </x:c>
    </x:row>
    <x:row r="967">
      <x:c r="Z967" t="str">
        <x:f>IF($Y967="","",IFERROR(INDEX('Weapons Database'!$C$2:$C$100,MATCH($Y967,'Weapons Database'!$A$2:$A$100,0))&amp;" "&amp;INDEX('Weapons Database'!$D$2:$D$100,MATCH($Y967,'Weapons Database'!$A$2:$A$100,0)),""))</x:f>
      </x:c>
      <x:c r="AA967" t="str">
        <x:f>IF($Y967="","","Weapons Database")</x:f>
      </x:c>
    </x:row>
    <x:row r="968">
      <x:c r="Z968" t="str">
        <x:f>IF($Y968="","",IFERROR(INDEX('Weapons Database'!$C$2:$C$100,MATCH($Y968,'Weapons Database'!$A$2:$A$100,0))&amp;" "&amp;INDEX('Weapons Database'!$D$2:$D$100,MATCH($Y968,'Weapons Database'!$A$2:$A$100,0)),""))</x:f>
      </x:c>
      <x:c r="AA968" t="str">
        <x:f>IF($Y968="","","Weapons Database")</x:f>
      </x:c>
    </x:row>
    <x:row r="969">
      <x:c r="Z969" t="str">
        <x:f>IF($Y969="","",IFERROR(INDEX('Weapons Database'!$C$2:$C$100,MATCH($Y969,'Weapons Database'!$A$2:$A$100,0))&amp;" "&amp;INDEX('Weapons Database'!$D$2:$D$100,MATCH($Y969,'Weapons Database'!$A$2:$A$100,0)),""))</x:f>
      </x:c>
      <x:c r="AA969" t="str">
        <x:f>IF($Y969="","","Weapons Database")</x:f>
      </x:c>
    </x:row>
    <x:row r="970">
      <x:c r="Z970" t="str">
        <x:f>IF($Y970="","",IFERROR(INDEX('Weapons Database'!$C$2:$C$100,MATCH($Y970,'Weapons Database'!$A$2:$A$100,0))&amp;" "&amp;INDEX('Weapons Database'!$D$2:$D$100,MATCH($Y970,'Weapons Database'!$A$2:$A$100,0)),""))</x:f>
      </x:c>
      <x:c r="AA970" t="str">
        <x:f>IF($Y970="","","Weapons Database")</x:f>
      </x:c>
    </x:row>
    <x:row r="971">
      <x:c r="Z971" t="str">
        <x:f>IF($Y971="","",IFERROR(INDEX('Weapons Database'!$C$2:$C$100,MATCH($Y971,'Weapons Database'!$A$2:$A$100,0))&amp;" "&amp;INDEX('Weapons Database'!$D$2:$D$100,MATCH($Y971,'Weapons Database'!$A$2:$A$100,0)),""))</x:f>
      </x:c>
      <x:c r="AA971" t="str">
        <x:f>IF($Y971="","","Weapons Database")</x:f>
      </x:c>
    </x:row>
    <x:row r="972">
      <x:c r="Z972" t="str">
        <x:f>IF($Y972="","",IFERROR(INDEX('Weapons Database'!$C$2:$C$100,MATCH($Y972,'Weapons Database'!$A$2:$A$100,0))&amp;" "&amp;INDEX('Weapons Database'!$D$2:$D$100,MATCH($Y972,'Weapons Database'!$A$2:$A$100,0)),""))</x:f>
      </x:c>
      <x:c r="AA972" t="str">
        <x:f>IF($Y972="","","Weapons Database")</x:f>
      </x:c>
    </x:row>
    <x:row r="973">
      <x:c r="Z973" t="str">
        <x:f>IF($Y973="","",IFERROR(INDEX('Weapons Database'!$C$2:$C$100,MATCH($Y973,'Weapons Database'!$A$2:$A$100,0))&amp;" "&amp;INDEX('Weapons Database'!$D$2:$D$100,MATCH($Y973,'Weapons Database'!$A$2:$A$100,0)),""))</x:f>
      </x:c>
      <x:c r="AA973" t="str">
        <x:f>IF($Y973="","","Weapons Database")</x:f>
      </x:c>
    </x:row>
    <x:row r="974">
      <x:c r="Z974" t="str">
        <x:f>IF($Y974="","",IFERROR(INDEX('Weapons Database'!$C$2:$C$100,MATCH($Y974,'Weapons Database'!$A$2:$A$100,0))&amp;" "&amp;INDEX('Weapons Database'!$D$2:$D$100,MATCH($Y974,'Weapons Database'!$A$2:$A$100,0)),""))</x:f>
      </x:c>
      <x:c r="AA974" t="str">
        <x:f>IF($Y974="","","Weapons Database")</x:f>
      </x:c>
    </x:row>
    <x:row r="975">
      <x:c r="Z975" t="str">
        <x:f>IF($Y975="","",IFERROR(INDEX('Weapons Database'!$C$2:$C$100,MATCH($Y975,'Weapons Database'!$A$2:$A$100,0))&amp;" "&amp;INDEX('Weapons Database'!$D$2:$D$100,MATCH($Y975,'Weapons Database'!$A$2:$A$100,0)),""))</x:f>
      </x:c>
      <x:c r="AA975" t="str">
        <x:f>IF($Y975="","","Weapons Database")</x:f>
      </x:c>
    </x:row>
    <x:row r="976">
      <x:c r="Z976" t="str">
        <x:f>IF($Y976="","",IFERROR(INDEX('Weapons Database'!$C$2:$C$100,MATCH($Y976,'Weapons Database'!$A$2:$A$100,0))&amp;" "&amp;INDEX('Weapons Database'!$D$2:$D$100,MATCH($Y976,'Weapons Database'!$A$2:$A$100,0)),""))</x:f>
      </x:c>
      <x:c r="AA976" t="str">
        <x:f>IF($Y976="","","Weapons Database")</x:f>
      </x:c>
    </x:row>
    <x:row r="977">
      <x:c r="Z977" t="str">
        <x:f>IF($Y977="","",IFERROR(INDEX('Weapons Database'!$C$2:$C$100,MATCH($Y977,'Weapons Database'!$A$2:$A$100,0))&amp;" "&amp;INDEX('Weapons Database'!$D$2:$D$100,MATCH($Y977,'Weapons Database'!$A$2:$A$100,0)),""))</x:f>
      </x:c>
      <x:c r="AA977" t="str">
        <x:f>IF($Y977="","","Weapons Database")</x:f>
      </x:c>
    </x:row>
    <x:row r="978">
      <x:c r="Z978" t="str">
        <x:f>IF($Y978="","",IFERROR(INDEX('Weapons Database'!$C$2:$C$100,MATCH($Y978,'Weapons Database'!$A$2:$A$100,0))&amp;" "&amp;INDEX('Weapons Database'!$D$2:$D$100,MATCH($Y978,'Weapons Database'!$A$2:$A$100,0)),""))</x:f>
      </x:c>
      <x:c r="AA978" t="str">
        <x:f>IF($Y978="","","Weapons Database")</x:f>
      </x:c>
    </x:row>
    <x:row r="979">
      <x:c r="Z979" t="str">
        <x:f>IF($Y979="","",IFERROR(INDEX('Weapons Database'!$C$2:$C$100,MATCH($Y979,'Weapons Database'!$A$2:$A$100,0))&amp;" "&amp;INDEX('Weapons Database'!$D$2:$D$100,MATCH($Y979,'Weapons Database'!$A$2:$A$100,0)),""))</x:f>
      </x:c>
      <x:c r="AA979" t="str">
        <x:f>IF($Y979="","","Weapons Database")</x:f>
      </x:c>
    </x:row>
    <x:row r="980">
      <x:c r="Z980" t="str">
        <x:f>IF($Y980="","",IFERROR(INDEX('Weapons Database'!$C$2:$C$100,MATCH($Y980,'Weapons Database'!$A$2:$A$100,0))&amp;" "&amp;INDEX('Weapons Database'!$D$2:$D$100,MATCH($Y980,'Weapons Database'!$A$2:$A$100,0)),""))</x:f>
      </x:c>
      <x:c r="AA980" t="str">
        <x:f>IF($Y980="","","Weapons Database")</x:f>
      </x:c>
    </x:row>
    <x:row r="981">
      <x:c r="Z981" t="str">
        <x:f>IF($Y981="","",IFERROR(INDEX('Weapons Database'!$C$2:$C$100,MATCH($Y981,'Weapons Database'!$A$2:$A$100,0))&amp;" "&amp;INDEX('Weapons Database'!$D$2:$D$100,MATCH($Y981,'Weapons Database'!$A$2:$A$100,0)),""))</x:f>
      </x:c>
      <x:c r="AA981" t="str">
        <x:f>IF($Y981="","","Weapons Database")</x:f>
      </x:c>
    </x:row>
    <x:row r="982">
      <x:c r="Z982" t="str">
        <x:f>IF($Y982="","",IFERROR(INDEX('Weapons Database'!$C$2:$C$100,MATCH($Y982,'Weapons Database'!$A$2:$A$100,0))&amp;" "&amp;INDEX('Weapons Database'!$D$2:$D$100,MATCH($Y982,'Weapons Database'!$A$2:$A$100,0)),""))</x:f>
      </x:c>
      <x:c r="AA982" t="str">
        <x:f>IF($Y982="","","Weapons Database")</x:f>
      </x:c>
    </x:row>
    <x:row r="983">
      <x:c r="Z983" t="str">
        <x:f>IF($Y983="","",IFERROR(INDEX('Weapons Database'!$C$2:$C$100,MATCH($Y983,'Weapons Database'!$A$2:$A$100,0))&amp;" "&amp;INDEX('Weapons Database'!$D$2:$D$100,MATCH($Y983,'Weapons Database'!$A$2:$A$100,0)),""))</x:f>
      </x:c>
      <x:c r="AA983" t="str">
        <x:f>IF($Y983="","","Weapons Database")</x:f>
      </x:c>
    </x:row>
    <x:row r="984">
      <x:c r="Z984" t="str">
        <x:f>IF($Y984="","",IFERROR(INDEX('Weapons Database'!$C$2:$C$100,MATCH($Y984,'Weapons Database'!$A$2:$A$100,0))&amp;" "&amp;INDEX('Weapons Database'!$D$2:$D$100,MATCH($Y984,'Weapons Database'!$A$2:$A$100,0)),""))</x:f>
      </x:c>
      <x:c r="AA984" t="str">
        <x:f>IF($Y984="","","Weapons Database")</x:f>
      </x:c>
    </x:row>
    <x:row r="985">
      <x:c r="Z985" t="str">
        <x:f>IF($Y985="","",IFERROR(INDEX('Weapons Database'!$C$2:$C$100,MATCH($Y985,'Weapons Database'!$A$2:$A$100,0))&amp;" "&amp;INDEX('Weapons Database'!$D$2:$D$100,MATCH($Y985,'Weapons Database'!$A$2:$A$100,0)),""))</x:f>
      </x:c>
      <x:c r="AA985" t="str">
        <x:f>IF($Y985="","","Weapons Database")</x:f>
      </x:c>
    </x:row>
    <x:row r="986">
      <x:c r="Z986" t="str">
        <x:f>IF($Y986="","",IFERROR(INDEX('Weapons Database'!$C$2:$C$100,MATCH($Y986,'Weapons Database'!$A$2:$A$100,0))&amp;" "&amp;INDEX('Weapons Database'!$D$2:$D$100,MATCH($Y986,'Weapons Database'!$A$2:$A$100,0)),""))</x:f>
      </x:c>
      <x:c r="AA986" t="str">
        <x:f>IF($Y986="","","Weapons Database")</x:f>
      </x:c>
    </x:row>
    <x:row r="987">
      <x:c r="Z987" t="str">
        <x:f>IF($Y987="","",IFERROR(INDEX('Weapons Database'!$C$2:$C$100,MATCH($Y987,'Weapons Database'!$A$2:$A$100,0))&amp;" "&amp;INDEX('Weapons Database'!$D$2:$D$100,MATCH($Y987,'Weapons Database'!$A$2:$A$100,0)),""))</x:f>
      </x:c>
      <x:c r="AA987" t="str">
        <x:f>IF($Y987="","","Weapons Database")</x:f>
      </x:c>
    </x:row>
    <x:row r="988">
      <x:c r="Z988" t="str">
        <x:f>IF($Y988="","",IFERROR(INDEX('Weapons Database'!$C$2:$C$100,MATCH($Y988,'Weapons Database'!$A$2:$A$100,0))&amp;" "&amp;INDEX('Weapons Database'!$D$2:$D$100,MATCH($Y988,'Weapons Database'!$A$2:$A$100,0)),""))</x:f>
      </x:c>
      <x:c r="AA988" t="str">
        <x:f>IF($Y988="","","Weapons Database")</x:f>
      </x:c>
    </x:row>
    <x:row r="989">
      <x:c r="Z989" t="str">
        <x:f>IF($Y989="","",IFERROR(INDEX('Weapons Database'!$C$2:$C$100,MATCH($Y989,'Weapons Database'!$A$2:$A$100,0))&amp;" "&amp;INDEX('Weapons Database'!$D$2:$D$100,MATCH($Y989,'Weapons Database'!$A$2:$A$100,0)),""))</x:f>
      </x:c>
      <x:c r="AA989" t="str">
        <x:f>IF($Y989="","","Weapons Database")</x:f>
      </x:c>
    </x:row>
    <x:row r="990">
      <x:c r="Z990" t="str">
        <x:f>IF($Y990="","",IFERROR(INDEX('Weapons Database'!$C$2:$C$100,MATCH($Y990,'Weapons Database'!$A$2:$A$100,0))&amp;" "&amp;INDEX('Weapons Database'!$D$2:$D$100,MATCH($Y990,'Weapons Database'!$A$2:$A$100,0)),""))</x:f>
      </x:c>
      <x:c r="AA990" t="str">
        <x:f>IF($Y990="","","Weapons Database")</x:f>
      </x:c>
    </x:row>
    <x:row r="991">
      <x:c r="Z991" t="str">
        <x:f>IF($Y991="","",IFERROR(INDEX('Weapons Database'!$C$2:$C$100,MATCH($Y991,'Weapons Database'!$A$2:$A$100,0))&amp;" "&amp;INDEX('Weapons Database'!$D$2:$D$100,MATCH($Y991,'Weapons Database'!$A$2:$A$100,0)),""))</x:f>
      </x:c>
      <x:c r="AA991" t="str">
        <x:f>IF($Y991="","","Weapons Database")</x:f>
      </x:c>
    </x:row>
    <x:row r="992">
      <x:c r="Z992" t="str">
        <x:f>IF($Y992="","",IFERROR(INDEX('Weapons Database'!$C$2:$C$100,MATCH($Y992,'Weapons Database'!$A$2:$A$100,0))&amp;" "&amp;INDEX('Weapons Database'!$D$2:$D$100,MATCH($Y992,'Weapons Database'!$A$2:$A$100,0)),""))</x:f>
      </x:c>
      <x:c r="AA992" t="str">
        <x:f>IF($Y992="","","Weapons Database")</x:f>
      </x:c>
    </x:row>
    <x:row r="993">
      <x:c r="Z993" t="str">
        <x:f>IF($Y993="","",IFERROR(INDEX('Weapons Database'!$C$2:$C$100,MATCH($Y993,'Weapons Database'!$A$2:$A$100,0))&amp;" "&amp;INDEX('Weapons Database'!$D$2:$D$100,MATCH($Y993,'Weapons Database'!$A$2:$A$100,0)),""))</x:f>
      </x:c>
      <x:c r="AA993" t="str">
        <x:f>IF($Y993="","","Weapons Database")</x:f>
      </x:c>
    </x:row>
    <x:row r="994">
      <x:c r="Z994" t="str">
        <x:f>IF($Y994="","",IFERROR(INDEX('Weapons Database'!$C$2:$C$100,MATCH($Y994,'Weapons Database'!$A$2:$A$100,0))&amp;" "&amp;INDEX('Weapons Database'!$D$2:$D$100,MATCH($Y994,'Weapons Database'!$A$2:$A$100,0)),""))</x:f>
      </x:c>
      <x:c r="AA994" t="str">
        <x:f>IF($Y994="","","Weapons Database")</x:f>
      </x:c>
    </x:row>
    <x:row r="995">
      <x:c r="Z995" t="str">
        <x:f>IF($Y995="","",IFERROR(INDEX('Weapons Database'!$C$2:$C$100,MATCH($Y995,'Weapons Database'!$A$2:$A$100,0))&amp;" "&amp;INDEX('Weapons Database'!$D$2:$D$100,MATCH($Y995,'Weapons Database'!$A$2:$A$100,0)),""))</x:f>
      </x:c>
      <x:c r="AA995" t="str">
        <x:f>IF($Y995="","","Weapons Database")</x:f>
      </x:c>
    </x:row>
    <x:row r="996">
      <x:c r="Z996" t="str">
        <x:f>IF($Y996="","",IFERROR(INDEX('Weapons Database'!$C$2:$C$100,MATCH($Y996,'Weapons Database'!$A$2:$A$100,0))&amp;" "&amp;INDEX('Weapons Database'!$D$2:$D$100,MATCH($Y996,'Weapons Database'!$A$2:$A$100,0)),""))</x:f>
      </x:c>
      <x:c r="AA996" t="str">
        <x:f>IF($Y996="","","Weapons Database")</x:f>
      </x:c>
    </x:row>
    <x:row r="997">
      <x:c r="Z997" t="str">
        <x:f>IF($Y997="","",IFERROR(INDEX('Weapons Database'!$C$2:$C$100,MATCH($Y997,'Weapons Database'!$A$2:$A$100,0))&amp;" "&amp;INDEX('Weapons Database'!$D$2:$D$100,MATCH($Y997,'Weapons Database'!$A$2:$A$100,0)),""))</x:f>
      </x:c>
      <x:c r="AA997" t="str">
        <x:f>IF($Y997="","","Weapons Database")</x:f>
      </x:c>
    </x:row>
    <x:row r="998">
      <x:c r="Z998" t="str">
        <x:f>IF($Y998="","",IFERROR(INDEX('Weapons Database'!$C$2:$C$100,MATCH($Y998,'Weapons Database'!$A$2:$A$100,0))&amp;" "&amp;INDEX('Weapons Database'!$D$2:$D$100,MATCH($Y998,'Weapons Database'!$A$2:$A$100,0)),""))</x:f>
      </x:c>
      <x:c r="AA998" t="str">
        <x:f>IF($Y998="","","Weapons Database")</x:f>
      </x:c>
    </x:row>
    <x:row r="999">
      <x:c r="Z999" t="str">
        <x:f>IF($Y999="","",IFERROR(INDEX('Weapons Database'!$C$2:$C$100,MATCH($Y999,'Weapons Database'!$A$2:$A$100,0))&amp;" "&amp;INDEX('Weapons Database'!$D$2:$D$100,MATCH($Y999,'Weapons Database'!$A$2:$A$100,0)),""))</x:f>
      </x:c>
      <x:c r="AA999" t="str">
        <x:f>IF($Y999="","","Weapons Database")</x:f>
      </x:c>
    </x:row>
    <x:row r="1000">
      <x:c r="Z1000" t="str">
        <x:f>IF($Y1000="","",IFERROR(INDEX('Weapons Database'!$C$2:$C$100,MATCH($Y1000,'Weapons Database'!$A$2:$A$100,0))&amp;" "&amp;INDEX('Weapons Database'!$D$2:$D$100,MATCH($Y1000,'Weapons Database'!$A$2:$A$100,0)),""))</x:f>
      </x:c>
      <x:c r="AA1000" t="str">
        <x:f>IF($Y1000="","","Weapons Database")</x:f>
      </x:c>
    </x:row>
  </x:sheetData>
  <x:dataValidations count="1">
    <x:dataValidation type="list" sqref="Y3:Y1000">
      <x:formula1>'Weapons Database'!$A$2:$A$38</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baseColWidth="8" defaultRowHeight="15"/>
  <x:cols>
    <x:col min="1" max="1" width="16" customWidth="1"/>
    <x:col min="2" max="2" width="14" customWidth="1"/>
    <x:col min="3" max="3" width="21" customWidth="1"/>
    <x:col min="4" max="4" width="15" customWidth="1"/>
    <x:col min="5" max="5" width="18" customWidth="1"/>
    <x:col min="6" max="6" width="10" customWidth="1"/>
    <x:col min="7" max="7" width="31" customWidth="1"/>
    <x:col min="8" max="8" width="20" customWidth="1"/>
    <x:col min="9" max="9" width="16" customWidth="1"/>
    <x:col min="10" max="10" width="41" customWidth="1"/>
    <x:col min="11" max="11" width="11" customWidth="1"/>
    <x:col min="12" max="12" width="18" customWidth="1"/>
  </x:cols>
  <x:sheetData>
    <x:row r="1" ht="18" customHeight="1">
      <x:c r="A1" s="5" t="inlineStr">
        <x:is>
          <x:t xml:space="preserve">Conditions Log</x:t>
        </x:is>
      </x:c>
    </x:row>
    <x:row r="2" ht="18" customHeight="1">
      <x:c r="A2" s="4" t="inlineStr">
        <x:is>
          <x:t xml:space="preserve">Round Applied</x:t>
        </x:is>
      </x:c>
      <x:c r="B2" s="4" t="inlineStr">
        <x:is>
          <x:t xml:space="preserve">Combatant ID</x:t>
        </x:is>
      </x:c>
      <x:c r="C2" s="4" t="inlineStr">
        <x:is>
          <x:t xml:space="preserve">Combatant Name</x:t>
        </x:is>
      </x:c>
      <x:c r="D2" s="4" t="inlineStr">
        <x:is>
          <x:t xml:space="preserve">Condition</x:t>
        </x:is>
      </x:c>
      <x:c r="E2" s="4" t="inlineStr">
        <x:is>
          <x:t xml:space="preserve">Source</x:t>
        </x:is>
      </x:c>
      <x:c r="F2" s="4" t="inlineStr">
        <x:is>
          <x:t xml:space="preserve">Save DC</x:t>
        </x:is>
      </x:c>
      <x:c r="G2" s="4" t="inlineStr">
        <x:is>
          <x:t xml:space="preserve">Duration</x:t>
        </x:is>
      </x:c>
      <x:c r="H2" s="4" t="inlineStr">
        <x:is>
          <x:t xml:space="preserve">Ends On</x:t>
        </x:is>
      </x:c>
      <x:c r="I2" s="4" t="inlineStr">
        <x:is>
          <x:t xml:space="preserve">Concentration?</x:t>
        </x:is>
      </x:c>
      <x:c r="J2" s="4" t="inlineStr">
        <x:is>
          <x:t xml:space="preserve">Notes</x:t>
        </x:is>
      </x:c>
      <x:c r="K2" s="4" t="inlineStr">
        <x:is>
          <x:t xml:space="preserve">Action ID</x:t>
        </x:is>
      </x:c>
      <x:c r="L2" s="4" t="inlineStr">
        <x:is>
          <x:t xml:space="preserve">Action Target ID</x:t>
        </x:is>
      </x:c>
    </x:row>
    <x:row r="3" ht="18" customHeight="1">
      <x:c r="A3" s="2"/>
      <x:c r="B3" s="2"/>
      <x:c r="C3" s="2"/>
      <x:c r="D3" s="2"/>
      <x:c r="E3" s="2"/>
      <x:c r="F3" s="2"/>
      <x:c r="G3" s="2"/>
      <x:c r="H3" s="2"/>
      <x:c r="I3" s="2"/>
      <x:c r="J3" s="2"/>
      <x:c r="K3" s="2"/>
      <x:c r="L3" s="2"/>
    </x:row>
    <x:row r="4" ht="18" customHeight="1">
      <x:c r="A4" s="2"/>
      <x:c r="B4" s="2"/>
      <x:c r="C4" s="2"/>
      <x:c r="D4" s="2"/>
      <x:c r="E4" s="2"/>
      <x:c r="F4" s="2"/>
      <x:c r="G4" s="2"/>
      <x:c r="H4" s="2"/>
      <x:c r="I4" s="2"/>
      <x:c r="J4" s="2"/>
      <x:c r="K4" s="2"/>
      <x:c r="L4" s="2"/>
    </x:row>
    <x:row r="5" ht="18" customHeight="1">
      <x:c r="A5" s="2"/>
      <x:c r="B5" s="2"/>
      <x:c r="C5" s="2"/>
      <x:c r="D5" s="2"/>
      <x:c r="E5" s="2"/>
      <x:c r="F5" s="2"/>
      <x:c r="G5" s="2"/>
      <x:c r="H5" s="2"/>
      <x:c r="I5" s="2"/>
      <x:c r="J5" s="2"/>
      <x:c r="K5" s="2"/>
      <x:c r="L5" s="2"/>
    </x:row>
    <x:row r="6" ht="18" customHeight="1">
      <x:c r="A6" s="2"/>
      <x:c r="B6" s="2"/>
      <x:c r="C6" s="2"/>
      <x:c r="D6" s="2"/>
      <x:c r="E6" s="2"/>
      <x:c r="F6" s="2"/>
      <x:c r="G6" s="2"/>
      <x:c r="H6" s="2"/>
      <x:c r="I6" s="2"/>
      <x:c r="J6" s="2"/>
      <x:c r="K6" s="2"/>
      <x:c r="L6" s="2"/>
    </x:row>
    <x:row r="7" ht="18" customHeight="1">
      <x:c r="A7" s="2"/>
      <x:c r="B7" s="2"/>
      <x:c r="C7" s="2"/>
      <x:c r="D7" s="2"/>
      <x:c r="E7" s="2"/>
      <x:c r="F7" s="2"/>
      <x:c r="G7" s="2"/>
      <x:c r="H7" s="2"/>
      <x:c r="I7" s="2"/>
      <x:c r="J7" s="2"/>
      <x:c r="K7" s="2"/>
      <x:c r="L7" s="2"/>
    </x:row>
  </x:sheetData>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baseColWidth="8" defaultRowHeight="15"/>
  <x:cols>
    <x:col min="1" max="1" width="24" customWidth="1"/>
    <x:col min="2" max="2" width="12" customWidth="1"/>
    <x:col min="3" max="3" width="21" customWidth="1"/>
    <x:col min="4" max="4" width="14" customWidth="1"/>
    <x:col min="5" max="5" width="10" customWidth="1"/>
    <x:col min="6" max="6" width="31" customWidth="1"/>
    <x:col min="7" max="7" width="16" customWidth="1"/>
    <x:col min="8" max="8" width="10" customWidth="1"/>
    <x:col min="9" max="9" width="10" customWidth="1"/>
    <x:col min="10" max="10" width="10" customWidth="1"/>
    <x:col min="11" max="11" width="29" customWidth="1"/>
  </x:cols>
  <x:sheetData>
    <x:row r="1" ht="18" customHeight="1">
      <x:c r="A1" s="5" t="inlineStr">
        <x:is>
          <x:t xml:space="preserve">Spell &amp; Effect Tracker</x:t>
        </x:is>
      </x:c>
    </x:row>
    <x:row r="2" ht="18" customHeight="1">
      <x:c r="A2" s="4" t="inlineStr">
        <x:is>
          <x:t xml:space="preserve">Spell ID</x:t>
        </x:is>
      </x:c>
      <x:c r="B2" s="4" t="inlineStr">
        <x:is>
          <x:t xml:space="preserve">Round Cast</x:t>
        </x:is>
      </x:c>
      <x:c r="C2" s="4" t="inlineStr">
        <x:is>
          <x:t xml:space="preserve">Caster</x:t>
        </x:is>
      </x:c>
      <x:c r="D2" s="4" t="inlineStr">
        <x:is>
          <x:t xml:space="preserve">Spell/Effect</x:t>
        </x:is>
      </x:c>
      <x:c r="E2" s="4" t="inlineStr">
        <x:is>
          <x:t xml:space="preserve">Level</x:t>
        </x:is>
      </x:c>
      <x:c r="F2" s="4" t="inlineStr">
        <x:is>
          <x:t xml:space="preserve">Duration</x:t>
        </x:is>
      </x:c>
      <x:c r="G2" s="4" t="inlineStr">
        <x:is>
          <x:t xml:space="preserve">Concentration?</x:t>
        </x:is>
      </x:c>
      <x:c r="H2" s="4" t="inlineStr">
        <x:is>
          <x:t xml:space="preserve">Ends On</x:t>
        </x:is>
      </x:c>
      <x:c r="I2" s="4" t="inlineStr">
        <x:is>
          <x:t xml:space="preserve">Targets</x:t>
        </x:is>
      </x:c>
      <x:c r="J2" s="4" t="inlineStr">
        <x:is>
          <x:t xml:space="preserve">Status</x:t>
        </x:is>
      </x:c>
      <x:c r="K2" s="4" t="inlineStr">
        <x:is>
          <x:t xml:space="preserve">Notes</x:t>
        </x:is>
      </x:c>
    </x:row>
    <x:row r="3" ht="18" customHeight="1">
      <x:c r="A3" s="2"/>
      <x:c r="B3" s="2"/>
      <x:c r="C3" s="2"/>
      <x:c r="D3" s="2"/>
      <x:c r="E3" s="2"/>
      <x:c r="F3" s="2"/>
      <x:c r="G3" s="2"/>
      <x:c r="H3" s="2"/>
      <x:c r="I3" s="2"/>
      <x:c r="J3" s="2"/>
      <x:c r="K3" s="2"/>
    </x:row>
    <x:row r="4" ht="18" customHeight="1">
      <x:c r="A4" s="2"/>
      <x:c r="B4" s="2"/>
      <x:c r="C4" s="2"/>
      <x:c r="D4" s="2"/>
      <x:c r="E4" s="2"/>
      <x:c r="F4" s="2"/>
      <x:c r="G4" s="2"/>
      <x:c r="H4" s="2"/>
      <x:c r="I4" s="2"/>
      <x:c r="J4" s="2"/>
      <x:c r="K4" s="2"/>
    </x:row>
  </x:sheetData>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baseColWidth="8" defaultRowHeight="15"/>
  <x:cols>
    <x:col min="1" max="1" width="45" customWidth="1"/>
    <x:col min="2" max="2" width="16" customWidth="1"/>
    <x:col min="3" max="3" width="16" customWidth="1"/>
    <x:col min="4" max="4" width="10" customWidth="1"/>
    <x:col min="5" max="5" width="16" customWidth="1"/>
    <x:col min="6" max="6" width="12" customWidth="1"/>
    <x:col min="7" max="7" width="15" customWidth="1"/>
    <x:col min="8" max="8" width="17" customWidth="1"/>
    <x:col min="9" max="9" width="38" customWidth="1"/>
  </x:cols>
  <x:sheetData>
    <x:row r="1" ht="18" customHeight="1">
      <x:c r="A1" s="5" t="inlineStr">
        <x:is>
          <x:t xml:space="preserve">Legendary, Lair, Recharge &amp; Reaction Tracker</x:t>
        </x:is>
      </x:c>
    </x:row>
    <x:row r="2" ht="18" customHeight="1">
      <x:c r="A2" s="4" t="inlineStr">
        <x:is>
          <x:t xml:space="preserve">Tracker ID</x:t>
        </x:is>
      </x:c>
      <x:c r="B2" s="4" t="inlineStr">
        <x:is>
          <x:t xml:space="preserve">Combatant</x:t>
        </x:is>
      </x:c>
      <x:c r="C2" s="4" t="inlineStr">
        <x:is>
          <x:t xml:space="preserve">Type</x:t>
        </x:is>
      </x:c>
      <x:c r="D2" s="4" t="inlineStr">
        <x:is>
          <x:t xml:space="preserve">Round</x:t>
        </x:is>
      </x:c>
      <x:c r="E2" s="4" t="inlineStr">
        <x:is>
          <x:t xml:space="preserve">Uses Available</x:t>
        </x:is>
      </x:c>
      <x:c r="F2" s="4" t="inlineStr">
        <x:is>
          <x:t xml:space="preserve">Uses Spent</x:t>
        </x:is>
      </x:c>
      <x:c r="G2" s="4" t="inlineStr">
        <x:is>
          <x:t xml:space="preserve">Recharge Roll</x:t>
        </x:is>
      </x:c>
      <x:c r="H2" s="4" t="inlineStr">
        <x:is>
          <x:t xml:space="preserve">Recharge Status</x:t>
        </x:is>
      </x:c>
      <x:c r="I2" s="4" t="inlineStr">
        <x:is>
          <x:t xml:space="preserve">Notes</x:t>
        </x:is>
      </x:c>
    </x:row>
    <x:row r="3" ht="18" customHeight="1">
      <x:c r="A3" s="2"/>
      <x:c r="B3" s="2"/>
      <x:c r="C3" s="2"/>
      <x:c r="D3" s="2"/>
      <x:c r="E3" s="2"/>
      <x:c r="F3" s="2"/>
      <x:c r="G3" s="2"/>
      <x:c r="H3" s="2"/>
      <x:c r="I3" s="2"/>
    </x:row>
  </x:sheetData>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baseColWidth="8" defaultRowHeight="15"/>
  <x:cols>
    <x:col min="1" max="1" width="23" customWidth="1"/>
    <x:col min="2" max="2" width="21" customWidth="1"/>
    <x:col min="3" max="3" width="17" customWidth="1"/>
    <x:col min="4" max="4" width="17" customWidth="1"/>
    <x:col min="5" max="5" width="17" customWidth="1"/>
    <x:col min="6" max="6" width="10" customWidth="1"/>
    <x:col min="7" max="7" width="10" customWidth="1"/>
    <x:col min="8" max="8" width="10" customWidth="1"/>
    <x:col min="9" max="9" width="10" customWidth="1"/>
    <x:col min="10" max="10" width="10" customWidth="1"/>
    <x:col min="11" max="11" width="10" customWidth="1"/>
    <x:col min="12" max="12" width="24" customWidth="1"/>
    <x:col min="13" max="13" width="45" customWidth="1"/>
    <x:col min="14" max="14" width="45" customWidth="1"/>
    <x:col min="15" max="15" width="23" customWidth="1"/>
    <x:col min="16" max="16" width="45" customWidth="1"/>
    <x:col min="17" max="17" width="45" customWidth="1"/>
    <x:col min="18" max="18" width="45" customWidth="1"/>
    <x:col min="19" max="19" width="45" customWidth="1"/>
    <x:col min="20" max="20" width="24" customWidth="1"/>
    <x:col min="21" max="21" width="45" customWidth="1"/>
    <x:col min="22" max="22" width="18" customWidth="1"/>
  </x:cols>
  <x:sheetData>
    <x:row r="1" ht="18" customHeight="1">
      <x:c r="A1" s="5" t="inlineStr">
        <x:is>
          <x:t xml:space="preserve">Encounter Stat Blocks</x:t>
        </x:is>
      </x:c>
    </x:row>
    <x:row r="2" ht="18" customHeight="1">
      <x:c r="A2" s="4" t="inlineStr">
        <x:is>
          <x:t xml:space="preserve">Combatant ID</x:t>
        </x:is>
      </x:c>
      <x:c r="B2" s="4" t="inlineStr">
        <x:is>
          <x:t xml:space="preserve">Combatant Name</x:t>
        </x:is>
      </x:c>
      <x:c r="C2" s="4" t="inlineStr">
        <x:is>
          <x:t xml:space="preserve">Type/Class</x:t>
        </x:is>
      </x:c>
      <x:c r="D2" s="4" t="inlineStr">
        <x:is>
          <x:t xml:space="preserve">Size</x:t>
        </x:is>
      </x:c>
      <x:c r="E2" s="4" t="inlineStr">
        <x:is>
          <x:t xml:space="preserve">Alignment</x:t>
        </x:is>
      </x:c>
      <x:c r="F2" s="4" t="inlineStr">
        <x:is>
          <x:t xml:space="preserve">STR</x:t>
        </x:is>
      </x:c>
      <x:c r="G2" s="4" t="inlineStr">
        <x:is>
          <x:t xml:space="preserve">DEX</x:t>
        </x:is>
      </x:c>
      <x:c r="H2" s="4" t="inlineStr">
        <x:is>
          <x:t xml:space="preserve">CON</x:t>
        </x:is>
      </x:c>
      <x:c r="I2" s="4" t="inlineStr">
        <x:is>
          <x:t xml:space="preserve">INT</x:t>
        </x:is>
      </x:c>
      <x:c r="J2" s="4" t="inlineStr">
        <x:is>
          <x:t xml:space="preserve">WIS</x:t>
        </x:is>
      </x:c>
      <x:c r="K2" s="4" t="inlineStr">
        <x:is>
          <x:t xml:space="preserve">CHA</x:t>
        </x:is>
      </x:c>
      <x:c r="L2" s="4" t="inlineStr">
        <x:is>
          <x:t xml:space="preserve">Saving Throws</x:t>
        </x:is>
      </x:c>
      <x:c r="M2" s="4" t="inlineStr">
        <x:is>
          <x:t xml:space="preserve">Skills</x:t>
        </x:is>
      </x:c>
      <x:c r="N2" s="4" t="inlineStr">
        <x:is>
          <x:t xml:space="preserve">Senses</x:t>
        </x:is>
      </x:c>
      <x:c r="O2" s="4" t="inlineStr">
        <x:is>
          <x:t xml:space="preserve">Languages</x:t>
        </x:is>
      </x:c>
      <x:c r="P2" s="4" t="inlineStr">
        <x:is>
          <x:t xml:space="preserve">Traits</x:t>
        </x:is>
      </x:c>
      <x:c r="Q2" s="4" t="inlineStr">
        <x:is>
          <x:t xml:space="preserve">Actions</x:t>
        </x:is>
      </x:c>
      <x:c r="R2" s="4" t="inlineStr">
        <x:is>
          <x:t xml:space="preserve">Bonus Actions</x:t>
        </x:is>
      </x:c>
      <x:c r="S2" s="4" t="inlineStr">
        <x:is>
          <x:t xml:space="preserve">Reactions</x:t>
        </x:is>
      </x:c>
      <x:c r="T2" s="4" t="inlineStr">
        <x:is>
          <x:t xml:space="preserve">Legendary/Lair Actions</x:t>
        </x:is>
      </x:c>
      <x:c r="U2" s="4" t="inlineStr">
        <x:is>
          <x:t xml:space="preserve">Spellcasting / Resources</x:t>
        </x:is>
      </x:c>
      <x:c r="V2" s="4" t="inlineStr">
        <x:is>
          <x:t xml:space="preserve">Monster Template</x:t>
        </x:is>
      </x:c>
    </x:row>
    <x:row r="3" ht="18" customHeight="1">
      <x:c r="A3" s="2"/>
      <x:c r="B3" s="2"/>
      <x:c r="C3" s="2"/>
      <x:c r="D3" s="2"/>
      <x:c r="E3" s="2"/>
      <x:c r="F3" s="2"/>
      <x:c r="G3" s="2"/>
      <x:c r="H3" s="2"/>
      <x:c r="I3" s="2"/>
      <x:c r="J3" s="2"/>
      <x:c r="K3" s="2"/>
      <x:c r="L3" s="2"/>
      <x:c r="M3" s="2"/>
      <x:c r="N3" s="2"/>
      <x:c r="O3" s="2"/>
      <x:c r="P3" s="2"/>
      <x:c r="Q3" s="2"/>
      <x:c r="R3" s="2"/>
      <x:c r="S3" s="2"/>
      <x:c r="T3" s="2"/>
      <x:c r="U3" s="2"/>
      <x:c r="V3" s="2"/>
    </x:row>
    <x:row r="4" ht="18" customHeight="1">
      <x:c r="A4" s="2"/>
      <x:c r="B4" s="2"/>
      <x:c r="C4" s="2"/>
      <x:c r="D4" s="2"/>
      <x:c r="E4" s="2"/>
      <x:c r="F4" s="2"/>
      <x:c r="G4" s="2"/>
      <x:c r="H4" s="2"/>
      <x:c r="I4" s="2"/>
      <x:c r="J4" s="2"/>
      <x:c r="K4" s="2"/>
      <x:c r="L4" s="2"/>
      <x:c r="M4" s="2"/>
      <x:c r="N4" s="2"/>
      <x:c r="O4" s="2"/>
      <x:c r="P4" s="2"/>
      <x:c r="Q4" s="2"/>
      <x:c r="R4" s="2"/>
      <x:c r="S4" s="2"/>
      <x:c r="T4" s="2"/>
      <x:c r="U4" s="2"/>
      <x:c r="V4" s="2"/>
    </x:row>
    <x:row r="5" ht="18" customHeight="1">
      <x:c r="A5" s="2"/>
      <x:c r="B5" s="2"/>
      <x:c r="C5" s="2"/>
      <x:c r="D5" s="2"/>
      <x:c r="E5" s="2"/>
      <x:c r="F5" s="2"/>
      <x:c r="G5" s="2"/>
      <x:c r="H5" s="2"/>
      <x:c r="I5" s="2"/>
      <x:c r="J5" s="2"/>
      <x:c r="K5" s="2"/>
      <x:c r="L5" s="2"/>
      <x:c r="M5" s="2"/>
      <x:c r="N5" s="2"/>
      <x:c r="O5" s="2"/>
      <x:c r="P5" s="2"/>
      <x:c r="Q5" s="2"/>
      <x:c r="R5" s="2"/>
      <x:c r="S5" s="2"/>
      <x:c r="T5" s="2"/>
      <x:c r="U5" s="2"/>
      <x:c r="V5" s="2"/>
    </x:row>
    <x:row r="6" ht="18" customHeight="1">
      <x:c r="A6" s="2"/>
      <x:c r="B6" s="2"/>
      <x:c r="C6" s="2"/>
      <x:c r="D6" s="2"/>
      <x:c r="E6" s="2"/>
      <x:c r="F6" s="2"/>
      <x:c r="G6" s="2"/>
      <x:c r="H6" s="2"/>
      <x:c r="I6" s="2"/>
      <x:c r="J6" s="2"/>
      <x:c r="K6" s="2"/>
      <x:c r="L6" s="2"/>
      <x:c r="M6" s="2"/>
      <x:c r="N6" s="2"/>
      <x:c r="O6" s="2"/>
      <x:c r="P6" s="2"/>
      <x:c r="Q6" s="2"/>
      <x:c r="R6" s="2"/>
      <x:c r="S6" s="2"/>
      <x:c r="T6" s="2"/>
      <x:c r="U6" s="2"/>
      <x:c r="V6" s="2"/>
    </x:row>
    <x:row r="7" ht="18" customHeight="1">
      <x:c r="A7" s="2"/>
      <x:c r="B7" s="2"/>
      <x:c r="C7" s="2"/>
      <x:c r="D7" s="2"/>
      <x:c r="E7" s="2"/>
      <x:c r="F7" s="2"/>
      <x:c r="G7" s="2"/>
      <x:c r="H7" s="2"/>
      <x:c r="I7" s="2"/>
      <x:c r="J7" s="2"/>
      <x:c r="K7" s="2"/>
      <x:c r="L7" s="2"/>
      <x:c r="M7" s="2"/>
      <x:c r="N7" s="2"/>
      <x:c r="O7" s="2"/>
      <x:c r="P7" s="2"/>
      <x:c r="Q7" s="2"/>
      <x:c r="R7" s="2"/>
      <x:c r="S7" s="2"/>
      <x:c r="T7" s="2"/>
      <x:c r="U7" s="2"/>
      <x:c r="V7" s="2"/>
    </x:row>
    <x:row r="8" ht="18" customHeight="1">
      <x:c r="A8" s="2"/>
      <x:c r="B8" s="2"/>
      <x:c r="C8" s="2"/>
      <x:c r="D8" s="2"/>
      <x:c r="E8" s="2"/>
      <x:c r="F8" s="2"/>
      <x:c r="G8" s="2"/>
      <x:c r="H8" s="2"/>
      <x:c r="I8" s="2"/>
      <x:c r="J8" s="2"/>
      <x:c r="K8" s="2"/>
      <x:c r="L8" s="2"/>
      <x:c r="M8" s="2"/>
      <x:c r="N8" s="2"/>
      <x:c r="O8" s="2"/>
      <x:c r="P8" s="2"/>
      <x:c r="Q8" s="2"/>
      <x:c r="R8" s="2"/>
      <x:c r="S8" s="2"/>
      <x:c r="T8" s="2"/>
      <x:c r="U8" s="2"/>
      <x:c r="V8" s="2"/>
    </x:row>
    <x:row r="9" ht="18" customHeight="1">
      <x:c r="A9" s="2"/>
      <x:c r="B9" s="2"/>
      <x:c r="C9" s="2"/>
      <x:c r="D9" s="2"/>
      <x:c r="E9" s="2"/>
      <x:c r="F9" s="2"/>
      <x:c r="G9" s="2"/>
      <x:c r="H9" s="2"/>
      <x:c r="I9" s="2"/>
      <x:c r="J9" s="2"/>
      <x:c r="K9" s="2"/>
      <x:c r="L9" s="2"/>
      <x:c r="M9" s="2"/>
      <x:c r="N9" s="2"/>
      <x:c r="O9" s="2"/>
      <x:c r="P9" s="2"/>
      <x:c r="Q9" s="2"/>
      <x:c r="R9" s="2"/>
      <x:c r="S9" s="2"/>
      <x:c r="T9" s="2"/>
      <x:c r="U9" s="2"/>
      <x:c r="V9" s="2"/>
    </x:row>
    <x:row r="10" ht="18" customHeight="1">
      <x:c r="A10" s="2"/>
      <x:c r="B10" s="2"/>
      <x:c r="C10" s="2"/>
      <x:c r="D10" s="2"/>
      <x:c r="E10" s="2"/>
      <x:c r="F10" s="2"/>
      <x:c r="G10" s="2"/>
      <x:c r="H10" s="2"/>
      <x:c r="I10" s="2"/>
      <x:c r="J10" s="2"/>
      <x:c r="K10" s="2"/>
      <x:c r="L10" s="2"/>
      <x:c r="M10" s="2"/>
      <x:c r="N10" s="2"/>
      <x:c r="O10" s="2"/>
      <x:c r="P10" s="2"/>
      <x:c r="Q10" s="2"/>
      <x:c r="R10" s="2"/>
      <x:c r="S10" s="2"/>
      <x:c r="T10" s="2"/>
      <x:c r="U10" s="2"/>
      <x:c r="V10" s="2"/>
    </x:row>
    <x:row r="11" ht="18" customHeight="1">
      <x:c r="A11" s="2"/>
      <x:c r="B11" s="2"/>
      <x:c r="C11" s="2"/>
      <x:c r="D11" s="2"/>
      <x:c r="E11" s="2"/>
      <x:c r="F11" s="2"/>
      <x:c r="G11" s="2"/>
      <x:c r="H11" s="2"/>
      <x:c r="I11" s="2"/>
      <x:c r="J11" s="2"/>
      <x:c r="K11" s="2"/>
      <x:c r="L11" s="2"/>
      <x:c r="M11" s="2"/>
      <x:c r="N11" s="2"/>
      <x:c r="O11" s="2"/>
      <x:c r="P11" s="2"/>
      <x:c r="Q11" s="2"/>
      <x:c r="R11" s="2"/>
      <x:c r="S11" s="2"/>
      <x:c r="T11" s="2"/>
      <x:c r="U11" s="2"/>
      <x:c r="V11" s="2"/>
    </x:row>
    <x:row r="12" ht="18" customHeight="1">
      <x:c r="A12" s="2"/>
      <x:c r="B12" s="2"/>
      <x:c r="C12" s="2"/>
      <x:c r="D12" s="2"/>
      <x:c r="E12" s="2"/>
      <x:c r="F12" s="2"/>
      <x:c r="G12" s="2"/>
      <x:c r="H12" s="2"/>
      <x:c r="I12" s="2"/>
      <x:c r="J12" s="2"/>
      <x:c r="K12" s="2"/>
      <x:c r="L12" s="2"/>
      <x:c r="M12" s="2"/>
      <x:c r="N12" s="2"/>
      <x:c r="O12" s="2"/>
      <x:c r="P12" s="2"/>
      <x:c r="Q12" s="2"/>
      <x:c r="R12" s="2"/>
      <x:c r="S12" s="2"/>
      <x:c r="T12" s="2"/>
      <x:c r="U12" s="2"/>
      <x:c r="V12" s="2"/>
    </x:row>
    <x:row r="13" ht="18" customHeight="1">
      <x:c r="A13" s="2"/>
      <x:c r="B13" s="2"/>
      <x:c r="C13" s="2"/>
      <x:c r="D13" s="2"/>
      <x:c r="E13" s="2"/>
      <x:c r="F13" s="2"/>
      <x:c r="G13" s="2"/>
      <x:c r="H13" s="2"/>
      <x:c r="I13" s="2"/>
      <x:c r="J13" s="2"/>
      <x:c r="K13" s="2"/>
      <x:c r="L13" s="2"/>
      <x:c r="M13" s="2"/>
      <x:c r="N13" s="2"/>
      <x:c r="O13" s="2"/>
      <x:c r="P13" s="2"/>
      <x:c r="Q13" s="2"/>
      <x:c r="R13" s="2"/>
      <x:c r="S13" s="2"/>
      <x:c r="T13" s="2"/>
      <x:c r="U13" s="2"/>
      <x:c r="V13" s="2"/>
    </x:row>
    <x:row r="14" ht="18" customHeight="1">
      <x:c r="A14" s="2"/>
      <x:c r="B14" s="2"/>
      <x:c r="C14" s="2"/>
      <x:c r="D14" s="2"/>
      <x:c r="E14" s="2"/>
      <x:c r="F14" s="2"/>
      <x:c r="G14" s="2"/>
      <x:c r="H14" s="2"/>
      <x:c r="I14" s="2"/>
      <x:c r="J14" s="2"/>
      <x:c r="K14" s="2"/>
      <x:c r="L14" s="2"/>
      <x:c r="M14" s="2"/>
      <x:c r="N14" s="2"/>
      <x:c r="O14" s="2"/>
      <x:c r="P14" s="2"/>
      <x:c r="Q14" s="2"/>
      <x:c r="R14" s="2"/>
      <x:c r="S14" s="2"/>
      <x:c r="T14" s="2"/>
      <x:c r="U14" s="2"/>
      <x:c r="V14" s="2"/>
    </x:row>
  </x:sheetData>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baseColWidth="8" defaultRowHeight="15"/>
  <x:cols>
    <x:col min="1" max="1" width="45" customWidth="1"/>
    <x:col min="2" max="2" width="10" customWidth="1"/>
  </x:cols>
  <x:sheetData>
    <x:row r="1" ht="18" customHeight="1">
      <x:c r="A1" s="6" t="str">
        <x:v>Combat Summary Export</x:v>
      </x:c>
      <x:c r="B1"/>
    </x:row>
    <x:row r="2" ht="18" customHeight="1">
      <x:c r="A2" t="str">
        <x:v>Status</x:v>
      </x:c>
      <x:c r="B2" t="str">
        <x:v>Ready for a new encounter</x:v>
      </x:c>
    </x:row>
    <x:row r="3" ht="18" customHeight="1">
      <x:c r="A3" s="7" t="str">
        <x:v>Instructions</x:v>
      </x:c>
      <x:c r="B3" t="str">
        <x:v>After combat is played, this tab should contain the final turn-by-turn summary.</x:v>
      </x:c>
    </x:row>
    <x:row r="4" ht="18" customHeight="1">
      <x:c r="A4" s="2" t="str">
        <x:v>Reset Notes</x:v>
      </x:c>
      <x:c r="B4" s="2" t="str">
        <x:v>Prior generated encounter data has been cleared.</x:v>
      </x:c>
    </x:row>
    <x:row r="5" ht="18" customHeight="1">
      <x:c r="A5" s="2"/>
      <x:c r="B5" s="2"/>
    </x:row>
    <x:row r="6" ht="18" customHeight="1">
      <x:c r="A6" s="2" t="str">
        <x:v>Encounter Statistics</x:v>
      </x:c>
      <x:c r="B6" s="2"/>
    </x:row>
    <x:row r="7" ht="18" customHeight="1">
      <x:c r="A7" s="2" t="str">
        <x:v>Total Damage</x:v>
      </x:c>
      <x:c r="B7" s="2"/>
    </x:row>
    <x:row r="8" ht="18" customHeight="1">
      <x:c r="A8" s="2" t="str">
        <x:v>Total Healing</x:v>
      </x:c>
      <x:c r="B8" s="2"/>
    </x:row>
    <x:row r="9" ht="18" customHeight="1">
      <x:c r="A9" s="2"/>
      <x:c r="B9" s="2"/>
    </x:row>
    <x:row r="10" ht="18" customHeight="1">
      <x:c r="A10" s="2"/>
      <x:c r="B10" s="2"/>
    </x:row>
    <x:row r="11" ht="18" customHeight="1"/>
    <x:row r="12" ht="18" customHeight="1">
      <x:c r="A12" s="7"/>
    </x:row>
    <x:row r="13" ht="18" customHeight="1">
      <x:c r="A13" s="8"/>
    </x:row>
    <x:row r="14" ht="18" customHeight="1">
      <x:c r="A14" s="2"/>
    </x:row>
    <x:row r="15" ht="18" customHeight="1">
      <x:c r="A15" s="2"/>
    </x:row>
    <x:row r="16" ht="18" customHeight="1">
      <x:c r="A16" s="2"/>
    </x:row>
    <x:row r="17" ht="18" customHeight="1">
      <x:c r="A17" s="2"/>
    </x:row>
    <x:row r="18" ht="18" customHeight="1">
      <x:c r="A18" s="2"/>
    </x:row>
    <x:row r="19" ht="18" customHeight="1">
      <x:c r="A19" s="2"/>
    </x:row>
    <x:row r="20" ht="18" customHeight="1">
      <x:c r="A20" s="2"/>
    </x:row>
    <x:row r="21" ht="18" customHeight="1">
      <x:c r="A21" s="2"/>
    </x:row>
    <x:row r="22" ht="18" customHeight="1">
      <x:c r="A22" s="2"/>
    </x:row>
    <x:row r="23" ht="18" customHeight="1">
      <x:c r="A23" s="2"/>
    </x:row>
    <x:row r="24" ht="18" customHeight="1">
      <x:c r="A24" s="2"/>
    </x:row>
    <x:row r="25" ht="18" customHeight="1">
      <x:c r="A25" s="8"/>
    </x:row>
    <x:row r="26" ht="18" customHeight="1">
      <x:c r="A26" s="2"/>
    </x:row>
    <x:row r="27" ht="18" customHeight="1">
      <x:c r="A27" s="2"/>
    </x:row>
    <x:row r="28" ht="18" customHeight="1">
      <x:c r="A28" s="2"/>
    </x:row>
    <x:row r="29" ht="18" customHeight="1">
      <x:c r="A29" s="2"/>
    </x:row>
    <x:row r="30" ht="18" customHeight="1">
      <x:c r="A30" s="2"/>
    </x:row>
    <x:row r="31" ht="18" customHeight="1">
      <x:c r="A31" s="2"/>
    </x:row>
    <x:row r="32" ht="18" customHeight="1">
      <x:c r="A32" s="2"/>
    </x:row>
    <x:row r="33" ht="18" customHeight="1">
      <x:c r="A33" s="2"/>
    </x:row>
    <x:row r="34" ht="18" customHeight="1">
      <x:c r="A34" s="2"/>
    </x:row>
    <x:row r="35" ht="18" customHeight="1">
      <x:c r="A35" s="2"/>
    </x:row>
    <x:row r="36" ht="18" customHeight="1">
      <x:c r="A36" s="8"/>
    </x:row>
    <x:row r="37" ht="18" customHeight="1">
      <x:c r="A37" s="2"/>
    </x:row>
    <x:row r="38" ht="18" customHeight="1">
      <x:c r="A38" s="2"/>
    </x:row>
    <x:row r="39" ht="18" customHeight="1">
      <x:c r="A39" s="2"/>
    </x:row>
    <x:row r="40" ht="18" customHeight="1">
      <x:c r="A40" s="2"/>
    </x:row>
    <x:row r="41" ht="18" customHeight="1">
      <x:c r="A41" s="2"/>
    </x:row>
    <x:row r="42" ht="18" customHeight="1">
      <x:c r="A42" s="2"/>
    </x:row>
    <x:row r="43" ht="18" customHeight="1">
      <x:c r="A43" s="2"/>
    </x:row>
    <x:row r="44" ht="18" customHeight="1">
      <x:c r="A44" s="2"/>
    </x:row>
    <x:row r="45" ht="18" customHeight="1">
      <x:c r="A45" s="2"/>
    </x:row>
  </x:sheetData>
  <x:pageMargins left="0.7" right="0.7" top="0.75" bottom="0.75" header="0.3" footer="0.3"/>
</x:worksheet>
</file>

<file path=xl/worksheets/sheet13.xml><?xml version="1.0" encoding="utf-8"?>
<x:worksheet xmlns:x="http://schemas.openxmlformats.org/spreadsheetml/2006/main">
  <x:sheetViews>
    <x:sheetView showGridLines="1" workbookViewId="0"/>
  </x:sheetViews>
  <x:sheetFormatPr baseColWidth="8" defaultRowHeight="15"/>
  <x:cols>
    <x:col min="1" max="1" width="13" customWidth="1"/>
    <x:col min="2" max="2" width="16" customWidth="1"/>
    <x:col min="3" max="3" width="10" customWidth="1"/>
    <x:col min="4" max="4" width="12" customWidth="1"/>
    <x:col min="5" max="5" width="10" customWidth="1"/>
    <x:col min="6" max="6" width="10" customWidth="1"/>
    <x:col min="7" max="7" width="10" customWidth="1"/>
    <x:col min="8" max="8" width="10" customWidth="1"/>
    <x:col min="9" max="9" width="10" customWidth="1"/>
    <x:col min="10" max="10" width="20" customWidth="1"/>
    <x:col min="11" max="11" width="24" customWidth="1"/>
    <x:col min="12" max="12" width="10" customWidth="1"/>
  </x:cols>
  <x:sheetData>
    <x:row r="1" ht="18" customHeight="1">
      <x:c r="A1" s="5" t="inlineStr">
        <x:is>
          <x:t xml:space="preserve">Player Name</x:t>
        </x:is>
      </x:c>
      <x:c r="B1" s="9" t="inlineStr">
        <x:is>
          <x:t xml:space="preserve">Character Name</x:t>
        </x:is>
      </x:c>
      <x:c r="C1" s="9" t="inlineStr">
        <x:is>
          <x:t xml:space="preserve">Species</x:t>
        </x:is>
      </x:c>
      <x:c r="D1" s="9" t="inlineStr">
        <x:is>
          <x:t xml:space="preserve">Background</x:t>
        </x:is>
      </x:c>
      <x:c r="E1" s="9" t="inlineStr">
        <x:is>
          <x:t xml:space="preserve">Class</x:t>
        </x:is>
      </x:c>
      <x:c r="F1" s="9" t="inlineStr">
        <x:is>
          <x:t xml:space="preserve">Subclass</x:t>
        </x:is>
      </x:c>
      <x:c r="G1" s="9" t="inlineStr">
        <x:is>
          <x:t xml:space="preserve">Level</x:t>
        </x:is>
      </x:c>
      <x:c r="H1" s="9" t="inlineStr">
        <x:is>
          <x:t xml:space="preserve">Feat 1</x:t>
        </x:is>
      </x:c>
      <x:c r="I1" s="9" t="inlineStr">
        <x:is>
          <x:t xml:space="preserve">Feat 2</x:t>
        </x:is>
      </x:c>
      <x:c r="J1" s="9" t="inlineStr">
        <x:is>
          <x:t xml:space="preserve">Spellcasting Class</x:t>
        </x:is>
      </x:c>
      <x:c r="K1" s="9" t="inlineStr">
        <x:is>
          <x:t xml:space="preserve">Prepared / Known Spell</x:t>
        </x:is>
      </x:c>
      <x:c r="L1" s="9" t="inlineStr">
        <x:is>
          <x:t xml:space="preserve">Notes</x:t>
        </x:is>
      </x:c>
    </x:row>
    <x:row r="2" ht="18" customHeight="1">
      <x:c r="A2" s="2"/>
      <x:c r="B2" s="2"/>
      <x:c r="C2" s="2"/>
      <x:c r="D2" s="2"/>
      <x:c r="E2" s="2"/>
      <x:c r="F2" s="2"/>
      <x:c r="G2" s="2"/>
      <x:c r="H2" s="2"/>
      <x:c r="I2" s="2"/>
      <x:c r="J2" s="2"/>
      <x:c r="K2" s="2"/>
      <x:c r="L2" s="2"/>
    </x:row>
    <x:row r="3" ht="18" customHeight="1">
      <x:c r="A3" s="2"/>
      <x:c r="B3" s="2"/>
      <x:c r="C3" s="2"/>
      <x:c r="D3" s="2"/>
      <x:c r="E3" s="2"/>
      <x:c r="F3" s="2"/>
      <x:c r="G3" s="2"/>
      <x:c r="H3" s="2"/>
      <x:c r="I3" s="2"/>
      <x:c r="J3" s="2"/>
      <x:c r="K3" s="2"/>
      <x:c r="L3" s="2"/>
    </x:row>
    <x:row r="4" ht="18" customHeight="1">
      <x:c r="A4" s="2"/>
      <x:c r="B4" s="2"/>
      <x:c r="C4" s="2"/>
      <x:c r="D4" s="2"/>
      <x:c r="E4" s="2"/>
      <x:c r="F4" s="2"/>
      <x:c r="G4" s="2"/>
      <x:c r="H4" s="2"/>
      <x:c r="I4" s="2"/>
      <x:c r="J4" s="2"/>
      <x:c r="K4" s="2"/>
      <x:c r="L4" s="2"/>
    </x:row>
    <x:row r="5" ht="18" customHeight="1">
      <x:c r="A5" s="2"/>
      <x:c r="B5" s="2"/>
      <x:c r="C5" s="2"/>
      <x:c r="D5" s="2"/>
      <x:c r="E5" s="2"/>
      <x:c r="F5" s="2"/>
      <x:c r="G5" s="2"/>
      <x:c r="H5" s="2"/>
      <x:c r="I5" s="2"/>
      <x:c r="J5" s="2"/>
      <x:c r="K5" s="2"/>
      <x:c r="L5" s="2"/>
    </x:row>
    <x:row r="6" ht="18" customHeight="1">
      <x:c r="A6" s="2"/>
      <x:c r="B6" s="2"/>
      <x:c r="C6" s="2"/>
      <x:c r="D6" s="2"/>
      <x:c r="E6" s="2"/>
      <x:c r="F6" s="2"/>
      <x:c r="G6" s="2"/>
      <x:c r="H6" s="2"/>
      <x:c r="I6" s="2"/>
      <x:c r="J6" s="2"/>
      <x:c r="K6" s="2"/>
      <x:c r="L6" s="2"/>
    </x:row>
    <x:row r="7" ht="18" customHeight="1">
      <x:c r="A7" s="2"/>
      <x:c r="B7" s="2"/>
      <x:c r="C7" s="2"/>
      <x:c r="D7" s="2"/>
      <x:c r="E7" s="2"/>
      <x:c r="F7" s="2"/>
      <x:c r="G7" s="2"/>
      <x:c r="H7" s="2"/>
      <x:c r="I7" s="2"/>
      <x:c r="J7" s="2"/>
      <x:c r="K7" s="2"/>
      <x:c r="L7" s="2"/>
    </x:row>
    <x:row r="8" ht="18" customHeight="1">
      <x:c r="A8" s="2"/>
      <x:c r="B8" s="2"/>
      <x:c r="C8" s="2"/>
      <x:c r="D8" s="2"/>
      <x:c r="E8" s="2"/>
      <x:c r="F8" s="2"/>
      <x:c r="G8" s="2"/>
      <x:c r="H8" s="2"/>
      <x:c r="I8" s="2"/>
      <x:c r="J8" s="2"/>
      <x:c r="K8" s="2"/>
      <x:c r="L8" s="2"/>
    </x:row>
    <x:row r="9" ht="18" customHeight="1">
      <x:c r="A9" s="2"/>
      <x:c r="B9" s="2"/>
      <x:c r="C9" s="2"/>
      <x:c r="D9" s="2"/>
      <x:c r="E9" s="2"/>
      <x:c r="F9" s="2"/>
      <x:c r="G9" s="2"/>
      <x:c r="H9" s="2"/>
      <x:c r="I9" s="2"/>
      <x:c r="J9" s="2"/>
      <x:c r="K9" s="2"/>
      <x:c r="L9" s="2"/>
    </x:row>
    <x:row r="10" ht="18" customHeight="1">
      <x:c r="A10" s="2"/>
      <x:c r="B10" s="2"/>
      <x:c r="C10" s="2"/>
      <x:c r="D10" s="2"/>
      <x:c r="E10" s="2"/>
      <x:c r="F10" s="2"/>
      <x:c r="G10" s="2"/>
      <x:c r="H10" s="2"/>
      <x:c r="I10" s="2"/>
      <x:c r="J10" s="2"/>
      <x:c r="K10" s="2"/>
      <x:c r="L10" s="2"/>
    </x:row>
    <x:row r="11" ht="18" customHeight="1">
      <x:c r="A11" s="2"/>
      <x:c r="B11" s="2"/>
      <x:c r="C11" s="2"/>
      <x:c r="D11" s="2"/>
      <x:c r="E11" s="2"/>
      <x:c r="F11" s="2"/>
      <x:c r="G11" s="2"/>
      <x:c r="H11" s="2"/>
      <x:c r="I11" s="2"/>
      <x:c r="J11" s="2"/>
      <x:c r="K11" s="2"/>
      <x:c r="L11" s="2"/>
    </x:row>
    <x:row r="12" ht="18" customHeight="1">
      <x:c r="A12" s="2"/>
      <x:c r="B12" s="2"/>
      <x:c r="C12" s="2"/>
      <x:c r="D12" s="2"/>
      <x:c r="E12" s="2"/>
      <x:c r="F12" s="2"/>
      <x:c r="G12" s="2"/>
      <x:c r="H12" s="2"/>
      <x:c r="I12" s="2"/>
      <x:c r="J12" s="2"/>
      <x:c r="K12" s="2"/>
      <x:c r="L12" s="2"/>
    </x:row>
    <x:row r="13" ht="18" customHeight="1">
      <x:c r="A13" s="2"/>
      <x:c r="B13" s="2"/>
      <x:c r="C13" s="2"/>
      <x:c r="D13" s="2"/>
      <x:c r="E13" s="2"/>
      <x:c r="F13" s="2"/>
      <x:c r="G13" s="2"/>
      <x:c r="H13" s="2"/>
      <x:c r="I13" s="2"/>
      <x:c r="J13" s="2"/>
      <x:c r="K13" s="2"/>
      <x:c r="L13" s="2"/>
    </x:row>
    <x:row r="14" ht="18" customHeight="1">
      <x:c r="A14" s="2"/>
      <x:c r="B14" s="2"/>
      <x:c r="C14" s="2"/>
      <x:c r="D14" s="2"/>
      <x:c r="E14" s="2"/>
      <x:c r="F14" s="2"/>
      <x:c r="G14" s="2"/>
      <x:c r="H14" s="2"/>
      <x:c r="I14" s="2"/>
      <x:c r="J14" s="2"/>
      <x:c r="K14" s="2"/>
      <x:c r="L14" s="2"/>
    </x:row>
    <x:row r="15" ht="18" customHeight="1">
      <x:c r="A15" s="2"/>
      <x:c r="B15" s="2"/>
      <x:c r="C15" s="2"/>
      <x:c r="D15" s="2"/>
      <x:c r="E15" s="2"/>
      <x:c r="F15" s="2"/>
      <x:c r="G15" s="2"/>
      <x:c r="H15" s="2"/>
      <x:c r="I15" s="2"/>
      <x:c r="J15" s="2"/>
      <x:c r="K15" s="2"/>
      <x:c r="L15" s="2"/>
    </x:row>
    <x:row r="16" ht="18" customHeight="1">
      <x:c r="A16" s="2"/>
      <x:c r="B16" s="2"/>
      <x:c r="C16" s="2"/>
      <x:c r="D16" s="2"/>
      <x:c r="E16" s="2"/>
      <x:c r="F16" s="2"/>
      <x:c r="G16" s="2"/>
      <x:c r="H16" s="2"/>
      <x:c r="I16" s="2"/>
      <x:c r="J16" s="2"/>
      <x:c r="K16" s="2"/>
      <x:c r="L16" s="2"/>
    </x:row>
    <x:row r="17" ht="18" customHeight="1">
      <x:c r="A17" s="2"/>
      <x:c r="B17" s="2"/>
      <x:c r="C17" s="2"/>
      <x:c r="D17" s="2"/>
      <x:c r="E17" s="2"/>
      <x:c r="F17" s="2"/>
      <x:c r="G17" s="2"/>
      <x:c r="H17" s="2"/>
      <x:c r="I17" s="2"/>
      <x:c r="J17" s="2"/>
      <x:c r="K17" s="2"/>
      <x:c r="L17" s="2"/>
    </x:row>
    <x:row r="18" ht="18" customHeight="1">
      <x:c r="A18" s="2"/>
      <x:c r="B18" s="2"/>
      <x:c r="C18" s="2"/>
      <x:c r="D18" s="2"/>
      <x:c r="E18" s="2"/>
      <x:c r="F18" s="2"/>
      <x:c r="G18" s="2"/>
      <x:c r="H18" s="2"/>
      <x:c r="I18" s="2"/>
      <x:c r="J18" s="2"/>
      <x:c r="K18" s="2"/>
      <x:c r="L18" s="2"/>
    </x:row>
    <x:row r="19" ht="18" customHeight="1">
      <x:c r="A19" s="2"/>
      <x:c r="B19" s="2"/>
      <x:c r="C19" s="2"/>
      <x:c r="D19" s="2"/>
      <x:c r="E19" s="2"/>
      <x:c r="F19" s="2"/>
      <x:c r="G19" s="2"/>
      <x:c r="H19" s="2"/>
      <x:c r="I19" s="2"/>
      <x:c r="J19" s="2"/>
      <x:c r="K19" s="2"/>
      <x:c r="L19" s="2"/>
    </x:row>
    <x:row r="20" ht="18" customHeight="1">
      <x:c r="A20" s="2"/>
      <x:c r="B20" s="2"/>
      <x:c r="C20" s="2"/>
      <x:c r="D20" s="2"/>
      <x:c r="E20" s="2"/>
      <x:c r="F20" s="2"/>
      <x:c r="G20" s="2"/>
      <x:c r="H20" s="2"/>
      <x:c r="I20" s="2"/>
      <x:c r="J20" s="2"/>
      <x:c r="K20" s="2"/>
      <x:c r="L20" s="2"/>
    </x:row>
    <x:row r="21" ht="18" customHeight="1">
      <x:c r="A21" s="2"/>
      <x:c r="B21" s="2"/>
      <x:c r="C21" s="2"/>
      <x:c r="D21" s="2"/>
      <x:c r="E21" s="2"/>
      <x:c r="F21" s="2"/>
      <x:c r="G21" s="2"/>
      <x:c r="H21" s="2"/>
      <x:c r="I21" s="2"/>
      <x:c r="J21" s="2"/>
      <x:c r="K21" s="2"/>
      <x:c r="L21" s="2"/>
    </x:row>
    <x:row r="22" ht="18" customHeight="1">
      <x:c r="A22" s="2"/>
      <x:c r="B22" s="2"/>
      <x:c r="C22" s="2"/>
      <x:c r="D22" s="2"/>
      <x:c r="E22" s="2"/>
      <x:c r="F22" s="2"/>
      <x:c r="G22" s="2"/>
      <x:c r="H22" s="2"/>
      <x:c r="I22" s="2"/>
      <x:c r="J22" s="2"/>
      <x:c r="K22" s="2"/>
      <x:c r="L22" s="2"/>
    </x:row>
    <x:row r="23" ht="18" customHeight="1">
      <x:c r="A23" s="2"/>
      <x:c r="B23" s="2"/>
      <x:c r="C23" s="2"/>
      <x:c r="D23" s="2"/>
      <x:c r="E23" s="2"/>
      <x:c r="F23" s="2"/>
      <x:c r="G23" s="2"/>
      <x:c r="H23" s="2"/>
      <x:c r="I23" s="2"/>
      <x:c r="J23" s="2"/>
      <x:c r="K23" s="2"/>
      <x:c r="L23" s="2"/>
    </x:row>
    <x:row r="24" ht="18" customHeight="1">
      <x:c r="A24" s="2"/>
      <x:c r="B24" s="2"/>
      <x:c r="C24" s="2"/>
      <x:c r="D24" s="2"/>
      <x:c r="E24" s="2"/>
      <x:c r="F24" s="2"/>
      <x:c r="G24" s="2"/>
      <x:c r="H24" s="2"/>
      <x:c r="I24" s="2"/>
      <x:c r="J24" s="2"/>
      <x:c r="K24" s="2"/>
      <x:c r="L24" s="2"/>
    </x:row>
    <x:row r="25" ht="18" customHeight="1">
      <x:c r="A25" s="2"/>
      <x:c r="B25" s="2"/>
      <x:c r="C25" s="2"/>
      <x:c r="D25" s="2"/>
      <x:c r="E25" s="2"/>
      <x:c r="F25" s="2"/>
      <x:c r="G25" s="2"/>
      <x:c r="H25" s="2"/>
      <x:c r="I25" s="2"/>
      <x:c r="J25" s="2"/>
      <x:c r="K25" s="2"/>
      <x:c r="L25" s="2"/>
    </x:row>
    <x:row r="26" ht="18" customHeight="1">
      <x:c r="A26" s="2"/>
      <x:c r="B26" s="2"/>
      <x:c r="C26" s="2"/>
      <x:c r="D26" s="2"/>
      <x:c r="E26" s="2"/>
      <x:c r="F26" s="2"/>
      <x:c r="G26" s="2"/>
      <x:c r="H26" s="2"/>
      <x:c r="I26" s="2"/>
      <x:c r="J26" s="2"/>
      <x:c r="K26" s="2"/>
      <x:c r="L26" s="2"/>
    </x:row>
    <x:row r="27" ht="18" customHeight="1">
      <x:c r="A27" s="2"/>
      <x:c r="B27" s="2"/>
      <x:c r="C27" s="2"/>
      <x:c r="D27" s="2"/>
      <x:c r="E27" s="2"/>
      <x:c r="F27" s="2"/>
      <x:c r="G27" s="2"/>
      <x:c r="H27" s="2"/>
      <x:c r="I27" s="2"/>
      <x:c r="J27" s="2"/>
      <x:c r="K27" s="2"/>
      <x:c r="L27" s="2"/>
    </x:row>
    <x:row r="28" ht="18" customHeight="1">
      <x:c r="A28" s="2"/>
      <x:c r="B28" s="2"/>
      <x:c r="C28" s="2"/>
      <x:c r="D28" s="2"/>
      <x:c r="E28" s="2"/>
      <x:c r="F28" s="2"/>
      <x:c r="G28" s="2"/>
      <x:c r="H28" s="2"/>
      <x:c r="I28" s="2"/>
      <x:c r="J28" s="2"/>
      <x:c r="K28" s="2"/>
      <x:c r="L28" s="2"/>
    </x:row>
    <x:row r="29" ht="18" customHeight="1">
      <x:c r="A29" s="2"/>
      <x:c r="B29" s="2"/>
      <x:c r="C29" s="2"/>
      <x:c r="D29" s="2"/>
      <x:c r="E29" s="2"/>
      <x:c r="F29" s="2"/>
      <x:c r="G29" s="2"/>
      <x:c r="H29" s="2"/>
      <x:c r="I29" s="2"/>
      <x:c r="J29" s="2"/>
      <x:c r="K29" s="2"/>
      <x:c r="L29" s="2"/>
    </x:row>
    <x:row r="30" ht="18" customHeight="1">
      <x:c r="A30" s="2"/>
      <x:c r="B30" s="2"/>
      <x:c r="C30" s="2"/>
      <x:c r="D30" s="2"/>
      <x:c r="E30" s="2"/>
      <x:c r="F30" s="2"/>
      <x:c r="G30" s="2"/>
      <x:c r="H30" s="2"/>
      <x:c r="I30" s="2"/>
      <x:c r="J30" s="2"/>
      <x:c r="K30" s="2"/>
      <x:c r="L30" s="2"/>
    </x:row>
    <x:row r="31" ht="18" customHeight="1">
      <x:c r="A31" s="2"/>
      <x:c r="B31" s="2"/>
      <x:c r="C31" s="2"/>
      <x:c r="D31" s="2"/>
      <x:c r="E31" s="2"/>
      <x:c r="F31" s="2"/>
      <x:c r="G31" s="2"/>
      <x:c r="H31" s="2"/>
      <x:c r="I31" s="2"/>
      <x:c r="J31" s="2"/>
      <x:c r="K31" s="2"/>
      <x:c r="L31" s="2"/>
    </x:row>
    <x:row r="32" ht="18" customHeight="1">
      <x:c r="A32" s="2"/>
      <x:c r="B32" s="2"/>
      <x:c r="C32" s="2"/>
      <x:c r="D32" s="2"/>
      <x:c r="E32" s="2"/>
      <x:c r="F32" s="2"/>
      <x:c r="G32" s="2"/>
      <x:c r="H32" s="2"/>
      <x:c r="I32" s="2"/>
      <x:c r="J32" s="2"/>
      <x:c r="K32" s="2"/>
      <x:c r="L32" s="2"/>
    </x:row>
    <x:row r="33" ht="18" customHeight="1">
      <x:c r="A33" s="2"/>
      <x:c r="B33" s="2"/>
      <x:c r="C33" s="2"/>
      <x:c r="D33" s="2"/>
      <x:c r="E33" s="2"/>
      <x:c r="F33" s="2"/>
      <x:c r="G33" s="2"/>
      <x:c r="H33" s="2"/>
      <x:c r="I33" s="2"/>
      <x:c r="J33" s="2"/>
      <x:c r="K33" s="2"/>
      <x:c r="L33" s="2"/>
    </x:row>
    <x:row r="34" ht="18" customHeight="1">
      <x:c r="A34" s="2"/>
      <x:c r="B34" s="2"/>
      <x:c r="C34" s="2"/>
      <x:c r="D34" s="2"/>
      <x:c r="E34" s="2"/>
      <x:c r="F34" s="2"/>
      <x:c r="G34" s="2"/>
      <x:c r="H34" s="2"/>
      <x:c r="I34" s="2"/>
      <x:c r="J34" s="2"/>
      <x:c r="K34" s="2"/>
      <x:c r="L34" s="2"/>
    </x:row>
    <x:row r="35" ht="18" customHeight="1">
      <x:c r="A35" s="2"/>
      <x:c r="B35" s="2"/>
      <x:c r="C35" s="2"/>
      <x:c r="D35" s="2"/>
      <x:c r="E35" s="2"/>
      <x:c r="F35" s="2"/>
      <x:c r="G35" s="2"/>
      <x:c r="H35" s="2"/>
      <x:c r="I35" s="2"/>
      <x:c r="J35" s="2"/>
      <x:c r="K35" s="2"/>
      <x:c r="L35" s="2"/>
    </x:row>
    <x:row r="36" ht="18" customHeight="1">
      <x:c r="A36" s="2"/>
      <x:c r="B36" s="2"/>
      <x:c r="C36" s="2"/>
      <x:c r="D36" s="2"/>
      <x:c r="E36" s="2"/>
      <x:c r="F36" s="2"/>
      <x:c r="G36" s="2"/>
      <x:c r="H36" s="2"/>
      <x:c r="I36" s="2"/>
      <x:c r="J36" s="2"/>
      <x:c r="K36" s="2"/>
      <x:c r="L36" s="2"/>
    </x:row>
    <x:row r="37" ht="18" customHeight="1">
      <x:c r="A37" s="2"/>
      <x:c r="B37" s="2"/>
      <x:c r="C37" s="2"/>
      <x:c r="D37" s="2"/>
      <x:c r="E37" s="2"/>
      <x:c r="F37" s="2"/>
      <x:c r="G37" s="2"/>
      <x:c r="H37" s="2"/>
      <x:c r="I37" s="2"/>
      <x:c r="J37" s="2"/>
      <x:c r="K37" s="2"/>
      <x:c r="L37" s="2"/>
    </x:row>
    <x:row r="38" ht="18" customHeight="1">
      <x:c r="A38" s="2"/>
      <x:c r="B38" s="2"/>
      <x:c r="C38" s="2"/>
      <x:c r="D38" s="2"/>
      <x:c r="E38" s="2"/>
      <x:c r="F38" s="2"/>
      <x:c r="G38" s="2"/>
      <x:c r="H38" s="2"/>
      <x:c r="I38" s="2"/>
      <x:c r="J38" s="2"/>
      <x:c r="K38" s="2"/>
      <x:c r="L38" s="2"/>
    </x:row>
    <x:row r="39" ht="18" customHeight="1">
      <x:c r="A39" s="2"/>
      <x:c r="B39" s="2"/>
      <x:c r="C39" s="2"/>
      <x:c r="D39" s="2"/>
      <x:c r="E39" s="2"/>
      <x:c r="F39" s="2"/>
      <x:c r="G39" s="2"/>
      <x:c r="H39" s="2"/>
      <x:c r="I39" s="2"/>
      <x:c r="J39" s="2"/>
      <x:c r="K39" s="2"/>
      <x:c r="L39" s="2"/>
    </x:row>
    <x:row r="40" ht="18" customHeight="1">
      <x:c r="A40" s="2"/>
      <x:c r="B40" s="2"/>
      <x:c r="C40" s="2"/>
      <x:c r="D40" s="2"/>
      <x:c r="E40" s="2"/>
      <x:c r="F40" s="2"/>
      <x:c r="G40" s="2"/>
      <x:c r="H40" s="2"/>
      <x:c r="I40" s="2"/>
      <x:c r="J40" s="2"/>
      <x:c r="K40" s="2"/>
      <x:c r="L40" s="2"/>
    </x:row>
    <x:row r="41" ht="18" customHeight="1">
      <x:c r="A41" s="2"/>
      <x:c r="B41" s="2"/>
      <x:c r="C41" s="2"/>
      <x:c r="D41" s="2"/>
      <x:c r="E41" s="2"/>
      <x:c r="F41" s="2"/>
      <x:c r="G41" s="2"/>
      <x:c r="H41" s="2"/>
      <x:c r="I41" s="2"/>
      <x:c r="J41" s="2"/>
      <x:c r="K41" s="2"/>
      <x:c r="L41" s="2"/>
    </x:row>
    <x:row r="42" ht="18" customHeight="1">
      <x:c r="A42" s="2"/>
      <x:c r="B42" s="2"/>
      <x:c r="C42" s="2"/>
      <x:c r="D42" s="2"/>
      <x:c r="E42" s="2"/>
      <x:c r="F42" s="2"/>
      <x:c r="G42" s="2"/>
      <x:c r="H42" s="2"/>
      <x:c r="I42" s="2"/>
      <x:c r="J42" s="2"/>
      <x:c r="K42" s="2"/>
      <x:c r="L42" s="2"/>
    </x:row>
    <x:row r="43" ht="18" customHeight="1">
      <x:c r="A43" s="2"/>
      <x:c r="B43" s="2"/>
      <x:c r="C43" s="2"/>
      <x:c r="D43" s="2"/>
      <x:c r="E43" s="2"/>
      <x:c r="F43" s="2"/>
      <x:c r="G43" s="2"/>
      <x:c r="H43" s="2"/>
      <x:c r="I43" s="2"/>
      <x:c r="J43" s="2"/>
      <x:c r="K43" s="2"/>
      <x:c r="L43" s="2"/>
    </x:row>
    <x:row r="44" ht="18" customHeight="1">
      <x:c r="A44" s="2"/>
      <x:c r="B44" s="2"/>
      <x:c r="C44" s="2"/>
      <x:c r="D44" s="2"/>
      <x:c r="E44" s="2"/>
      <x:c r="F44" s="2"/>
      <x:c r="G44" s="2"/>
      <x:c r="H44" s="2"/>
      <x:c r="I44" s="2"/>
      <x:c r="J44" s="2"/>
      <x:c r="K44" s="2"/>
      <x:c r="L44" s="2"/>
    </x:row>
    <x:row r="45" ht="18" customHeight="1">
      <x:c r="A45" s="2"/>
      <x:c r="B45" s="2"/>
      <x:c r="C45" s="2"/>
      <x:c r="D45" s="2"/>
      <x:c r="E45" s="2"/>
      <x:c r="F45" s="2"/>
      <x:c r="G45" s="2"/>
      <x:c r="H45" s="2"/>
      <x:c r="I45" s="2"/>
      <x:c r="J45" s="2"/>
      <x:c r="K45" s="2"/>
      <x:c r="L45" s="2"/>
    </x:row>
    <x:row r="46" ht="18" customHeight="1">
      <x:c r="A46" s="2"/>
      <x:c r="B46" s="2"/>
      <x:c r="C46" s="2"/>
      <x:c r="D46" s="2"/>
      <x:c r="E46" s="2"/>
      <x:c r="F46" s="2"/>
      <x:c r="G46" s="2"/>
      <x:c r="H46" s="2"/>
      <x:c r="I46" s="2"/>
      <x:c r="J46" s="2"/>
      <x:c r="K46" s="2"/>
      <x:c r="L46" s="2"/>
    </x:row>
    <x:row r="47" ht="18" customHeight="1">
      <x:c r="A47" s="2"/>
      <x:c r="B47" s="2"/>
      <x:c r="C47" s="2"/>
      <x:c r="D47" s="2"/>
      <x:c r="E47" s="2"/>
      <x:c r="F47" s="2"/>
      <x:c r="G47" s="2"/>
      <x:c r="H47" s="2"/>
      <x:c r="I47" s="2"/>
      <x:c r="J47" s="2"/>
      <x:c r="K47" s="2"/>
      <x:c r="L47" s="2"/>
    </x:row>
    <x:row r="48" ht="18" customHeight="1">
      <x:c r="A48" s="2"/>
      <x:c r="B48" s="2"/>
      <x:c r="C48" s="2"/>
      <x:c r="D48" s="2"/>
      <x:c r="E48" s="2"/>
      <x:c r="F48" s="2"/>
      <x:c r="G48" s="2"/>
      <x:c r="H48" s="2"/>
      <x:c r="I48" s="2"/>
      <x:c r="J48" s="2"/>
      <x:c r="K48" s="2"/>
      <x:c r="L48" s="2"/>
    </x:row>
    <x:row r="49" ht="18" customHeight="1">
      <x:c r="A49" s="2"/>
      <x:c r="B49" s="2"/>
      <x:c r="C49" s="2"/>
      <x:c r="D49" s="2"/>
      <x:c r="E49" s="2"/>
      <x:c r="F49" s="2"/>
      <x:c r="G49" s="2"/>
      <x:c r="H49" s="2"/>
      <x:c r="I49" s="2"/>
      <x:c r="J49" s="2"/>
      <x:c r="K49" s="2"/>
      <x:c r="L49" s="2"/>
    </x:row>
    <x:row r="50" ht="18" customHeight="1">
      <x:c r="A50" s="2"/>
      <x:c r="B50" s="2"/>
      <x:c r="C50" s="2"/>
      <x:c r="D50" s="2"/>
      <x:c r="E50" s="2"/>
      <x:c r="F50" s="2"/>
      <x:c r="G50" s="2"/>
      <x:c r="H50" s="2"/>
      <x:c r="I50" s="2"/>
      <x:c r="J50" s="2"/>
      <x:c r="K50" s="2"/>
      <x:c r="L50" s="2"/>
    </x:row>
    <x:row r="51" ht="18" customHeight="1">
      <x:c r="A51" s="2"/>
      <x:c r="B51" s="2"/>
      <x:c r="C51" s="2"/>
      <x:c r="D51" s="2"/>
      <x:c r="E51" s="2"/>
      <x:c r="F51" s="2"/>
      <x:c r="G51" s="2"/>
      <x:c r="H51" s="2"/>
      <x:c r="I51" s="2"/>
      <x:c r="J51" s="2"/>
      <x:c r="K51" s="2"/>
      <x:c r="L51" s="2"/>
    </x:row>
  </x:sheetData>
  <x:pageMargins left="0.7" right="0.7" top="0.75" bottom="0.75" header="0.3" footer="0.3"/>
</x:worksheet>
</file>

<file path=xl/worksheets/sheet14.xml><?xml version="1.0" encoding="utf-8"?>
<x:worksheet xmlns:x="http://schemas.openxmlformats.org/spreadsheetml/2006/main">
  <x:sheetViews>
    <x:sheetView showGridLines="1" workbookViewId="0"/>
  </x:sheetViews>
  <x:sheetFormatPr baseColWidth="8" defaultRowHeight="15"/>
  <x:cols>
    <x:col min="1" max="1" width="45" customWidth="1"/>
    <x:col min="2" max="2" width="45" customWidth="1"/>
    <x:col min="3" max="3" width="45" customWidth="1"/>
    <x:col min="4" max="4" width="10" customWidth="1"/>
    <x:col min="5" max="5" width="10" customWidth="1"/>
    <x:col min="6" max="6" width="10" customWidth="1"/>
    <x:col min="7" max="7" width="10" customWidth="1"/>
    <x:col min="8" max="8" width="10" customWidth="1"/>
    <x:col min="9" max="9" width="10" customWidth="1"/>
    <x:col min="10" max="10" width="10" customWidth="1"/>
    <x:col min="11" max="11" width="10" customWidth="1"/>
    <x:col min="12" max="12" width="10" customWidth="1"/>
  </x:cols>
  <x:sheetData>
    <x:row r="1" ht="18" customHeight="1">
      <x:c r="A1" s="5" t="inlineStr">
        <x:is>
          <x:t xml:space="preserve">Automation Guide - Converting This Workbook to a True Macro Combat Manager</x:t>
        </x:is>
      </x:c>
    </x:row>
    <x:row r="2" ht="18" customHeight="1"/>
    <x:row r="3" ht="18" customHeight="1">
      <x:c r="A3" s="2" t="inlineStr">
        <x:is>
          <x:t xml:space="preserve">Required setup</x:t>
        </x:is>
      </x:c>
    </x:row>
    <x:row r="4" ht="18" customHeight="1">
      <x:c r="A4" s="2" t="inlineStr">
        <x:is>
          <x:t xml:space="preserve">1</x:t>
        </x:is>
      </x:c>
      <x:c r="B4" s="2" t="inlineStr">
        <x:is>
          <x:t xml:space="preserve">Save this workbook as a macro-enabled workbook: File &gt; Save As &gt; Excel Macro-Enabled Workbook (*.xlsm).</x:t>
        </x:is>
      </x:c>
    </x:row>
    <x:row r="5" ht="18" customHeight="1">
      <x:c r="A5" s="2" t="inlineStr">
        <x:is>
          <x:t xml:space="preserve">2</x:t>
        </x:is>
      </x:c>
      <x:c r="B5" s="2" t="inlineStr">
        <x:is>
          <x:t xml:space="preserve">Open the VBA Code tab, copy the macro text, then press Alt+F11 in Excel.</x:t>
        </x:is>
      </x:c>
    </x:row>
    <x:row r="6" ht="18" customHeight="1">
      <x:c r="A6" s="2" t="inlineStr">
        <x:is>
          <x:t xml:space="preserve">3</x:t>
        </x:is>
      </x:c>
      <x:c r="B6" s="2" t="inlineStr">
        <x:is>
          <x:t xml:space="preserve">Insert &gt; Module, paste the macro code, then save the .xlsm file.</x:t>
        </x:is>
      </x:c>
    </x:row>
    <x:row r="7" ht="18" customHeight="1">
      <x:c r="A7" s="2" t="inlineStr">
        <x:is>
          <x:t xml:space="preserve">4</x:t>
        </x:is>
      </x:c>
      <x:c r="B7" s="2" t="inlineStr">
        <x:is>
          <x:t xml:space="preserve">On Dashboard, insert shapes/buttons and assign the listed macros.</x:t>
        </x:is>
      </x:c>
    </x:row>
    <x:row r="8" ht="18" customHeight="1">
      <x:c r="A8" s="2" t="inlineStr">
        <x:is>
          <x:t xml:space="preserve">5</x:t>
        </x:is>
      </x:c>
      <x:c r="B8" s="2" t="inlineStr">
        <x:is>
          <x:t xml:space="preserve">Use GenerateInitiative, NextTurn, ApplyActionTargets, RebuildConditions, and GenerateCombatSummary during play.</x:t>
        </x:is>
      </x:c>
    </x:row>
    <x:row r="9" ht="18" customHeight="1"/>
    <x:row r="10" ht="18" customHeight="1">
      <x:c r="A10" s="2" t="inlineStr">
        <x:is>
          <x:t xml:space="preserve">Button / Macro Map</x:t>
        </x:is>
      </x:c>
    </x:row>
    <x:row r="11" ht="18" customHeight="1">
      <x:c r="A11" s="2" t="inlineStr">
        <x:is>
          <x:t xml:space="preserve">Dashboard Button</x:t>
        </x:is>
      </x:c>
      <x:c r="B11" s="2" t="inlineStr">
        <x:is>
          <x:t xml:space="preserve">Macro Name</x:t>
        </x:is>
      </x:c>
      <x:c r="C11" s="2" t="inlineStr">
        <x:is>
          <x:t xml:space="preserve">What It Does</x:t>
        </x:is>
      </x:c>
    </x:row>
    <x:row r="12" ht="18" customHeight="1">
      <x:c r="A12" s="2" t="inlineStr">
        <x:is>
          <x:t xml:space="preserve">🎲 Generate Initiative</x:t>
        </x:is>
      </x:c>
      <x:c r="B12" s="2" t="inlineStr">
        <x:is>
          <x:t xml:space="preserve">GenerateInitiative</x:t>
        </x:is>
      </x:c>
      <x:c r="C12" s="2" t="inlineStr">
        <x:is>
          <x:t xml:space="preserve">Builds Initiative from active Combatants, rolls d20, adds Initiative Mod, then sorts descending.</x:t>
        </x:is>
      </x:c>
    </x:row>
    <x:row r="13" ht="18" customHeight="1">
      <x:c r="A13" s="2" t="inlineStr">
        <x:is>
          <x:t xml:space="preserve">▶ Next Turn</x:t>
        </x:is>
      </x:c>
      <x:c r="B13" s="2" t="inlineStr">
        <x:is>
          <x:t xml:space="preserve">NextTurn</x:t>
        </x:is>
      </x:c>
      <x:c r="C13" s="2" t="inlineStr">
        <x:is>
          <x:t xml:space="preserve">Advances current turn pointer and highlights the next combatant in initiative order.</x:t>
        </x:is>
      </x:c>
    </x:row>
    <x:row r="14" ht="18" customHeight="1">
      <x:c r="A14" s="2" t="inlineStr">
        <x:is>
          <x:t xml:space="preserve">⏭ Next Round</x:t>
        </x:is>
      </x:c>
      <x:c r="B14" s="2" t="inlineStr">
        <x:is>
          <x:t xml:space="preserve">NextRound</x:t>
        </x:is>
      </x:c>
      <x:c r="C14" s="2" t="inlineStr">
        <x:is>
          <x:t xml:space="preserve">Increments the round and resets turn pointer to the top of the initiative order.</x:t>
        </x:is>
      </x:c>
    </x:row>
    <x:row r="15" ht="18" customHeight="1">
      <x:c r="A15" s="2" t="inlineStr">
        <x:is>
          <x:t xml:space="preserve">❤️ Apply Action Targets</x:t>
        </x:is>
      </x:c>
      <x:c r="B15" s="2" t="inlineStr">
        <x:is>
          <x:t xml:space="preserve">ApplyActionTargets</x:t>
        </x:is>
      </x:c>
      <x:c r="C15" s="2" t="inlineStr">
        <x:is>
          <x:t xml:space="preserve">Applies Action Targets damage/healing to Combatants Current HP.</x:t>
        </x:is>
      </x:c>
    </x:row>
    <x:row r="16" ht="18" customHeight="1">
      <x:c r="A16" s="2" t="inlineStr">
        <x:is>
          <x:t xml:space="preserve">🧾 Rebuild Conditions</x:t>
        </x:is>
      </x:c>
      <x:c r="B16" s="2" t="inlineStr">
        <x:is>
          <x:t xml:space="preserve">RebuildConditions</x:t>
        </x:is>
      </x:c>
      <x:c r="C16" s="2" t="inlineStr">
        <x:is>
          <x:t xml:space="preserve">Rebuilds Conditions from Action Targets condition columns.</x:t>
        </x:is>
      </x:c>
    </x:row>
    <x:row r="17" ht="18" customHeight="1">
      <x:c r="A17" s="2" t="inlineStr">
        <x:is>
          <x:t xml:space="preserve">💾 End Combat Summary</x:t>
        </x:is>
      </x:c>
      <x:c r="B17" s="2" t="inlineStr">
        <x:is>
          <x:t xml:space="preserve">GenerateCombatSummary</x:t>
        </x:is>
      </x:c>
      <x:c r="C17" s="2" t="inlineStr">
        <x:is>
          <x:t xml:space="preserve">Writes a turn-by-turn combat narrative to Summary Export.</x:t>
        </x:is>
      </x:c>
    </x:row>
    <x:row r="18" ht="18" customHeight="1">
      <x:c r="A18" s="2" t="inlineStr">
        <x:is>
          <x:t xml:space="preserve">🔄 Reset Encounter</x:t>
        </x:is>
      </x:c>
      <x:c r="B18" s="2" t="inlineStr">
        <x:is>
          <x:t xml:space="preserve">ResetEncounter</x:t>
        </x:is>
      </x:c>
      <x:c r="C18" s="2" t="inlineStr">
        <x:is>
          <x:t xml:space="preserve">Clears Turn Log, Action Targets, Conditions, Initiative, and Summary Export while retaining databases.</x:t>
        </x:is>
      </x:c>
    </x:row>
    <x:row r="19" ht="18" customHeight="1"/>
    <x:row r="20" ht="18" customHeight="1"/>
    <x:row r="21" ht="18" customHeight="1"/>
    <x:row r="22" ht="18" customHeight="1"/>
    <x:row r="23" ht="18" customHeight="1"/>
    <x:row r="24" ht="18" customHeight="1"/>
    <x:row r="25" ht="18" customHeight="1"/>
    <x:row r="26" ht="18" customHeight="1"/>
    <x:row r="27" ht="18" customHeight="1"/>
    <x:row r="28" ht="18" customHeight="1"/>
    <x:row r="29" ht="18" customHeight="1"/>
    <x:row r="30" ht="18" customHeight="1"/>
    <x:row r="31" ht="18" customHeight="1"/>
    <x:row r="32" ht="18" customHeight="1"/>
    <x:row r="33" ht="18" customHeight="1"/>
    <x:row r="34" ht="18" customHeight="1"/>
    <x:row r="35" ht="18" customHeight="1"/>
    <x:row r="36" ht="18" customHeight="1"/>
    <x:row r="37" ht="18" customHeight="1"/>
    <x:row r="38" ht="18" customHeight="1"/>
    <x:row r="39" ht="18" customHeight="1"/>
    <x:row r="40" ht="18" customHeight="1"/>
    <x:row r="41" ht="18" customHeight="1"/>
    <x:row r="42" ht="18" customHeight="1"/>
    <x:row r="43" ht="18" customHeight="1"/>
    <x:row r="44" ht="18" customHeight="1"/>
    <x:row r="45" ht="18" customHeight="1"/>
    <x:row r="46" ht="18" customHeight="1"/>
    <x:row r="47" ht="18" customHeight="1"/>
    <x:row r="48" ht="18" customHeight="1"/>
    <x:row r="49" ht="18" customHeight="1"/>
    <x:row r="50" ht="18" customHeight="1"/>
    <x:row r="51" ht="18" customHeight="1"/>
    <x:row r="52" ht="18" customHeight="1"/>
    <x:row r="53" ht="18" customHeight="1"/>
    <x:row r="54" ht="18" customHeight="1"/>
    <x:row r="55" ht="18" customHeight="1"/>
    <x:row r="56" ht="18" customHeight="1"/>
    <x:row r="57" ht="18" customHeight="1"/>
    <x:row r="58" ht="18" customHeight="1"/>
    <x:row r="59" ht="18" customHeight="1"/>
    <x:row r="60" ht="18" customHeight="1"/>
    <x:row r="61" ht="18" customHeight="1"/>
    <x:row r="62" ht="18" customHeight="1"/>
    <x:row r="63" ht="18" customHeight="1"/>
    <x:row r="64" ht="18" customHeight="1"/>
    <x:row r="65" ht="18" customHeight="1"/>
    <x:row r="66" ht="18" customHeight="1"/>
    <x:row r="67" ht="18" customHeight="1"/>
    <x:row r="68" ht="18" customHeight="1"/>
    <x:row r="69" ht="18" customHeight="1"/>
    <x:row r="70" ht="18" customHeight="1"/>
    <x:row r="71" ht="18" customHeight="1"/>
    <x:row r="72" ht="18" customHeight="1"/>
    <x:row r="73" ht="18" customHeight="1"/>
    <x:row r="74" ht="18" customHeight="1"/>
    <x:row r="75" ht="18" customHeight="1"/>
    <x:row r="76" ht="18" customHeight="1"/>
    <x:row r="77" ht="18" customHeight="1"/>
    <x:row r="78" ht="18" customHeight="1"/>
    <x:row r="79" ht="18" customHeight="1"/>
    <x:row r="80" ht="18" customHeight="1"/>
    <x:row r="81" ht="18" customHeight="1"/>
    <x:row r="82" ht="18" customHeight="1"/>
    <x:row r="83" ht="18" customHeight="1"/>
    <x:row r="84" ht="18" customHeight="1"/>
    <x:row r="85" ht="18" customHeight="1"/>
    <x:row r="86" ht="18" customHeight="1"/>
    <x:row r="87" ht="18" customHeight="1"/>
    <x:row r="88" ht="18" customHeight="1"/>
    <x:row r="89" ht="18" customHeight="1"/>
    <x:row r="90" ht="18" customHeight="1"/>
    <x:row r="91" ht="18" customHeight="1"/>
    <x:row r="92" ht="18" customHeight="1"/>
    <x:row r="93" ht="18" customHeight="1"/>
    <x:row r="94" ht="18" customHeight="1"/>
    <x:row r="95" ht="18" customHeight="1"/>
    <x:row r="96" ht="18" customHeight="1"/>
    <x:row r="97" ht="18" customHeight="1"/>
    <x:row r="98" ht="18" customHeight="1"/>
    <x:row r="99" ht="18" customHeight="1"/>
    <x:row r="100" ht="18" customHeight="1"/>
    <x:row r="101" ht="18" customHeight="1"/>
    <x:row r="102" ht="18" customHeight="1"/>
    <x:row r="103" ht="18" customHeight="1"/>
    <x:row r="104" ht="18" customHeight="1"/>
    <x:row r="105" ht="18" customHeight="1"/>
    <x:row r="106" ht="18" customHeight="1"/>
    <x:row r="107" ht="18" customHeight="1"/>
    <x:row r="108" ht="18" customHeight="1"/>
    <x:row r="109" ht="18" customHeight="1"/>
    <x:row r="110" ht="18" customHeight="1"/>
    <x:row r="111" ht="18" customHeight="1"/>
    <x:row r="112" ht="18" customHeight="1"/>
    <x:row r="113" ht="18" customHeight="1"/>
    <x:row r="114" ht="18" customHeight="1"/>
    <x:row r="115" ht="18" customHeight="1"/>
    <x:row r="116" ht="18" customHeight="1"/>
    <x:row r="117" ht="18" customHeight="1"/>
    <x:row r="118" ht="18" customHeight="1"/>
    <x:row r="119" ht="18" customHeight="1"/>
    <x:row r="120" ht="18" customHeight="1"/>
    <x:row r="121" ht="18" customHeight="1"/>
    <x:row r="122" ht="18" customHeight="1"/>
    <x:row r="123" ht="18" customHeight="1"/>
    <x:row r="124" ht="18" customHeight="1"/>
    <x:row r="125" ht="18" customHeight="1"/>
    <x:row r="126" ht="18" customHeight="1"/>
    <x:row r="127" ht="18" customHeight="1"/>
    <x:row r="128" ht="18" customHeight="1"/>
    <x:row r="129" ht="18" customHeight="1"/>
    <x:row r="130" ht="18" customHeight="1"/>
    <x:row r="131" ht="18" customHeight="1"/>
    <x:row r="132" ht="18" customHeight="1"/>
    <x:row r="133" ht="18" customHeight="1"/>
    <x:row r="134" ht="18" customHeight="1"/>
    <x:row r="135" ht="18" customHeight="1"/>
    <x:row r="136" ht="18" customHeight="1"/>
    <x:row r="137" ht="18" customHeight="1"/>
    <x:row r="138" ht="18" customHeight="1"/>
    <x:row r="139" ht="18" customHeight="1"/>
    <x:row r="140" ht="18" customHeight="1"/>
    <x:row r="141" ht="18" customHeight="1"/>
    <x:row r="142" ht="18" customHeight="1"/>
    <x:row r="143" ht="18" customHeight="1"/>
    <x:row r="144" ht="18" customHeight="1"/>
    <x:row r="145" ht="18" customHeight="1"/>
    <x:row r="146" ht="18" customHeight="1"/>
    <x:row r="147" ht="18" customHeight="1"/>
    <x:row r="148" ht="18" customHeight="1"/>
    <x:row r="149" ht="18" customHeight="1"/>
    <x:row r="150" ht="18" customHeight="1"/>
    <x:row r="151" ht="18" customHeight="1"/>
    <x:row r="152" ht="18" customHeight="1"/>
    <x:row r="153" ht="18" customHeight="1"/>
    <x:row r="154" ht="18" customHeight="1"/>
    <x:row r="155" ht="18" customHeight="1"/>
    <x:row r="156" ht="18" customHeight="1"/>
    <x:row r="157" ht="18" customHeight="1"/>
    <x:row r="158" ht="18" customHeight="1"/>
    <x:row r="159" ht="18" customHeight="1"/>
    <x:row r="160" ht="18" customHeight="1"/>
    <x:row r="161" ht="18" customHeight="1"/>
    <x:row r="162" ht="18" customHeight="1"/>
    <x:row r="163" ht="18" customHeight="1"/>
    <x:row r="164" ht="18" customHeight="1"/>
    <x:row r="165" ht="18" customHeight="1"/>
    <x:row r="166" ht="18" customHeight="1"/>
    <x:row r="167" ht="18" customHeight="1"/>
    <x:row r="168" ht="18" customHeight="1"/>
    <x:row r="169" ht="18" customHeight="1"/>
    <x:row r="170" ht="18" customHeight="1"/>
    <x:row r="171" ht="18" customHeight="1"/>
    <x:row r="172" ht="18" customHeight="1"/>
    <x:row r="173" ht="18" customHeight="1"/>
    <x:row r="174" ht="18" customHeight="1"/>
    <x:row r="175" ht="18" customHeight="1"/>
    <x:row r="176" ht="18" customHeight="1"/>
    <x:row r="177" ht="18" customHeight="1"/>
    <x:row r="178" ht="18" customHeight="1"/>
    <x:row r="179" ht="18" customHeight="1"/>
    <x:row r="180" ht="18" customHeight="1"/>
    <x:row r="181" ht="18" customHeight="1"/>
    <x:row r="182" ht="18" customHeight="1"/>
    <x:row r="183" ht="18" customHeight="1"/>
    <x:row r="184" ht="18" customHeight="1"/>
    <x:row r="185" ht="18" customHeight="1"/>
    <x:row r="186" ht="18" customHeight="1"/>
    <x:row r="187" ht="18" customHeight="1"/>
    <x:row r="188" ht="18" customHeight="1"/>
    <x:row r="189" ht="18" customHeight="1"/>
    <x:row r="190" ht="18" customHeight="1"/>
    <x:row r="191" ht="18" customHeight="1"/>
    <x:row r="192" ht="18" customHeight="1"/>
    <x:row r="193" ht="18" customHeight="1"/>
    <x:row r="194" ht="18" customHeight="1"/>
    <x:row r="195" ht="18" customHeight="1"/>
    <x:row r="196" ht="18" customHeight="1"/>
    <x:row r="197" ht="18" customHeight="1"/>
    <x:row r="198" ht="18" customHeight="1"/>
    <x:row r="199" ht="18" customHeight="1"/>
    <x:row r="200" ht="18" customHeight="1"/>
  </x:sheetData>
  <x:pageMargins left="0.7" right="0.7" top="0.75" bottom="0.75" header="0.3" footer="0.3"/>
</x:worksheet>
</file>

<file path=xl/worksheets/sheet15.xml><?xml version="1.0" encoding="utf-8"?>
<x:worksheet xmlns:x="http://schemas.openxmlformats.org/spreadsheetml/2006/main">
  <x:sheetViews>
    <x:sheetView showGridLines="1" workbookViewId="0"/>
  </x:sheetViews>
  <x:sheetFormatPr baseColWidth="8" defaultRowHeight="15"/>
  <x:cols>
    <x:col min="1" max="1" width="17" customWidth="1"/>
    <x:col min="2" max="2" width="10" customWidth="1"/>
    <x:col min="3" max="3" width="21" customWidth="1"/>
    <x:col min="4" max="4" width="28" customWidth="1"/>
  </x:cols>
  <x:sheetData>
    <x:row r="1" ht="18" customHeight="1">
      <x:c r="A1" s="9" t="inlineStr">
        <x:is>
          <x:t xml:space="preserve">Combatant Types</x:t>
        </x:is>
      </x:c>
      <x:c r="C1" s="9" t="inlineStr">
        <x:is>
          <x:t xml:space="preserve">Player Names</x:t>
        </x:is>
      </x:c>
      <x:c r="D1" s="9" t="inlineStr">
        <x:is>
          <x:t xml:space="preserve">Monster Names</x:t>
        </x:is>
      </x:c>
    </x:row>
    <x:row r="2" ht="18" customHeight="1">
      <x:c r="A2" s="2" t="inlineStr">
        <x:is>
          <x:t xml:space="preserve">Player</x:t>
        </x:is>
      </x:c>
      <x:c r="C2" s="2" t="inlineStr">
        <x:is>
          <x:t xml:space="preserve">Aldric Stonehand</x:t>
        </x:is>
      </x:c>
      <x:c r="D2" s="2" t="inlineStr">
        <x:is>
          <x:t xml:space="preserve">Aboleth</x:t>
        </x:is>
      </x:c>
    </x:row>
    <x:row r="3" ht="18" customHeight="1">
      <x:c r="A3" s="2" t="inlineStr">
        <x:is>
          <x:t xml:space="preserve">Monster</x:t>
        </x:is>
      </x:c>
      <x:c r="C3" s="2" t="inlineStr">
        <x:is>
          <x:t xml:space="preserve">Maelis Thornwhisper</x:t>
        </x:is>
      </x:c>
      <x:c r="D3" s="2" t="inlineStr">
        <x:is>
          <x:t xml:space="preserve">Air Elemental</x:t>
        </x:is>
      </x:c>
    </x:row>
    <x:row r="4" ht="18" customHeight="1">
      <x:c r="C4" s="2" t="inlineStr">
        <x:is>
          <x:t xml:space="preserve">Brunna Ironvale</x:t>
        </x:is>
      </x:c>
      <x:c r="D4" s="2" t="inlineStr">
        <x:is>
          <x:t xml:space="preserve">Animated Armor</x:t>
        </x:is>
      </x:c>
    </x:row>
    <x:row r="5" ht="18" customHeight="1">
      <x:c r="A5" s="2" t="inlineStr">
        <x:is>
          <x:t xml:space="preserve">Statuses</x:t>
        </x:is>
      </x:c>
      <x:c r="C5" s="2" t="inlineStr">
        <x:is>
          <x:t xml:space="preserve">Pip Quickleaf</x:t>
        </x:is>
      </x:c>
      <x:c r="D5" s="2" t="inlineStr">
        <x:is>
          <x:t xml:space="preserve">Animated Flying Sword</x:t>
        </x:is>
      </x:c>
    </x:row>
    <x:row r="6" ht="18" customHeight="1">
      <x:c r="A6" s="2" t="inlineStr">
        <x:is>
          <x:t xml:space="preserve">Active</x:t>
        </x:is>
      </x:c>
      <x:c r="D6" s="2" t="inlineStr">
        <x:is>
          <x:t xml:space="preserve">Animated Rug of Smothering</x:t>
        </x:is>
      </x:c>
    </x:row>
    <x:row r="7" ht="18" customHeight="1">
      <x:c r="A7" s="2" t="inlineStr">
        <x:is>
          <x:t xml:space="preserve">Inactive</x:t>
        </x:is>
      </x:c>
      <x:c r="D7" s="2" t="inlineStr">
        <x:is>
          <x:t xml:space="preserve">Ankheg</x:t>
        </x:is>
      </x:c>
    </x:row>
    <x:row r="8" ht="18" customHeight="1">
      <x:c r="A8" s="2" t="inlineStr">
        <x:is>
          <x:t xml:space="preserve">Defeated</x:t>
        </x:is>
      </x:c>
      <x:c r="D8" s="2" t="inlineStr">
        <x:is>
          <x:t xml:space="preserve">Assassin</x:t>
        </x:is>
      </x:c>
    </x:row>
    <x:row r="9" ht="18" customHeight="1">
      <x:c r="A9" s="2" t="inlineStr">
        <x:is>
          <x:t xml:space="preserve">Unconscious</x:t>
        </x:is>
      </x:c>
      <x:c r="D9" s="2" t="inlineStr">
        <x:is>
          <x:t xml:space="preserve">Awakened Shrub</x:t>
        </x:is>
      </x:c>
    </x:row>
    <x:row r="10" ht="18" customHeight="1">
      <x:c r="D10" s="2" t="inlineStr">
        <x:is>
          <x:t xml:space="preserve">Awakened Tree</x:t>
        </x:is>
      </x:c>
    </x:row>
    <x:row r="11" ht="18" customHeight="1">
      <x:c r="A11" s="2" t="inlineStr">
        <x:is>
          <x:t xml:space="preserve">Action Types</x:t>
        </x:is>
      </x:c>
      <x:c r="D11" s="2" t="inlineStr">
        <x:is>
          <x:t xml:space="preserve">Axe Beak</x:t>
        </x:is>
      </x:c>
    </x:row>
    <x:row r="12" ht="18" customHeight="1">
      <x:c r="A12" s="2" t="inlineStr">
        <x:is>
          <x:t xml:space="preserve">Attack</x:t>
        </x:is>
      </x:c>
      <x:c r="D12" s="2" t="inlineStr">
        <x:is>
          <x:t xml:space="preserve">Azer Sentinel</x:t>
        </x:is>
      </x:c>
    </x:row>
    <x:row r="13" ht="18" customHeight="1">
      <x:c r="A13" s="2" t="inlineStr">
        <x:is>
          <x:t xml:space="preserve">Spell</x:t>
        </x:is>
      </x:c>
      <x:c r="D13" s="2" t="inlineStr">
        <x:is>
          <x:t xml:space="preserve">Balor</x:t>
        </x:is>
      </x:c>
    </x:row>
    <x:row r="14" ht="18" customHeight="1">
      <x:c r="A14" s="2" t="inlineStr">
        <x:is>
          <x:t xml:space="preserve">Buff</x:t>
        </x:is>
      </x:c>
      <x:c r="D14" s="2" t="inlineStr">
        <x:is>
          <x:t xml:space="preserve">Bandit</x:t>
        </x:is>
      </x:c>
    </x:row>
    <x:row r="15" ht="18" customHeight="1">
      <x:c r="A15" s="2" t="inlineStr">
        <x:is>
          <x:t xml:space="preserve">Healing</x:t>
        </x:is>
      </x:c>
      <x:c r="D15" s="2" t="inlineStr">
        <x:is>
          <x:t xml:space="preserve">Bandit Captain</x:t>
        </x:is>
      </x:c>
    </x:row>
    <x:row r="16" ht="18" customHeight="1">
      <x:c r="A16" s="2" t="inlineStr">
        <x:is>
          <x:t xml:space="preserve">Dodge</x:t>
        </x:is>
      </x:c>
      <x:c r="D16" s="2" t="inlineStr">
        <x:is>
          <x:t xml:space="preserve">Barbed Devil</x:t>
        </x:is>
      </x:c>
    </x:row>
    <x:row r="17" ht="18" customHeight="1">
      <x:c r="A17" s="2" t="inlineStr">
        <x:is>
          <x:t xml:space="preserve">Dash</x:t>
        </x:is>
      </x:c>
      <x:c r="D17" s="2" t="inlineStr">
        <x:is>
          <x:t xml:space="preserve">Basilisk</x:t>
        </x:is>
      </x:c>
    </x:row>
    <x:row r="18" ht="18" customHeight="1">
      <x:c r="A18" s="2" t="inlineStr">
        <x:is>
          <x:t xml:space="preserve">Disengage</x:t>
        </x:is>
      </x:c>
      <x:c r="D18" s="2" t="inlineStr">
        <x:is>
          <x:t xml:space="preserve">Bearded Devil</x:t>
        </x:is>
      </x:c>
    </x:row>
    <x:row r="19" ht="18" customHeight="1">
      <x:c r="D19" s="2" t="inlineStr">
        <x:is>
          <x:t xml:space="preserve">Behir</x:t>
        </x:is>
      </x:c>
    </x:row>
    <x:row r="20" ht="18" customHeight="1">
      <x:c r="D20" s="2" t="inlineStr">
        <x:is>
          <x:t xml:space="preserve">Berserker</x:t>
        </x:is>
      </x:c>
    </x:row>
    <x:row r="21" ht="18" customHeight="1">
      <x:c r="D21" s="2" t="inlineStr">
        <x:is>
          <x:t xml:space="preserve">Black Dragon Wyrmling</x:t>
        </x:is>
      </x:c>
    </x:row>
    <x:row r="22" ht="18" customHeight="1">
      <x:c r="D22" s="2" t="inlineStr">
        <x:is>
          <x:t xml:space="preserve">Young Black Dragon</x:t>
        </x:is>
      </x:c>
    </x:row>
    <x:row r="23" ht="18" customHeight="1">
      <x:c r="D23" s="2" t="inlineStr">
        <x:is>
          <x:t xml:space="preserve">Adult Black Dragon</x:t>
        </x:is>
      </x:c>
    </x:row>
    <x:row r="24" ht="18" customHeight="1">
      <x:c r="D24" s="2" t="inlineStr">
        <x:is>
          <x:t xml:space="preserve">Ancient Black Dragon</x:t>
        </x:is>
      </x:c>
    </x:row>
    <x:row r="25" ht="18" customHeight="1">
      <x:c r="D25" s="2" t="inlineStr">
        <x:is>
          <x:t xml:space="preserve">Black Pudding</x:t>
        </x:is>
      </x:c>
    </x:row>
    <x:row r="26" ht="18" customHeight="1">
      <x:c r="D26" s="2" t="inlineStr">
        <x:is>
          <x:t xml:space="preserve">Blink Dog</x:t>
        </x:is>
      </x:c>
    </x:row>
    <x:row r="27" ht="18" customHeight="1">
      <x:c r="D27" s="2" t="inlineStr">
        <x:is>
          <x:t xml:space="preserve">Blue Dragon Wyrmling</x:t>
        </x:is>
      </x:c>
    </x:row>
    <x:row r="28" ht="18" customHeight="1">
      <x:c r="D28" s="2" t="inlineStr">
        <x:is>
          <x:t xml:space="preserve">Young Blue Dragon</x:t>
        </x:is>
      </x:c>
    </x:row>
    <x:row r="29" ht="18" customHeight="1">
      <x:c r="D29" s="2" t="inlineStr">
        <x:is>
          <x:t xml:space="preserve">Adult Blue Dragon</x:t>
        </x:is>
      </x:c>
    </x:row>
    <x:row r="30" ht="18" customHeight="1">
      <x:c r="D30" s="2" t="inlineStr">
        <x:is>
          <x:t xml:space="preserve">Ancient Blue Dragon</x:t>
        </x:is>
      </x:c>
    </x:row>
    <x:row r="31" ht="18" customHeight="1">
      <x:c r="D31" s="2" t="inlineStr">
        <x:is>
          <x:t xml:space="preserve">Bone Devil</x:t>
        </x:is>
      </x:c>
    </x:row>
    <x:row r="32" ht="18" customHeight="1">
      <x:c r="D32" s="2" t="inlineStr">
        <x:is>
          <x:t xml:space="preserve">Brass Dragon Wyrmling</x:t>
        </x:is>
      </x:c>
    </x:row>
    <x:row r="33" ht="18" customHeight="1">
      <x:c r="D33" s="2" t="inlineStr">
        <x:is>
          <x:t xml:space="preserve">Young Brass Dragon</x:t>
        </x:is>
      </x:c>
    </x:row>
    <x:row r="34" ht="18" customHeight="1">
      <x:c r="D34" s="2" t="inlineStr">
        <x:is>
          <x:t xml:space="preserve">Adult Brass Dragon</x:t>
        </x:is>
      </x:c>
    </x:row>
    <x:row r="35" ht="18" customHeight="1">
      <x:c r="D35" s="2" t="inlineStr">
        <x:is>
          <x:t xml:space="preserve">Ancient Brass Dragon</x:t>
        </x:is>
      </x:c>
    </x:row>
    <x:row r="36" ht="18" customHeight="1">
      <x:c r="D36" s="2" t="inlineStr">
        <x:is>
          <x:t xml:space="preserve">Bronze Dragon Wyrmling</x:t>
        </x:is>
      </x:c>
    </x:row>
    <x:row r="37" ht="18" customHeight="1">
      <x:c r="D37" s="2" t="inlineStr">
        <x:is>
          <x:t xml:space="preserve">Young Bronze Dragon</x:t>
        </x:is>
      </x:c>
    </x:row>
    <x:row r="38" ht="18" customHeight="1">
      <x:c r="D38" s="2" t="inlineStr">
        <x:is>
          <x:t xml:space="preserve">Adult Bronze Dragon</x:t>
        </x:is>
      </x:c>
    </x:row>
    <x:row r="39" ht="18" customHeight="1">
      <x:c r="D39" s="2" t="inlineStr">
        <x:is>
          <x:t xml:space="preserve">Ancient Bronze Dragon</x:t>
        </x:is>
      </x:c>
    </x:row>
    <x:row r="40" ht="18" customHeight="1">
      <x:c r="D40" s="2" t="inlineStr">
        <x:is>
          <x:t xml:space="preserve">Bugbear Stalker</x:t>
        </x:is>
      </x:c>
    </x:row>
    <x:row r="41" ht="18" customHeight="1">
      <x:c r="D41" s="2" t="inlineStr">
        <x:is>
          <x:t xml:space="preserve">Bugbear Warrior</x:t>
        </x:is>
      </x:c>
    </x:row>
    <x:row r="42" ht="18" customHeight="1">
      <x:c r="D42" s="2" t="inlineStr">
        <x:is>
          <x:t xml:space="preserve">Bulette</x:t>
        </x:is>
      </x:c>
    </x:row>
    <x:row r="43" ht="18" customHeight="1">
      <x:c r="D43" s="2" t="inlineStr">
        <x:is>
          <x:t xml:space="preserve">Centaur Trooper</x:t>
        </x:is>
      </x:c>
    </x:row>
    <x:row r="44" ht="18" customHeight="1">
      <x:c r="D44" s="2" t="inlineStr">
        <x:is>
          <x:t xml:space="preserve">Chain Devil</x:t>
        </x:is>
      </x:c>
    </x:row>
    <x:row r="45" ht="18" customHeight="1">
      <x:c r="D45" s="2" t="inlineStr">
        <x:is>
          <x:t xml:space="preserve">Chimera</x:t>
        </x:is>
      </x:c>
    </x:row>
    <x:row r="46" ht="18" customHeight="1">
      <x:c r="D46" s="2" t="inlineStr">
        <x:is>
          <x:t xml:space="preserve">Chuul</x:t>
        </x:is>
      </x:c>
    </x:row>
    <x:row r="47" ht="18" customHeight="1">
      <x:c r="D47" s="2" t="inlineStr">
        <x:is>
          <x:t xml:space="preserve">Clay Golem</x:t>
        </x:is>
      </x:c>
    </x:row>
    <x:row r="48" ht="18" customHeight="1">
      <x:c r="D48" s="2" t="inlineStr">
        <x:is>
          <x:t xml:space="preserve">Cloaker</x:t>
        </x:is>
      </x:c>
    </x:row>
    <x:row r="49" ht="18" customHeight="1">
      <x:c r="D49" s="2" t="inlineStr">
        <x:is>
          <x:t xml:space="preserve">Cloud Giant</x:t>
        </x:is>
      </x:c>
    </x:row>
    <x:row r="50" ht="18" customHeight="1">
      <x:c r="D50" s="2" t="inlineStr">
        <x:is>
          <x:t xml:space="preserve">Cockatrice</x:t>
        </x:is>
      </x:c>
    </x:row>
    <x:row r="51" ht="18" customHeight="1">
      <x:c r="D51" s="2" t="inlineStr">
        <x:is>
          <x:t xml:space="preserve">Commoner</x:t>
        </x:is>
      </x:c>
    </x:row>
    <x:row r="52" ht="18" customHeight="1">
      <x:c r="D52" s="2" t="inlineStr">
        <x:is>
          <x:t xml:space="preserve">Copper Dragon Wyrmling</x:t>
        </x:is>
      </x:c>
    </x:row>
    <x:row r="53" ht="18" customHeight="1">
      <x:c r="D53" s="2" t="inlineStr">
        <x:is>
          <x:t xml:space="preserve">Young Copper Dragon</x:t>
        </x:is>
      </x:c>
    </x:row>
    <x:row r="54" ht="18" customHeight="1">
      <x:c r="D54" s="2" t="inlineStr">
        <x:is>
          <x:t xml:space="preserve">Adult Copper Dragon</x:t>
        </x:is>
      </x:c>
    </x:row>
    <x:row r="55" ht="18" customHeight="1">
      <x:c r="D55" s="2" t="inlineStr">
        <x:is>
          <x:t xml:space="preserve">Ancient Copper Dragon</x:t>
        </x:is>
      </x:c>
    </x:row>
    <x:row r="56" ht="18" customHeight="1">
      <x:c r="D56" s="2" t="inlineStr">
        <x:is>
          <x:t xml:space="preserve">Couatl</x:t>
        </x:is>
      </x:c>
    </x:row>
    <x:row r="57" ht="18" customHeight="1">
      <x:c r="D57" s="2" t="inlineStr">
        <x:is>
          <x:t xml:space="preserve">Swarm of Crawling Claws</x:t>
        </x:is>
      </x:c>
    </x:row>
    <x:row r="58" ht="18" customHeight="1">
      <x:c r="D58" s="2" t="inlineStr">
        <x:is>
          <x:t xml:space="preserve">Cultist</x:t>
        </x:is>
      </x:c>
    </x:row>
    <x:row r="59" ht="18" customHeight="1">
      <x:c r="D59" s="2" t="inlineStr">
        <x:is>
          <x:t xml:space="preserve">Cultist Fanatic</x:t>
        </x:is>
      </x:c>
    </x:row>
    <x:row r="60" ht="18" customHeight="1">
      <x:c r="D60" s="2" t="inlineStr">
        <x:is>
          <x:t xml:space="preserve">Darkmantle</x:t>
        </x:is>
      </x:c>
    </x:row>
    <x:row r="61" ht="18" customHeight="1">
      <x:c r="D61" s="2" t="inlineStr">
        <x:is>
          <x:t xml:space="preserve">Death Dog</x:t>
        </x:is>
      </x:c>
    </x:row>
    <x:row r="62" ht="18" customHeight="1">
      <x:c r="D62" s="2" t="inlineStr">
        <x:is>
          <x:t xml:space="preserve">Deva</x:t>
        </x:is>
      </x:c>
    </x:row>
    <x:row r="63" ht="18" customHeight="1">
      <x:c r="D63" s="2" t="inlineStr">
        <x:is>
          <x:t xml:space="preserve">Djinni</x:t>
        </x:is>
      </x:c>
    </x:row>
    <x:row r="64" ht="18" customHeight="1">
      <x:c r="D64" s="2" t="inlineStr">
        <x:is>
          <x:t xml:space="preserve">Doppelganger</x:t>
        </x:is>
      </x:c>
    </x:row>
    <x:row r="65" ht="18" customHeight="1">
      <x:c r="D65" s="2" t="inlineStr">
        <x:is>
          <x:t xml:space="preserve">Dragon Turtle</x:t>
        </x:is>
      </x:c>
    </x:row>
    <x:row r="66" ht="18" customHeight="1">
      <x:c r="D66" s="2" t="inlineStr">
        <x:is>
          <x:t xml:space="preserve">Dretch</x:t>
        </x:is>
      </x:c>
    </x:row>
    <x:row r="67" ht="18" customHeight="1">
      <x:c r="D67" s="2" t="inlineStr">
        <x:is>
          <x:t xml:space="preserve">Drider</x:t>
        </x:is>
      </x:c>
    </x:row>
    <x:row r="68" ht="18" customHeight="1">
      <x:c r="D68" s="2" t="inlineStr">
        <x:is>
          <x:t xml:space="preserve">Druid</x:t>
        </x:is>
      </x:c>
    </x:row>
    <x:row r="69" ht="18" customHeight="1">
      <x:c r="D69" s="2" t="inlineStr">
        <x:is>
          <x:t xml:space="preserve">Dryad</x:t>
        </x:is>
      </x:c>
    </x:row>
    <x:row r="70" ht="18" customHeight="1">
      <x:c r="D70" s="2" t="inlineStr">
        <x:is>
          <x:t xml:space="preserve">Earth Elemental</x:t>
        </x:is>
      </x:c>
    </x:row>
    <x:row r="71" ht="18" customHeight="1">
      <x:c r="D71" s="2" t="inlineStr">
        <x:is>
          <x:t xml:space="preserve">Efreeti</x:t>
        </x:is>
      </x:c>
    </x:row>
    <x:row r="72" ht="18" customHeight="1">
      <x:c r="D72" s="2" t="inlineStr">
        <x:is>
          <x:t xml:space="preserve">Erinyes</x:t>
        </x:is>
      </x:c>
    </x:row>
    <x:row r="73" ht="18" customHeight="1">
      <x:c r="D73" s="2" t="inlineStr">
        <x:is>
          <x:t xml:space="preserve">Ettercap</x:t>
        </x:is>
      </x:c>
    </x:row>
    <x:row r="74" ht="18" customHeight="1">
      <x:c r="D74" s="2" t="inlineStr">
        <x:is>
          <x:t xml:space="preserve">Ettin</x:t>
        </x:is>
      </x:c>
    </x:row>
    <x:row r="75" ht="18" customHeight="1">
      <x:c r="D75" s="2" t="inlineStr">
        <x:is>
          <x:t xml:space="preserve">Fire Elemental</x:t>
        </x:is>
      </x:c>
    </x:row>
    <x:row r="76" ht="18" customHeight="1">
      <x:c r="D76" s="2" t="inlineStr">
        <x:is>
          <x:t xml:space="preserve">Fire Giant</x:t>
        </x:is>
      </x:c>
    </x:row>
    <x:row r="77" ht="18" customHeight="1">
      <x:c r="D77" s="2" t="inlineStr">
        <x:is>
          <x:t xml:space="preserve">Flesh Golem</x:t>
        </x:is>
      </x:c>
    </x:row>
    <x:row r="78" ht="18" customHeight="1">
      <x:c r="D78" s="2" t="inlineStr">
        <x:is>
          <x:t xml:space="preserve">Frost Giant</x:t>
        </x:is>
      </x:c>
    </x:row>
    <x:row r="79" ht="18" customHeight="1">
      <x:c r="D79" s="2" t="inlineStr">
        <x:is>
          <x:t xml:space="preserve">Shrieker Fungus</x:t>
        </x:is>
      </x:c>
    </x:row>
    <x:row r="80" ht="18" customHeight="1">
      <x:c r="D80" s="2" t="inlineStr">
        <x:is>
          <x:t xml:space="preserve">Violet Fungus</x:t>
        </x:is>
      </x:c>
    </x:row>
    <x:row r="81" ht="18" customHeight="1">
      <x:c r="D81" s="2" t="inlineStr">
        <x:is>
          <x:t xml:space="preserve">Gargoyle</x:t>
        </x:is>
      </x:c>
    </x:row>
    <x:row r="82" ht="18" customHeight="1">
      <x:c r="D82" s="2" t="inlineStr">
        <x:is>
          <x:t xml:space="preserve">Gelatinous Cube</x:t>
        </x:is>
      </x:c>
    </x:row>
    <x:row r="83" ht="18" customHeight="1">
      <x:c r="D83" s="2" t="inlineStr">
        <x:is>
          <x:t xml:space="preserve">Ghast</x:t>
        </x:is>
      </x:c>
    </x:row>
    <x:row r="84" ht="18" customHeight="1">
      <x:c r="D84" s="2" t="inlineStr">
        <x:is>
          <x:t xml:space="preserve">Ghost</x:t>
        </x:is>
      </x:c>
    </x:row>
    <x:row r="85" ht="18" customHeight="1">
      <x:c r="D85" s="2" t="inlineStr">
        <x:is>
          <x:t xml:space="preserve">Ghoul</x:t>
        </x:is>
      </x:c>
    </x:row>
    <x:row r="86" ht="18" customHeight="1">
      <x:c r="D86" s="2" t="inlineStr">
        <x:is>
          <x:t xml:space="preserve">Gibbering Mouther</x:t>
        </x:is>
      </x:c>
    </x:row>
    <x:row r="87" ht="18" customHeight="1">
      <x:c r="D87" s="2" t="inlineStr">
        <x:is>
          <x:t xml:space="preserve">Glabrezu</x:t>
        </x:is>
      </x:c>
    </x:row>
    <x:row r="88" ht="18" customHeight="1">
      <x:c r="D88" s="2" t="inlineStr">
        <x:is>
          <x:t xml:space="preserve">Gladiator</x:t>
        </x:is>
      </x:c>
    </x:row>
    <x:row r="89" ht="18" customHeight="1">
      <x:c r="D89" s="2" t="inlineStr">
        <x:is>
          <x:t xml:space="preserve">Gnoll Warrior</x:t>
        </x:is>
      </x:c>
    </x:row>
    <x:row r="90" ht="18" customHeight="1">
      <x:c r="D90" s="2" t="inlineStr">
        <x:is>
          <x:t xml:space="preserve">Goblin Minion</x:t>
        </x:is>
      </x:c>
    </x:row>
    <x:row r="91" ht="18" customHeight="1">
      <x:c r="D91" s="2" t="inlineStr">
        <x:is>
          <x:t xml:space="preserve">Goblin Warrior</x:t>
        </x:is>
      </x:c>
    </x:row>
    <x:row r="92" ht="18" customHeight="1">
      <x:c r="D92" s="2" t="inlineStr">
        <x:is>
          <x:t xml:space="preserve">Goblin Boss</x:t>
        </x:is>
      </x:c>
    </x:row>
    <x:row r="93" ht="18" customHeight="1">
      <x:c r="D93" s="2" t="inlineStr">
        <x:is>
          <x:t xml:space="preserve">Gold Dragon Wyrmling</x:t>
        </x:is>
      </x:c>
    </x:row>
    <x:row r="94" ht="18" customHeight="1">
      <x:c r="D94" s="2" t="inlineStr">
        <x:is>
          <x:t xml:space="preserve">Young Gold Dragon</x:t>
        </x:is>
      </x:c>
    </x:row>
    <x:row r="95" ht="18" customHeight="1">
      <x:c r="D95" s="2" t="inlineStr">
        <x:is>
          <x:t xml:space="preserve">Adult Gold Dragon</x:t>
        </x:is>
      </x:c>
    </x:row>
    <x:row r="96" ht="18" customHeight="1">
      <x:c r="D96" s="2" t="inlineStr">
        <x:is>
          <x:t xml:space="preserve">Ancient Gold Dragon</x:t>
        </x:is>
      </x:c>
    </x:row>
    <x:row r="97" ht="18" customHeight="1">
      <x:c r="D97" s="2" t="inlineStr">
        <x:is>
          <x:t xml:space="preserve">Gorgon</x:t>
        </x:is>
      </x:c>
    </x:row>
    <x:row r="98" ht="18" customHeight="1">
      <x:c r="D98" s="2" t="inlineStr">
        <x:is>
          <x:t xml:space="preserve">Gray Ooze</x:t>
        </x:is>
      </x:c>
    </x:row>
    <x:row r="99" ht="18" customHeight="1">
      <x:c r="D99" s="2" t="inlineStr">
        <x:is>
          <x:t xml:space="preserve">Green Dragon Wyrmling</x:t>
        </x:is>
      </x:c>
    </x:row>
    <x:row r="100" ht="18" customHeight="1">
      <x:c r="D100" s="2" t="inlineStr">
        <x:is>
          <x:t xml:space="preserve">Young Green Dragon</x:t>
        </x:is>
      </x:c>
    </x:row>
    <x:row r="101" ht="18" customHeight="1">
      <x:c r="D101" s="2" t="inlineStr">
        <x:is>
          <x:t xml:space="preserve">Adult Green Dragon</x:t>
        </x:is>
      </x:c>
    </x:row>
    <x:row r="102" ht="18" customHeight="1">
      <x:c r="D102" s="2" t="inlineStr">
        <x:is>
          <x:t xml:space="preserve">Ancient Green Dragon</x:t>
        </x:is>
      </x:c>
    </x:row>
    <x:row r="103" ht="18" customHeight="1">
      <x:c r="D103" s="2" t="inlineStr">
        <x:is>
          <x:t xml:space="preserve">Green Hag</x:t>
        </x:is>
      </x:c>
    </x:row>
    <x:row r="104" ht="18" customHeight="1">
      <x:c r="D104" s="2" t="inlineStr">
        <x:is>
          <x:t xml:space="preserve">Grick</x:t>
        </x:is>
      </x:c>
    </x:row>
    <x:row r="105" ht="18" customHeight="1">
      <x:c r="D105" s="2" t="inlineStr">
        <x:is>
          <x:t xml:space="preserve">Griffon</x:t>
        </x:is>
      </x:c>
    </x:row>
    <x:row r="106" ht="18" customHeight="1">
      <x:c r="D106" s="2" t="inlineStr">
        <x:is>
          <x:t xml:space="preserve">Grimlock</x:t>
        </x:is>
      </x:c>
    </x:row>
    <x:row r="107" ht="18" customHeight="1">
      <x:c r="D107" s="2" t="inlineStr">
        <x:is>
          <x:t xml:space="preserve">Guardian Naga</x:t>
        </x:is>
      </x:c>
    </x:row>
    <x:row r="108" ht="18" customHeight="1">
      <x:c r="D108" s="2" t="inlineStr">
        <x:is>
          <x:t xml:space="preserve">Guard</x:t>
        </x:is>
      </x:c>
    </x:row>
    <x:row r="109" ht="18" customHeight="1">
      <x:c r="D109" s="2" t="inlineStr">
        <x:is>
          <x:t xml:space="preserve">Guard Captain</x:t>
        </x:is>
      </x:c>
    </x:row>
    <x:row r="110" ht="18" customHeight="1">
      <x:c r="D110" s="2" t="inlineStr">
        <x:is>
          <x:t xml:space="preserve">Half-Dragon</x:t>
        </x:is>
      </x:c>
    </x:row>
    <x:row r="111" ht="18" customHeight="1">
      <x:c r="D111" s="2" t="inlineStr">
        <x:is>
          <x:t xml:space="preserve">Harpy</x:t>
        </x:is>
      </x:c>
    </x:row>
    <x:row r="112" ht="18" customHeight="1">
      <x:c r="D112" s="2" t="inlineStr">
        <x:is>
          <x:t xml:space="preserve">Hell Hound</x:t>
        </x:is>
      </x:c>
    </x:row>
    <x:row r="113" ht="18" customHeight="1">
      <x:c r="D113" s="2" t="inlineStr">
        <x:is>
          <x:t xml:space="preserve">Hezrou</x:t>
        </x:is>
      </x:c>
    </x:row>
    <x:row r="114" ht="18" customHeight="1">
      <x:c r="D114" s="2" t="inlineStr">
        <x:is>
          <x:t xml:space="preserve">Hill Giant</x:t>
        </x:is>
      </x:c>
    </x:row>
    <x:row r="115" ht="18" customHeight="1">
      <x:c r="D115" s="2" t="inlineStr">
        <x:is>
          <x:t xml:space="preserve">Hippogriff</x:t>
        </x:is>
      </x:c>
    </x:row>
    <x:row r="116" ht="18" customHeight="1">
      <x:c r="D116" s="2" t="inlineStr">
        <x:is>
          <x:t xml:space="preserve">Hobgoblin Warrior</x:t>
        </x:is>
      </x:c>
    </x:row>
    <x:row r="117" ht="18" customHeight="1">
      <x:c r="D117" s="2" t="inlineStr">
        <x:is>
          <x:t xml:space="preserve">Hobgoblin Captain</x:t>
        </x:is>
      </x:c>
    </x:row>
    <x:row r="118" ht="18" customHeight="1">
      <x:c r="D118" s="2" t="inlineStr">
        <x:is>
          <x:t xml:space="preserve">Homunculus</x:t>
        </x:is>
      </x:c>
    </x:row>
    <x:row r="119" ht="18" customHeight="1">
      <x:c r="D119" s="2" t="inlineStr">
        <x:is>
          <x:t xml:space="preserve">Horned Devil</x:t>
        </x:is>
      </x:c>
    </x:row>
    <x:row r="120" ht="18" customHeight="1">
      <x:c r="D120" s="2" t="inlineStr">
        <x:is>
          <x:t xml:space="preserve">Hydra</x:t>
        </x:is>
      </x:c>
    </x:row>
    <x:row r="121" ht="18" customHeight="1">
      <x:c r="D121" s="2" t="inlineStr">
        <x:is>
          <x:t xml:space="preserve">Ice Devil</x:t>
        </x:is>
      </x:c>
    </x:row>
    <x:row r="122" ht="18" customHeight="1">
      <x:c r="D122" s="2" t="inlineStr">
        <x:is>
          <x:t xml:space="preserve">Imp</x:t>
        </x:is>
      </x:c>
    </x:row>
    <x:row r="123" ht="18" customHeight="1">
      <x:c r="D123" s="2" t="inlineStr">
        <x:is>
          <x:t xml:space="preserve">Incubus</x:t>
        </x:is>
      </x:c>
    </x:row>
    <x:row r="124" ht="18" customHeight="1">
      <x:c r="D124" s="2" t="inlineStr">
        <x:is>
          <x:t xml:space="preserve">Invisible Stalker</x:t>
        </x:is>
      </x:c>
    </x:row>
    <x:row r="125" ht="18" customHeight="1">
      <x:c r="D125" s="2" t="inlineStr">
        <x:is>
          <x:t xml:space="preserve">Iron Golem</x:t>
        </x:is>
      </x:c>
    </x:row>
    <x:row r="126" ht="18" customHeight="1">
      <x:c r="D126" s="2" t="inlineStr">
        <x:is>
          <x:t xml:space="preserve">Knight</x:t>
        </x:is>
      </x:c>
    </x:row>
    <x:row r="127" ht="18" customHeight="1">
      <x:c r="D127" s="2" t="inlineStr">
        <x:is>
          <x:t xml:space="preserve">Kobold Warrior</x:t>
        </x:is>
      </x:c>
    </x:row>
    <x:row r="128" ht="18" customHeight="1">
      <x:c r="D128" s="2" t="inlineStr">
        <x:is>
          <x:t xml:space="preserve">Kraken</x:t>
        </x:is>
      </x:c>
    </x:row>
    <x:row r="129" ht="18" customHeight="1">
      <x:c r="D129" s="2" t="inlineStr">
        <x:is>
          <x:t xml:space="preserve">Lamia</x:t>
        </x:is>
      </x:c>
    </x:row>
    <x:row r="130" ht="18" customHeight="1">
      <x:c r="D130" s="2" t="inlineStr">
        <x:is>
          <x:t xml:space="preserve">Lemure</x:t>
        </x:is>
      </x:c>
    </x:row>
    <x:row r="131" ht="18" customHeight="1">
      <x:c r="D131" s="2" t="inlineStr">
        <x:is>
          <x:t xml:space="preserve">Lich</x:t>
        </x:is>
      </x:c>
    </x:row>
    <x:row r="132" ht="18" customHeight="1">
      <x:c r="D132" s="2" t="inlineStr">
        <x:is>
          <x:t xml:space="preserve">Mage</x:t>
        </x:is>
      </x:c>
    </x:row>
    <x:row r="133" ht="18" customHeight="1">
      <x:c r="D133" s="2" t="inlineStr">
        <x:is>
          <x:t xml:space="preserve">Archmage</x:t>
        </x:is>
      </x:c>
    </x:row>
    <x:row r="134" ht="18" customHeight="1">
      <x:c r="D134" s="2" t="inlineStr">
        <x:is>
          <x:t xml:space="preserve">Magmin</x:t>
        </x:is>
      </x:c>
    </x:row>
    <x:row r="135" ht="18" customHeight="1">
      <x:c r="D135" s="2" t="inlineStr">
        <x:is>
          <x:t xml:space="preserve">Manticore</x:t>
        </x:is>
      </x:c>
    </x:row>
    <x:row r="136" ht="18" customHeight="1">
      <x:c r="D136" s="2" t="inlineStr">
        <x:is>
          <x:t xml:space="preserve">Marilith</x:t>
        </x:is>
      </x:c>
    </x:row>
    <x:row r="137" ht="18" customHeight="1">
      <x:c r="D137" s="2" t="inlineStr">
        <x:is>
          <x:t xml:space="preserve">Medusa</x:t>
        </x:is>
      </x:c>
    </x:row>
    <x:row r="138" ht="18" customHeight="1">
      <x:c r="D138" s="2" t="inlineStr">
        <x:is>
          <x:t xml:space="preserve">Dust Mephit</x:t>
        </x:is>
      </x:c>
    </x:row>
    <x:row r="139" ht="18" customHeight="1">
      <x:c r="D139" s="2" t="inlineStr">
        <x:is>
          <x:t xml:space="preserve">Ice Mephit</x:t>
        </x:is>
      </x:c>
    </x:row>
    <x:row r="140" ht="18" customHeight="1">
      <x:c r="D140" s="2" t="inlineStr">
        <x:is>
          <x:t xml:space="preserve">Magma Mephit</x:t>
        </x:is>
      </x:c>
    </x:row>
    <x:row r="141" ht="18" customHeight="1">
      <x:c r="D141" s="2" t="inlineStr">
        <x:is>
          <x:t xml:space="preserve">Steam Mephit</x:t>
        </x:is>
      </x:c>
    </x:row>
    <x:row r="142" ht="18" customHeight="1">
      <x:c r="D142" s="2" t="inlineStr">
        <x:is>
          <x:t xml:space="preserve">Merfolk Skirmisher</x:t>
        </x:is>
      </x:c>
    </x:row>
    <x:row r="143" ht="18" customHeight="1">
      <x:c r="D143" s="2" t="inlineStr">
        <x:is>
          <x:t xml:space="preserve">Merrow</x:t>
        </x:is>
      </x:c>
    </x:row>
    <x:row r="144" ht="18" customHeight="1">
      <x:c r="D144" s="2" t="inlineStr">
        <x:is>
          <x:t xml:space="preserve">Mimic</x:t>
        </x:is>
      </x:c>
    </x:row>
    <x:row r="145" ht="18" customHeight="1">
      <x:c r="D145" s="2" t="inlineStr">
        <x:is>
          <x:t xml:space="preserve">Minotaur of Baphomet</x:t>
        </x:is>
      </x:c>
    </x:row>
    <x:row r="146" ht="18" customHeight="1">
      <x:c r="D146" s="2" t="inlineStr">
        <x:is>
          <x:t xml:space="preserve">Mummy</x:t>
        </x:is>
      </x:c>
    </x:row>
    <x:row r="147" ht="18" customHeight="1">
      <x:c r="D147" s="2" t="inlineStr">
        <x:is>
          <x:t xml:space="preserve">Mummy Lord</x:t>
        </x:is>
      </x:c>
    </x:row>
    <x:row r="148" ht="18" customHeight="1">
      <x:c r="D148" s="2" t="inlineStr">
        <x:is>
          <x:t xml:space="preserve">Nalfeshnee</x:t>
        </x:is>
      </x:c>
    </x:row>
    <x:row r="149" ht="18" customHeight="1">
      <x:c r="D149" s="2" t="inlineStr">
        <x:is>
          <x:t xml:space="preserve">Night Hag</x:t>
        </x:is>
      </x:c>
    </x:row>
    <x:row r="150" ht="18" customHeight="1">
      <x:c r="D150" s="2" t="inlineStr">
        <x:is>
          <x:t xml:space="preserve">Nightmare</x:t>
        </x:is>
      </x:c>
    </x:row>
    <x:row r="151" ht="18" customHeight="1">
      <x:c r="D151" s="2" t="inlineStr">
        <x:is>
          <x:t xml:space="preserve">Noble</x:t>
        </x:is>
      </x:c>
    </x:row>
    <x:row r="152" ht="18" customHeight="1">
      <x:c r="D152" s="2" t="inlineStr">
        <x:is>
          <x:t xml:space="preserve">Ochre Jelly</x:t>
        </x:is>
      </x:c>
    </x:row>
    <x:row r="153" ht="18" customHeight="1">
      <x:c r="D153" s="2" t="inlineStr">
        <x:is>
          <x:t xml:space="preserve">Ogre</x:t>
        </x:is>
      </x:c>
    </x:row>
    <x:row r="154" ht="18" customHeight="1">
      <x:c r="D154" s="2" t="inlineStr">
        <x:is>
          <x:t xml:space="preserve">Oni</x:t>
        </x:is>
      </x:c>
    </x:row>
    <x:row r="155" ht="18" customHeight="1">
      <x:c r="D155" s="2" t="inlineStr">
        <x:is>
          <x:t xml:space="preserve">Otyugh</x:t>
        </x:is>
      </x:c>
    </x:row>
    <x:row r="156" ht="18" customHeight="1">
      <x:c r="D156" s="2" t="inlineStr">
        <x:is>
          <x:t xml:space="preserve">Owlbear</x:t>
        </x:is>
      </x:c>
    </x:row>
    <x:row r="157" ht="18" customHeight="1">
      <x:c r="D157" s="2" t="inlineStr">
        <x:is>
          <x:t xml:space="preserve">Pegasus</x:t>
        </x:is>
      </x:c>
    </x:row>
    <x:row r="158" ht="18" customHeight="1">
      <x:c r="D158" s="2" t="inlineStr">
        <x:is>
          <x:t xml:space="preserve">Phase Spider</x:t>
        </x:is>
      </x:c>
    </x:row>
    <x:row r="159" ht="18" customHeight="1">
      <x:c r="D159" s="2" t="inlineStr">
        <x:is>
          <x:t xml:space="preserve">Pirate</x:t>
        </x:is>
      </x:c>
    </x:row>
    <x:row r="160" ht="18" customHeight="1">
      <x:c r="D160" s="2" t="inlineStr">
        <x:is>
          <x:t xml:space="preserve">Pirate Captain</x:t>
        </x:is>
      </x:c>
    </x:row>
    <x:row r="161" ht="18" customHeight="1">
      <x:c r="D161" s="2" t="inlineStr">
        <x:is>
          <x:t xml:space="preserve">Pit Fiend</x:t>
        </x:is>
      </x:c>
    </x:row>
    <x:row r="162" ht="18" customHeight="1">
      <x:c r="D162" s="2" t="inlineStr">
        <x:is>
          <x:t xml:space="preserve">Planetar</x:t>
        </x:is>
      </x:c>
    </x:row>
    <x:row r="163" ht="18" customHeight="1">
      <x:c r="D163" s="2" t="inlineStr">
        <x:is>
          <x:t xml:space="preserve">Priest Acolyte</x:t>
        </x:is>
      </x:c>
    </x:row>
    <x:row r="164" ht="18" customHeight="1">
      <x:c r="D164" s="2" t="inlineStr">
        <x:is>
          <x:t xml:space="preserve">Priest</x:t>
        </x:is>
      </x:c>
    </x:row>
    <x:row r="165" ht="18" customHeight="1">
      <x:c r="D165" s="2" t="inlineStr">
        <x:is>
          <x:t xml:space="preserve">Pseudodragon</x:t>
        </x:is>
      </x:c>
    </x:row>
    <x:row r="166" ht="18" customHeight="1">
      <x:c r="D166" s="2" t="inlineStr">
        <x:is>
          <x:t xml:space="preserve">Purple Worm</x:t>
        </x:is>
      </x:c>
    </x:row>
    <x:row r="167" ht="18" customHeight="1">
      <x:c r="D167" s="2" t="inlineStr">
        <x:is>
          <x:t xml:space="preserve">Quasit</x:t>
        </x:is>
      </x:c>
    </x:row>
    <x:row r="168" ht="18" customHeight="1">
      <x:c r="D168" s="2" t="inlineStr">
        <x:is>
          <x:t xml:space="preserve">Rakshasa</x:t>
        </x:is>
      </x:c>
    </x:row>
    <x:row r="169" ht="18" customHeight="1">
      <x:c r="D169" s="2" t="inlineStr">
        <x:is>
          <x:t xml:space="preserve">Red Dragon Wyrmling</x:t>
        </x:is>
      </x:c>
    </x:row>
    <x:row r="170" ht="18" customHeight="1">
      <x:c r="D170" s="2" t="inlineStr">
        <x:is>
          <x:t xml:space="preserve">Young Red Dragon</x:t>
        </x:is>
      </x:c>
    </x:row>
    <x:row r="171" ht="18" customHeight="1">
      <x:c r="D171" s="2" t="inlineStr">
        <x:is>
          <x:t xml:space="preserve">Adult Red Dragon</x:t>
        </x:is>
      </x:c>
    </x:row>
    <x:row r="172" ht="18" customHeight="1">
      <x:c r="D172" s="2" t="inlineStr">
        <x:is>
          <x:t xml:space="preserve">Ancient Red Dragon</x:t>
        </x:is>
      </x:c>
    </x:row>
    <x:row r="173" ht="18" customHeight="1">
      <x:c r="D173" s="2" t="inlineStr">
        <x:is>
          <x:t xml:space="preserve">Remorhaz</x:t>
        </x:is>
      </x:c>
    </x:row>
    <x:row r="174" ht="18" customHeight="1">
      <x:c r="D174" s="2" t="inlineStr">
        <x:is>
          <x:t xml:space="preserve">Roc</x:t>
        </x:is>
      </x:c>
    </x:row>
    <x:row r="175" ht="18" customHeight="1">
      <x:c r="D175" s="2" t="inlineStr">
        <x:is>
          <x:t xml:space="preserve">Roper</x:t>
        </x:is>
      </x:c>
    </x:row>
    <x:row r="176" ht="18" customHeight="1">
      <x:c r="D176" s="2" t="inlineStr">
        <x:is>
          <x:t xml:space="preserve">Rust Monster</x:t>
        </x:is>
      </x:c>
    </x:row>
    <x:row r="177" ht="18" customHeight="1">
      <x:c r="D177" s="2" t="inlineStr">
        <x:is>
          <x:t xml:space="preserve">Sahuagin Warrior</x:t>
        </x:is>
      </x:c>
    </x:row>
    <x:row r="178" ht="18" customHeight="1">
      <x:c r="D178" s="2" t="inlineStr">
        <x:is>
          <x:t xml:space="preserve">Salamander</x:t>
        </x:is>
      </x:c>
    </x:row>
    <x:row r="179" ht="18" customHeight="1">
      <x:c r="D179" s="2" t="inlineStr">
        <x:is>
          <x:t xml:space="preserve">Satyr</x:t>
        </x:is>
      </x:c>
    </x:row>
    <x:row r="180" ht="18" customHeight="1">
      <x:c r="D180" s="2" t="inlineStr">
        <x:is>
          <x:t xml:space="preserve">Scout</x:t>
        </x:is>
      </x:c>
    </x:row>
    <x:row r="181" ht="18" customHeight="1">
      <x:c r="D181" s="2" t="inlineStr">
        <x:is>
          <x:t xml:space="preserve">Sea Hag</x:t>
        </x:is>
      </x:c>
    </x:row>
    <x:row r="182" ht="18" customHeight="1">
      <x:c r="D182" s="2" t="inlineStr">
        <x:is>
          <x:t xml:space="preserve">Shadow</x:t>
        </x:is>
      </x:c>
    </x:row>
    <x:row r="183" ht="18" customHeight="1">
      <x:c r="D183" s="2" t="inlineStr">
        <x:is>
          <x:t xml:space="preserve">Shambling Mound</x:t>
        </x:is>
      </x:c>
    </x:row>
    <x:row r="184" ht="18" customHeight="1">
      <x:c r="D184" s="2" t="inlineStr">
        <x:is>
          <x:t xml:space="preserve">Shield Guardian</x:t>
        </x:is>
      </x:c>
    </x:row>
    <x:row r="185" ht="18" customHeight="1">
      <x:c r="D185" s="2" t="inlineStr">
        <x:is>
          <x:t xml:space="preserve">Silver Dragon Wyrmling</x:t>
        </x:is>
      </x:c>
    </x:row>
    <x:row r="186" ht="18" customHeight="1">
      <x:c r="D186" s="2" t="inlineStr">
        <x:is>
          <x:t xml:space="preserve">Young Silver Dragon</x:t>
        </x:is>
      </x:c>
    </x:row>
    <x:row r="187" ht="18" customHeight="1">
      <x:c r="D187" s="2" t="inlineStr">
        <x:is>
          <x:t xml:space="preserve">Adult Silver Dragon</x:t>
        </x:is>
      </x:c>
    </x:row>
    <x:row r="188" ht="18" customHeight="1">
      <x:c r="D188" s="2" t="inlineStr">
        <x:is>
          <x:t xml:space="preserve">Ancient Silver Dragon</x:t>
        </x:is>
      </x:c>
    </x:row>
    <x:row r="189" ht="18" customHeight="1">
      <x:c r="D189" s="2" t="inlineStr">
        <x:is>
          <x:t xml:space="preserve">Skeleton</x:t>
        </x:is>
      </x:c>
    </x:row>
    <x:row r="190" ht="18" customHeight="1">
      <x:c r="D190" s="2" t="inlineStr">
        <x:is>
          <x:t xml:space="preserve">Warhorse Skeleton</x:t>
        </x:is>
      </x:c>
    </x:row>
    <x:row r="191" ht="18" customHeight="1">
      <x:c r="D191" s="2" t="inlineStr">
        <x:is>
          <x:t xml:space="preserve">Minotaur Skeleton</x:t>
        </x:is>
      </x:c>
    </x:row>
    <x:row r="192" ht="18" customHeight="1">
      <x:c r="D192" s="2" t="inlineStr">
        <x:is>
          <x:t xml:space="preserve">Solar</x:t>
        </x:is>
      </x:c>
    </x:row>
    <x:row r="193" ht="18" customHeight="1">
      <x:c r="D193" s="2" t="inlineStr">
        <x:is>
          <x:t xml:space="preserve">Specter</x:t>
        </x:is>
      </x:c>
    </x:row>
    <x:row r="194" ht="18" customHeight="1">
      <x:c r="D194" s="2" t="inlineStr">
        <x:is>
          <x:t xml:space="preserve">Sphinx of Wonder</x:t>
        </x:is>
      </x:c>
    </x:row>
    <x:row r="195" ht="18" customHeight="1">
      <x:c r="D195" s="2" t="inlineStr">
        <x:is>
          <x:t xml:space="preserve">Sphinx of Lore</x:t>
        </x:is>
      </x:c>
    </x:row>
    <x:row r="196" ht="18" customHeight="1">
      <x:c r="D196" s="2" t="inlineStr">
        <x:is>
          <x:t xml:space="preserve">Sphinx of Valor</x:t>
        </x:is>
      </x:c>
    </x:row>
    <x:row r="197" ht="18" customHeight="1">
      <x:c r="D197" s="2" t="inlineStr">
        <x:is>
          <x:t xml:space="preserve">Spirit Naga</x:t>
        </x:is>
      </x:c>
    </x:row>
    <x:row r="198" ht="18" customHeight="1">
      <x:c r="D198" s="2" t="inlineStr">
        <x:is>
          <x:t xml:space="preserve">Sprite</x:t>
        </x:is>
      </x:c>
    </x:row>
    <x:row r="199" ht="18" customHeight="1">
      <x:c r="D199" s="2" t="inlineStr">
        <x:is>
          <x:t xml:space="preserve">Spy</x:t>
        </x:is>
      </x:c>
    </x:row>
    <x:row r="200" ht="18" customHeight="1">
      <x:c r="D200" s="2" t="inlineStr">
        <x:is>
          <x:t xml:space="preserve">Stirge</x:t>
        </x:is>
      </x:c>
    </x:row>
    <x:row r="201" ht="18" customHeight="1">
      <x:c r="D201" s="2" t="inlineStr">
        <x:is>
          <x:t xml:space="preserve">Stone Giant</x:t>
        </x:is>
      </x:c>
    </x:row>
    <x:row r="202" ht="18" customHeight="1">
      <x:c r="D202" s="2" t="inlineStr">
        <x:is>
          <x:t xml:space="preserve">Stone Golem</x:t>
        </x:is>
      </x:c>
    </x:row>
    <x:row r="203" ht="18" customHeight="1">
      <x:c r="D203" s="2" t="inlineStr">
        <x:is>
          <x:t xml:space="preserve">Storm Giant</x:t>
        </x:is>
      </x:c>
    </x:row>
    <x:row r="204" ht="18" customHeight="1">
      <x:c r="D204" s="2" t="inlineStr">
        <x:is>
          <x:t xml:space="preserve">Succubus</x:t>
        </x:is>
      </x:c>
    </x:row>
    <x:row r="205" ht="18" customHeight="1">
      <x:c r="D205" s="2" t="inlineStr">
        <x:is>
          <x:t xml:space="preserve">Tarrasque</x:t>
        </x:is>
      </x:c>
    </x:row>
    <x:row r="206" ht="18" customHeight="1">
      <x:c r="D206" s="2" t="inlineStr">
        <x:is>
          <x:t xml:space="preserve">Tough</x:t>
        </x:is>
      </x:c>
    </x:row>
    <x:row r="207" ht="18" customHeight="1">
      <x:c r="D207" s="2" t="inlineStr">
        <x:is>
          <x:t xml:space="preserve">Tough Boss</x:t>
        </x:is>
      </x:c>
    </x:row>
    <x:row r="208" ht="18" customHeight="1">
      <x:c r="D208" s="2" t="inlineStr">
        <x:is>
          <x:t xml:space="preserve">Treant</x:t>
        </x:is>
      </x:c>
    </x:row>
    <x:row r="209" ht="18" customHeight="1">
      <x:c r="D209" s="2" t="inlineStr">
        <x:is>
          <x:t xml:space="preserve">Troll</x:t>
        </x:is>
      </x:c>
    </x:row>
    <x:row r="210" ht="18" customHeight="1">
      <x:c r="D210" s="2" t="inlineStr">
        <x:is>
          <x:t xml:space="preserve">Troll Limb</x:t>
        </x:is>
      </x:c>
    </x:row>
    <x:row r="211" ht="18" customHeight="1">
      <x:c r="D211" s="2" t="inlineStr">
        <x:is>
          <x:t xml:space="preserve">Unicorn</x:t>
        </x:is>
      </x:c>
    </x:row>
    <x:row r="212" ht="18" customHeight="1">
      <x:c r="D212" s="2" t="inlineStr">
        <x:is>
          <x:t xml:space="preserve">Vampire Familiar</x:t>
        </x:is>
      </x:c>
    </x:row>
    <x:row r="213" ht="18" customHeight="1">
      <x:c r="D213" s="2" t="inlineStr">
        <x:is>
          <x:t xml:space="preserve">Vampire Spawn</x:t>
        </x:is>
      </x:c>
    </x:row>
    <x:row r="214" ht="18" customHeight="1">
      <x:c r="D214" s="2" t="inlineStr">
        <x:is>
          <x:t xml:space="preserve">Vampire</x:t>
        </x:is>
      </x:c>
    </x:row>
    <x:row r="215" ht="18" customHeight="1">
      <x:c r="D215" s="2" t="inlineStr">
        <x:is>
          <x:t xml:space="preserve">Vrock</x:t>
        </x:is>
      </x:c>
    </x:row>
    <x:row r="216" ht="18" customHeight="1">
      <x:c r="D216" s="2" t="inlineStr">
        <x:is>
          <x:t xml:space="preserve">Warrior Infantry</x:t>
        </x:is>
      </x:c>
    </x:row>
    <x:row r="217" ht="18" customHeight="1">
      <x:c r="D217" s="2" t="inlineStr">
        <x:is>
          <x:t xml:space="preserve">Warrior Veteran</x:t>
        </x:is>
      </x:c>
    </x:row>
    <x:row r="218" ht="18" customHeight="1">
      <x:c r="D218" s="2" t="inlineStr">
        <x:is>
          <x:t xml:space="preserve">Water Elemental</x:t>
        </x:is>
      </x:c>
    </x:row>
    <x:row r="219" ht="18" customHeight="1">
      <x:c r="D219" s="2" t="inlineStr">
        <x:is>
          <x:t xml:space="preserve">Werebear</x:t>
        </x:is>
      </x:c>
    </x:row>
    <x:row r="220" ht="18" customHeight="1">
      <x:c r="D220" s="2" t="inlineStr">
        <x:is>
          <x:t xml:space="preserve">Wereboar</x:t>
        </x:is>
      </x:c>
    </x:row>
    <x:row r="221" ht="18" customHeight="1">
      <x:c r="D221" s="2" t="inlineStr">
        <x:is>
          <x:t xml:space="preserve">Wererat</x:t>
        </x:is>
      </x:c>
    </x:row>
    <x:row r="222" ht="18" customHeight="1">
      <x:c r="D222" s="2" t="inlineStr">
        <x:is>
          <x:t xml:space="preserve">Weretiger</x:t>
        </x:is>
      </x:c>
    </x:row>
    <x:row r="223" ht="18" customHeight="1">
      <x:c r="D223" s="2" t="inlineStr">
        <x:is>
          <x:t xml:space="preserve">Werewolf</x:t>
        </x:is>
      </x:c>
    </x:row>
    <x:row r="224" ht="18" customHeight="1">
      <x:c r="D224" s="2" t="inlineStr">
        <x:is>
          <x:t xml:space="preserve">White Dragon Wyrmling</x:t>
        </x:is>
      </x:c>
    </x:row>
    <x:row r="225" ht="18" customHeight="1">
      <x:c r="D225" s="2" t="inlineStr">
        <x:is>
          <x:t xml:space="preserve">Young White Dragon</x:t>
        </x:is>
      </x:c>
    </x:row>
    <x:row r="226" ht="18" customHeight="1">
      <x:c r="D226" s="2" t="inlineStr">
        <x:is>
          <x:t xml:space="preserve">Adult White Dragon</x:t>
        </x:is>
      </x:c>
    </x:row>
    <x:row r="227" ht="18" customHeight="1">
      <x:c r="D227" s="2" t="inlineStr">
        <x:is>
          <x:t xml:space="preserve">Ancient White Dragon</x:t>
        </x:is>
      </x:c>
    </x:row>
    <x:row r="228" ht="18" customHeight="1">
      <x:c r="D228" s="2" t="inlineStr">
        <x:is>
          <x:t xml:space="preserve">Wight</x:t>
        </x:is>
      </x:c>
    </x:row>
    <x:row r="229" ht="18" customHeight="1">
      <x:c r="D229" s="2" t="inlineStr">
        <x:is>
          <x:t xml:space="preserve">Will-o’-Wisp</x:t>
        </x:is>
      </x:c>
    </x:row>
    <x:row r="230" ht="18" customHeight="1">
      <x:c r="D230" s="2" t="inlineStr">
        <x:is>
          <x:t xml:space="preserve">Winter Wolf</x:t>
        </x:is>
      </x:c>
    </x:row>
    <x:row r="231" ht="18" customHeight="1">
      <x:c r="D231" s="2" t="inlineStr">
        <x:is>
          <x:t xml:space="preserve">Worg</x:t>
        </x:is>
      </x:c>
    </x:row>
    <x:row r="232" ht="18" customHeight="1">
      <x:c r="D232" s="2" t="inlineStr">
        <x:is>
          <x:t xml:space="preserve">Wraith</x:t>
        </x:is>
      </x:c>
    </x:row>
    <x:row r="233" ht="18" customHeight="1">
      <x:c r="D233" s="2" t="inlineStr">
        <x:is>
          <x:t xml:space="preserve">Wyvern</x:t>
        </x:is>
      </x:c>
    </x:row>
    <x:row r="234" ht="18" customHeight="1">
      <x:c r="D234" s="2" t="inlineStr">
        <x:is>
          <x:t xml:space="preserve">Xorn</x:t>
        </x:is>
      </x:c>
    </x:row>
    <x:row r="235" ht="18" customHeight="1">
      <x:c r="D235" s="2" t="inlineStr">
        <x:is>
          <x:t xml:space="preserve">Zombie</x:t>
        </x:is>
      </x:c>
    </x:row>
    <x:row r="236" ht="18" customHeight="1">
      <x:c r="D236" s="2" t="inlineStr">
        <x:is>
          <x:t xml:space="preserve">Ogre Zombie</x:t>
        </x:is>
      </x:c>
    </x:row>
    <x:row r="237" ht="18" customHeight="1">
      <x:c r="D237" s="2" t="inlineStr">
        <x:is>
          <x:t xml:space="preserve">Allosaurus</x:t>
        </x:is>
      </x:c>
    </x:row>
    <x:row r="238" ht="18" customHeight="1">
      <x:c r="D238" s="2" t="inlineStr">
        <x:is>
          <x:t xml:space="preserve">Ankylosaurus</x:t>
        </x:is>
      </x:c>
    </x:row>
    <x:row r="239" ht="18" customHeight="1">
      <x:c r="D239" s="2" t="inlineStr">
        <x:is>
          <x:t xml:space="preserve">Ape</x:t>
        </x:is>
      </x:c>
    </x:row>
    <x:row r="240" ht="18" customHeight="1">
      <x:c r="D240" s="2" t="inlineStr">
        <x:is>
          <x:t xml:space="preserve">Archelon</x:t>
        </x:is>
      </x:c>
    </x:row>
    <x:row r="241" ht="18" customHeight="1">
      <x:c r="D241" s="2" t="inlineStr">
        <x:is>
          <x:t xml:space="preserve">Baboon</x:t>
        </x:is>
      </x:c>
    </x:row>
    <x:row r="242" ht="18" customHeight="1">
      <x:c r="D242" s="2" t="inlineStr">
        <x:is>
          <x:t xml:space="preserve">Badger</x:t>
        </x:is>
      </x:c>
    </x:row>
    <x:row r="243" ht="18" customHeight="1">
      <x:c r="D243" s="2" t="inlineStr">
        <x:is>
          <x:t xml:space="preserve">Bat</x:t>
        </x:is>
      </x:c>
    </x:row>
    <x:row r="244" ht="18" customHeight="1">
      <x:c r="D244" s="2" t="inlineStr">
        <x:is>
          <x:t xml:space="preserve">Black Bear</x:t>
        </x:is>
      </x:c>
    </x:row>
    <x:row r="245" ht="18" customHeight="1">
      <x:c r="D245" s="2" t="inlineStr">
        <x:is>
          <x:t xml:space="preserve">Blood Hawk</x:t>
        </x:is>
      </x:c>
    </x:row>
    <x:row r="246" ht="18" customHeight="1">
      <x:c r="D246" s="2" t="inlineStr">
        <x:is>
          <x:t xml:space="preserve">Boar</x:t>
        </x:is>
      </x:c>
    </x:row>
    <x:row r="247" ht="18" customHeight="1">
      <x:c r="D247" s="2" t="inlineStr">
        <x:is>
          <x:t xml:space="preserve">Brown Bear</x:t>
        </x:is>
      </x:c>
    </x:row>
    <x:row r="248" ht="18" customHeight="1">
      <x:c r="D248" s="2" t="inlineStr">
        <x:is>
          <x:t xml:space="preserve">Camel</x:t>
        </x:is>
      </x:c>
    </x:row>
    <x:row r="249" ht="18" customHeight="1">
      <x:c r="D249" s="2" t="inlineStr">
        <x:is>
          <x:t xml:space="preserve">Cat</x:t>
        </x:is>
      </x:c>
    </x:row>
    <x:row r="250" ht="18" customHeight="1">
      <x:c r="D250" s="2" t="inlineStr">
        <x:is>
          <x:t xml:space="preserve">Constrictor Snake</x:t>
        </x:is>
      </x:c>
    </x:row>
    <x:row r="251" ht="18" customHeight="1">
      <x:c r="D251" s="2" t="inlineStr">
        <x:is>
          <x:t xml:space="preserve">Crab</x:t>
        </x:is>
      </x:c>
    </x:row>
    <x:row r="252" ht="18" customHeight="1">
      <x:c r="D252" s="2" t="inlineStr">
        <x:is>
          <x:t xml:space="preserve">Crocodile</x:t>
        </x:is>
      </x:c>
    </x:row>
    <x:row r="253" ht="18" customHeight="1">
      <x:c r="D253" s="2" t="inlineStr">
        <x:is>
          <x:t xml:space="preserve">Deer</x:t>
        </x:is>
      </x:c>
    </x:row>
    <x:row r="254" ht="18" customHeight="1">
      <x:c r="D254" s="2" t="inlineStr">
        <x:is>
          <x:t xml:space="preserve">Dire Wolf</x:t>
        </x:is>
      </x:c>
    </x:row>
    <x:row r="255" ht="18" customHeight="1">
      <x:c r="D255" s="2" t="inlineStr">
        <x:is>
          <x:t xml:space="preserve">Draft Horse</x:t>
        </x:is>
      </x:c>
    </x:row>
    <x:row r="256" ht="18" customHeight="1">
      <x:c r="D256" s="2" t="inlineStr">
        <x:is>
          <x:t xml:space="preserve">Eagle</x:t>
        </x:is>
      </x:c>
    </x:row>
    <x:row r="257" ht="18" customHeight="1">
      <x:c r="D257" s="2" t="inlineStr">
        <x:is>
          <x:t xml:space="preserve">Elephant</x:t>
        </x:is>
      </x:c>
    </x:row>
    <x:row r="258" ht="18" customHeight="1">
      <x:c r="D258" s="2" t="inlineStr">
        <x:is>
          <x:t xml:space="preserve">Elk</x:t>
        </x:is>
      </x:c>
    </x:row>
    <x:row r="259" ht="18" customHeight="1">
      <x:c r="D259" s="2" t="inlineStr">
        <x:is>
          <x:t xml:space="preserve">Flying Snake</x:t>
        </x:is>
      </x:c>
    </x:row>
    <x:row r="260" ht="18" customHeight="1">
      <x:c r="D260" s="2" t="inlineStr">
        <x:is>
          <x:t xml:space="preserve">Frog</x:t>
        </x:is>
      </x:c>
    </x:row>
    <x:row r="261" ht="18" customHeight="1">
      <x:c r="D261" s="2" t="inlineStr">
        <x:is>
          <x:t xml:space="preserve">Giant Ape</x:t>
        </x:is>
      </x:c>
    </x:row>
    <x:row r="262" ht="18" customHeight="1">
      <x:c r="D262" s="2" t="inlineStr">
        <x:is>
          <x:t xml:space="preserve">Giant Badger</x:t>
        </x:is>
      </x:c>
    </x:row>
    <x:row r="263" ht="18" customHeight="1">
      <x:c r="D263" s="2" t="inlineStr">
        <x:is>
          <x:t xml:space="preserve">Giant Bat</x:t>
        </x:is>
      </x:c>
    </x:row>
    <x:row r="264" ht="18" customHeight="1">
      <x:c r="D264" s="2" t="inlineStr">
        <x:is>
          <x:t xml:space="preserve">Giant Boar</x:t>
        </x:is>
      </x:c>
    </x:row>
    <x:row r="265" ht="18" customHeight="1">
      <x:c r="D265" s="2" t="inlineStr">
        <x:is>
          <x:t xml:space="preserve">Giant Centipede</x:t>
        </x:is>
      </x:c>
    </x:row>
    <x:row r="266" ht="18" customHeight="1">
      <x:c r="D266" s="2" t="inlineStr">
        <x:is>
          <x:t xml:space="preserve">Giant Constrictor Snake</x:t>
        </x:is>
      </x:c>
    </x:row>
    <x:row r="267" ht="18" customHeight="1">
      <x:c r="D267" s="2" t="inlineStr">
        <x:is>
          <x:t xml:space="preserve">Giant Crab</x:t>
        </x:is>
      </x:c>
    </x:row>
    <x:row r="268" ht="18" customHeight="1">
      <x:c r="D268" s="2" t="inlineStr">
        <x:is>
          <x:t xml:space="preserve">Giant Crocodile</x:t>
        </x:is>
      </x:c>
    </x:row>
    <x:row r="269" ht="18" customHeight="1">
      <x:c r="D269" s="2" t="inlineStr">
        <x:is>
          <x:t xml:space="preserve">Giant Eagle</x:t>
        </x:is>
      </x:c>
    </x:row>
    <x:row r="270" ht="18" customHeight="1">
      <x:c r="D270" s="2" t="inlineStr">
        <x:is>
          <x:t xml:space="preserve">Giant Elk</x:t>
        </x:is>
      </x:c>
    </x:row>
    <x:row r="271" ht="18" customHeight="1">
      <x:c r="D271" s="2" t="inlineStr">
        <x:is>
          <x:t xml:space="preserve">Giant Fire Beetle</x:t>
        </x:is>
      </x:c>
    </x:row>
    <x:row r="272" ht="18" customHeight="1">
      <x:c r="D272" s="2" t="inlineStr">
        <x:is>
          <x:t xml:space="preserve">Giant Frog</x:t>
        </x:is>
      </x:c>
    </x:row>
    <x:row r="273" ht="18" customHeight="1">
      <x:c r="D273" s="2" t="inlineStr">
        <x:is>
          <x:t xml:space="preserve">Giant Goat</x:t>
        </x:is>
      </x:c>
    </x:row>
    <x:row r="274" ht="18" customHeight="1">
      <x:c r="D274" s="2" t="inlineStr">
        <x:is>
          <x:t xml:space="preserve">Giant Hyena</x:t>
        </x:is>
      </x:c>
    </x:row>
    <x:row r="275" ht="18" customHeight="1">
      <x:c r="D275" s="2" t="inlineStr">
        <x:is>
          <x:t xml:space="preserve">Giant Lizard</x:t>
        </x:is>
      </x:c>
    </x:row>
    <x:row r="276" ht="18" customHeight="1">
      <x:c r="D276" s="2" t="inlineStr">
        <x:is>
          <x:t xml:space="preserve">Giant Octopus</x:t>
        </x:is>
      </x:c>
    </x:row>
    <x:row r="277" ht="18" customHeight="1">
      <x:c r="D277" s="2" t="inlineStr">
        <x:is>
          <x:t xml:space="preserve">Giant Owl</x:t>
        </x:is>
      </x:c>
    </x:row>
    <x:row r="278" ht="18" customHeight="1">
      <x:c r="D278" s="2" t="inlineStr">
        <x:is>
          <x:t xml:space="preserve">Giant Rat</x:t>
        </x:is>
      </x:c>
    </x:row>
    <x:row r="279" ht="18" customHeight="1">
      <x:c r="D279" s="2" t="inlineStr">
        <x:is>
          <x:t xml:space="preserve">Giant Scorpion</x:t>
        </x:is>
      </x:c>
    </x:row>
    <x:row r="280" ht="18" customHeight="1">
      <x:c r="D280" s="2" t="inlineStr">
        <x:is>
          <x:t xml:space="preserve">Giant Seahorse</x:t>
        </x:is>
      </x:c>
    </x:row>
    <x:row r="281" ht="18" customHeight="1">
      <x:c r="D281" s="2" t="inlineStr">
        <x:is>
          <x:t xml:space="preserve">Giant Shark</x:t>
        </x:is>
      </x:c>
    </x:row>
    <x:row r="282" ht="18" customHeight="1">
      <x:c r="D282" s="2" t="inlineStr">
        <x:is>
          <x:t xml:space="preserve">Giant Spider</x:t>
        </x:is>
      </x:c>
    </x:row>
    <x:row r="283" ht="18" customHeight="1">
      <x:c r="D283" s="2" t="inlineStr">
        <x:is>
          <x:t xml:space="preserve">Giant Toad</x:t>
        </x:is>
      </x:c>
    </x:row>
    <x:row r="284" ht="18" customHeight="1">
      <x:c r="D284" s="2" t="inlineStr">
        <x:is>
          <x:t xml:space="preserve">Giant Venomous Snake</x:t>
        </x:is>
      </x:c>
    </x:row>
    <x:row r="285" ht="18" customHeight="1">
      <x:c r="D285" s="2" t="inlineStr">
        <x:is>
          <x:t xml:space="preserve">Giant Vulture</x:t>
        </x:is>
      </x:c>
    </x:row>
    <x:row r="286" ht="18" customHeight="1">
      <x:c r="D286" s="2" t="inlineStr">
        <x:is>
          <x:t xml:space="preserve">Giant Wasp</x:t>
        </x:is>
      </x:c>
    </x:row>
    <x:row r="287" ht="18" customHeight="1">
      <x:c r="D287" s="2" t="inlineStr">
        <x:is>
          <x:t xml:space="preserve">Giant Weasel</x:t>
        </x:is>
      </x:c>
    </x:row>
    <x:row r="288" ht="18" customHeight="1">
      <x:c r="D288" s="2" t="inlineStr">
        <x:is>
          <x:t xml:space="preserve">Giant Wolf Spider</x:t>
        </x:is>
      </x:c>
    </x:row>
    <x:row r="289" ht="18" customHeight="1">
      <x:c r="D289" s="2" t="inlineStr">
        <x:is>
          <x:t xml:space="preserve">Goat</x:t>
        </x:is>
      </x:c>
    </x:row>
    <x:row r="290" ht="18" customHeight="1">
      <x:c r="D290" s="2" t="inlineStr">
        <x:is>
          <x:t xml:space="preserve">Hawk</x:t>
        </x:is>
      </x:c>
    </x:row>
    <x:row r="291" ht="18" customHeight="1">
      <x:c r="D291" s="2" t="inlineStr">
        <x:is>
          <x:t xml:space="preserve">Hippopotamus</x:t>
        </x:is>
      </x:c>
    </x:row>
    <x:row r="292" ht="18" customHeight="1">
      <x:c r="D292" s="2" t="inlineStr">
        <x:is>
          <x:t xml:space="preserve">Hunter Shark</x:t>
        </x:is>
      </x:c>
    </x:row>
    <x:row r="293" ht="18" customHeight="1">
      <x:c r="D293" s="2" t="inlineStr">
        <x:is>
          <x:t xml:space="preserve">Hyena</x:t>
        </x:is>
      </x:c>
    </x:row>
    <x:row r="294" ht="18" customHeight="1">
      <x:c r="D294" s="2" t="inlineStr">
        <x:is>
          <x:t xml:space="preserve">Jackal</x:t>
        </x:is>
      </x:c>
    </x:row>
    <x:row r="295" ht="18" customHeight="1">
      <x:c r="D295" s="2" t="inlineStr">
        <x:is>
          <x:t xml:space="preserve">Killer Whale</x:t>
        </x:is>
      </x:c>
    </x:row>
    <x:row r="296" ht="18" customHeight="1">
      <x:c r="D296" s="2" t="inlineStr">
        <x:is>
          <x:t xml:space="preserve">Lion</x:t>
        </x:is>
      </x:c>
    </x:row>
    <x:row r="297" ht="18" customHeight="1">
      <x:c r="D297" s="2" t="inlineStr">
        <x:is>
          <x:t xml:space="preserve">Lizard</x:t>
        </x:is>
      </x:c>
    </x:row>
    <x:row r="298" ht="18" customHeight="1">
      <x:c r="D298" s="2" t="inlineStr">
        <x:is>
          <x:t xml:space="preserve">Mammoth</x:t>
        </x:is>
      </x:c>
    </x:row>
    <x:row r="299" ht="18" customHeight="1">
      <x:c r="D299" s="2" t="inlineStr">
        <x:is>
          <x:t xml:space="preserve">Mastiff</x:t>
        </x:is>
      </x:c>
    </x:row>
    <x:row r="300" ht="18" customHeight="1">
      <x:c r="D300" s="2" t="inlineStr">
        <x:is>
          <x:t xml:space="preserve">Mule</x:t>
        </x:is>
      </x:c>
    </x:row>
    <x:row r="301" ht="18" customHeight="1">
      <x:c r="D301" s="2" t="inlineStr">
        <x:is>
          <x:t xml:space="preserve">Octopus</x:t>
        </x:is>
      </x:c>
    </x:row>
    <x:row r="302" ht="18" customHeight="1">
      <x:c r="D302" s="2" t="inlineStr">
        <x:is>
          <x:t xml:space="preserve">Owl</x:t>
        </x:is>
      </x:c>
    </x:row>
    <x:row r="303" ht="18" customHeight="1">
      <x:c r="D303" s="2" t="inlineStr">
        <x:is>
          <x:t xml:space="preserve">Panther</x:t>
        </x:is>
      </x:c>
    </x:row>
    <x:row r="304" ht="18" customHeight="1">
      <x:c r="D304" s="2" t="inlineStr">
        <x:is>
          <x:t xml:space="preserve">Piranha</x:t>
        </x:is>
      </x:c>
    </x:row>
    <x:row r="305" ht="18" customHeight="1">
      <x:c r="D305" s="2" t="inlineStr">
        <x:is>
          <x:t xml:space="preserve">Plesiosaurus</x:t>
        </x:is>
      </x:c>
    </x:row>
    <x:row r="306" ht="18" customHeight="1">
      <x:c r="D306" s="2" t="inlineStr">
        <x:is>
          <x:t xml:space="preserve">Polar Bear</x:t>
        </x:is>
      </x:c>
    </x:row>
    <x:row r="307" ht="18" customHeight="1">
      <x:c r="D307" s="2" t="inlineStr">
        <x:is>
          <x:t xml:space="preserve">Pony</x:t>
        </x:is>
      </x:c>
    </x:row>
    <x:row r="308" ht="18" customHeight="1">
      <x:c r="D308" s="2" t="inlineStr">
        <x:is>
          <x:t xml:space="preserve">Pteranodon</x:t>
        </x:is>
      </x:c>
    </x:row>
    <x:row r="309" ht="18" customHeight="1">
      <x:c r="D309" s="2" t="inlineStr">
        <x:is>
          <x:t xml:space="preserve">Rat</x:t>
        </x:is>
      </x:c>
    </x:row>
    <x:row r="310" ht="18" customHeight="1">
      <x:c r="D310" s="2" t="inlineStr">
        <x:is>
          <x:t xml:space="preserve">Raven</x:t>
        </x:is>
      </x:c>
    </x:row>
    <x:row r="311" ht="18" customHeight="1">
      <x:c r="D311" s="2" t="inlineStr">
        <x:is>
          <x:t xml:space="preserve">Reef Shark</x:t>
        </x:is>
      </x:c>
    </x:row>
    <x:row r="312" ht="18" customHeight="1">
      <x:c r="D312" s="2" t="inlineStr">
        <x:is>
          <x:t xml:space="preserve">Rhinoceros</x:t>
        </x:is>
      </x:c>
    </x:row>
    <x:row r="313" ht="18" customHeight="1">
      <x:c r="D313" s="2" t="inlineStr">
        <x:is>
          <x:t xml:space="preserve">Riding Horse</x:t>
        </x:is>
      </x:c>
    </x:row>
    <x:row r="314" ht="18" customHeight="1">
      <x:c r="D314" s="2" t="inlineStr">
        <x:is>
          <x:t xml:space="preserve">Saber-Toothed Tiger</x:t>
        </x:is>
      </x:c>
    </x:row>
    <x:row r="315" ht="18" customHeight="1">
      <x:c r="D315" s="2" t="inlineStr">
        <x:is>
          <x:t xml:space="preserve">Scorpion</x:t>
        </x:is>
      </x:c>
    </x:row>
    <x:row r="316" ht="18" customHeight="1">
      <x:c r="D316" s="2" t="inlineStr">
        <x:is>
          <x:t xml:space="preserve">Seahorse</x:t>
        </x:is>
      </x:c>
    </x:row>
    <x:row r="317" ht="18" customHeight="1">
      <x:c r="D317" s="2" t="inlineStr">
        <x:is>
          <x:t xml:space="preserve">Spider</x:t>
        </x:is>
      </x:c>
    </x:row>
    <x:row r="318" ht="18" customHeight="1">
      <x:c r="D318" s="2" t="inlineStr">
        <x:is>
          <x:t xml:space="preserve">Swarm of Bats</x:t>
        </x:is>
      </x:c>
    </x:row>
    <x:row r="319" ht="18" customHeight="1">
      <x:c r="D319" s="2" t="inlineStr">
        <x:is>
          <x:t xml:space="preserve">Swarm of Insects</x:t>
        </x:is>
      </x:c>
    </x:row>
    <x:row r="320" ht="18" customHeight="1">
      <x:c r="D320" s="2" t="inlineStr">
        <x:is>
          <x:t xml:space="preserve">Swarm of Piranhas</x:t>
        </x:is>
      </x:c>
    </x:row>
    <x:row r="321" ht="18" customHeight="1">
      <x:c r="D321" s="2" t="inlineStr">
        <x:is>
          <x:t xml:space="preserve">Swarm of Rats</x:t>
        </x:is>
      </x:c>
    </x:row>
    <x:row r="322" ht="18" customHeight="1">
      <x:c r="D322" s="2" t="inlineStr">
        <x:is>
          <x:t xml:space="preserve">Swarm of Ravens</x:t>
        </x:is>
      </x:c>
    </x:row>
    <x:row r="323" ht="18" customHeight="1">
      <x:c r="D323" s="2" t="inlineStr">
        <x:is>
          <x:t xml:space="preserve">Swarm of Venomous Snakes</x:t>
        </x:is>
      </x:c>
    </x:row>
    <x:row r="324" ht="18" customHeight="1">
      <x:c r="D324" s="2" t="inlineStr">
        <x:is>
          <x:t xml:space="preserve">Tiger</x:t>
        </x:is>
      </x:c>
    </x:row>
    <x:row r="325" ht="18" customHeight="1">
      <x:c r="D325" s="2" t="inlineStr">
        <x:is>
          <x:t xml:space="preserve">Triceratops</x:t>
        </x:is>
      </x:c>
    </x:row>
    <x:row r="326" ht="18" customHeight="1">
      <x:c r="D326" s="2" t="inlineStr">
        <x:is>
          <x:t xml:space="preserve">Tyrannosaurus Rex</x:t>
        </x:is>
      </x:c>
    </x:row>
    <x:row r="327" ht="18" customHeight="1">
      <x:c r="D327" s="2" t="inlineStr">
        <x:is>
          <x:t xml:space="preserve">Venomous Snake</x:t>
        </x:is>
      </x:c>
    </x:row>
    <x:row r="328" ht="18" customHeight="1">
      <x:c r="D328" s="2" t="inlineStr">
        <x:is>
          <x:t xml:space="preserve">Vulture</x:t>
        </x:is>
      </x:c>
    </x:row>
    <x:row r="329" ht="18" customHeight="1">
      <x:c r="D329" s="2" t="inlineStr">
        <x:is>
          <x:t xml:space="preserve">Warhorse</x:t>
        </x:is>
      </x:c>
    </x:row>
    <x:row r="330" ht="18" customHeight="1">
      <x:c r="D330" s="2" t="inlineStr">
        <x:is>
          <x:t xml:space="preserve">Weasel</x:t>
        </x:is>
      </x:c>
    </x:row>
    <x:row r="331" ht="18" customHeight="1">
      <x:c r="D331" s="2" t="inlineStr">
        <x:is>
          <x:t xml:space="preserve">Wolf</x:t>
        </x:is>
      </x:c>
    </x:row>
  </x:sheetData>
  <x:pageMargins left="0.7" right="0.7" top="0.75" bottom="0.75" header="0.3" footer="0.3"/>
</x:worksheet>
</file>

<file path=xl/worksheets/sheet16.xml><?xml version="1.0" encoding="utf-8"?>
<x:worksheet xmlns:x="http://schemas.openxmlformats.org/spreadsheetml/2006/main">
  <x:sheetViews>
    <x:sheetView showGridLines="1" workbookViewId="0"/>
  </x:sheetViews>
  <x:sheetFormatPr baseColWidth="8" defaultRowHeight="15"/>
  <x:cols>
    <x:col min="1" max="1" width="30" customWidth="1"/>
    <x:col min="2" max="2" width="11" customWidth="1"/>
    <x:col min="3" max="3" width="22" customWidth="1"/>
    <x:col min="4" max="4" width="17" customWidth="1"/>
    <x:col min="5" max="5" width="17" customWidth="1"/>
    <x:col min="6" max="6" width="10" customWidth="1"/>
    <x:col min="7" max="7" width="10" customWidth="1"/>
    <x:col min="8" max="8" width="10" customWidth="1"/>
    <x:col min="9" max="9" width="10" customWidth="1"/>
    <x:col min="10" max="10" width="35" customWidth="1"/>
    <x:col min="11" max="11" width="12" customWidth="1"/>
    <x:col min="12" max="12" width="20" customWidth="1"/>
    <x:col min="13" max="13" width="15" customWidth="1"/>
    <x:col min="14" max="14" width="14" customWidth="1"/>
    <x:col min="15" max="15" width="16" customWidth="1"/>
    <x:col min="16" max="16" width="10" customWidth="1"/>
    <x:col min="17" max="17" width="10" customWidth="1"/>
    <x:col min="18" max="18" width="10" customWidth="1"/>
    <x:col min="19" max="19" width="10" customWidth="1"/>
    <x:col min="20" max="20" width="10" customWidth="1"/>
    <x:col min="21" max="21" width="10" customWidth="1"/>
    <x:col min="22" max="22" width="40" customWidth="1"/>
    <x:col min="23" max="23" width="45" customWidth="1"/>
    <x:col min="24" max="24" width="45" customWidth="1"/>
    <x:col min="25" max="25" width="45" customWidth="1"/>
    <x:col min="26" max="26" width="45" customWidth="1"/>
    <x:col min="27" max="27" width="45" customWidth="1"/>
    <x:col min="28" max="28" width="45" customWidth="1"/>
    <x:col min="29" max="29" width="45" customWidth="1"/>
    <x:col min="30" max="30" width="45" customWidth="1"/>
    <x:col min="31" max="31" width="45" customWidth="1"/>
    <x:col min="32" max="32" width="45" customWidth="1"/>
    <x:col min="33" max="33" width="31" customWidth="1"/>
  </x:cols>
  <x:sheetData>
    <x:row r="1" ht="18" customHeight="1">
      <x:c r="A1" s="5" t="inlineStr">
        <x:is>
          <x:t xml:space="preserve">Monster Database — SRD 5.2.1</x:t>
        </x:is>
      </x:c>
    </x:row>
    <x:row r="2" ht="18" customHeight="1">
      <x:c r="A2" s="4" t="inlineStr">
        <x:is>
          <x:t xml:space="preserve">Monster Name</x:t>
        </x:is>
      </x:c>
      <x:c r="B2" s="4" t="inlineStr">
        <x:is>
          <x:t xml:space="preserve">Source</x:t>
        </x:is>
      </x:c>
      <x:c r="C2" s="4" t="inlineStr">
        <x:is>
          <x:t xml:space="preserve">Type/Class</x:t>
        </x:is>
      </x:c>
      <x:c r="D2" s="4" t="inlineStr">
        <x:is>
          <x:t xml:space="preserve">Size</x:t>
        </x:is>
      </x:c>
      <x:c r="E2" s="4" t="inlineStr">
        <x:is>
          <x:t xml:space="preserve">Alignment</x:t>
        </x:is>
      </x:c>
      <x:c r="F2" s="4" t="inlineStr">
        <x:is>
          <x:t xml:space="preserve">CR</x:t>
        </x:is>
      </x:c>
      <x:c r="G2" s="4" t="inlineStr">
        <x:is>
          <x:t xml:space="preserve">XP</x:t>
        </x:is>
      </x:c>
      <x:c r="H2" s="4" t="inlineStr">
        <x:is>
          <x:t xml:space="preserve">AC</x:t>
        </x:is>
      </x:c>
      <x:c r="I2" s="4" t="inlineStr">
        <x:is>
          <x:t xml:space="preserve">Max HP</x:t>
        </x:is>
      </x:c>
      <x:c r="J2" s="4" t="inlineStr">
        <x:is>
          <x:t xml:space="preserve">Speed</x:t>
        </x:is>
      </x:c>
      <x:c r="K2" s="4" t="inlineStr">
        <x:is>
          <x:t xml:space="preserve">Prof Bonus</x:t>
        </x:is>
      </x:c>
      <x:c r="L2" s="4" t="inlineStr">
        <x:is>
          <x:t xml:space="preserve">Passive Perception</x:t>
        </x:is>
      </x:c>
      <x:c r="M2" s="4" t="inlineStr">
        <x:is>
          <x:t xml:space="preserve">Spell Save DC</x:t>
        </x:is>
      </x:c>
      <x:c r="N2" s="4" t="inlineStr">
        <x:is>
          <x:t xml:space="preserve">Attack Bonus</x:t>
        </x:is>
      </x:c>
      <x:c r="O2" s="4" t="inlineStr">
        <x:is>
          <x:t xml:space="preserve">Initiative Mod</x:t>
        </x:is>
      </x:c>
      <x:c r="P2" s="4" t="inlineStr">
        <x:is>
          <x:t xml:space="preserve">STR</x:t>
        </x:is>
      </x:c>
      <x:c r="Q2" s="4" t="inlineStr">
        <x:is>
          <x:t xml:space="preserve">DEX</x:t>
        </x:is>
      </x:c>
      <x:c r="R2" s="4" t="inlineStr">
        <x:is>
          <x:t xml:space="preserve">CON</x:t>
        </x:is>
      </x:c>
      <x:c r="S2" s="4" t="inlineStr">
        <x:is>
          <x:t xml:space="preserve">INT</x:t>
        </x:is>
      </x:c>
      <x:c r="T2" s="4" t="inlineStr">
        <x:is>
          <x:t xml:space="preserve">WIS</x:t>
        </x:is>
      </x:c>
      <x:c r="U2" s="4" t="inlineStr">
        <x:is>
          <x:t xml:space="preserve">CHA</x:t>
        </x:is>
      </x:c>
      <x:c r="V2" s="4" t="inlineStr">
        <x:is>
          <x:t xml:space="preserve">Saving Throws</x:t>
        </x:is>
      </x:c>
      <x:c r="W2" s="4" t="inlineStr">
        <x:is>
          <x:t xml:space="preserve">Skills</x:t>
        </x:is>
      </x:c>
      <x:c r="X2" s="4" t="inlineStr">
        <x:is>
          <x:t xml:space="preserve">Senses</x:t>
        </x:is>
      </x:c>
      <x:c r="Y2" s="4" t="inlineStr">
        <x:is>
          <x:t xml:space="preserve">Languages</x:t>
        </x:is>
      </x:c>
      <x:c r="Z2" s="4" t="inlineStr">
        <x:is>
          <x:t xml:space="preserve">Traits</x:t>
        </x:is>
      </x:c>
      <x:c r="AA2" s="4" t="inlineStr">
        <x:is>
          <x:t xml:space="preserve">Actions</x:t>
        </x:is>
      </x:c>
      <x:c r="AB2" s="4" t="inlineStr">
        <x:is>
          <x:t xml:space="preserve">Bonus Actions</x:t>
        </x:is>
      </x:c>
      <x:c r="AC2" s="4" t="inlineStr">
        <x:is>
          <x:t xml:space="preserve">Reactions</x:t>
        </x:is>
      </x:c>
      <x:c r="AD2" s="4" t="inlineStr">
        <x:is>
          <x:t xml:space="preserve">Legendary/Lair Actions</x:t>
        </x:is>
      </x:c>
      <x:c r="AE2" s="4" t="inlineStr">
        <x:is>
          <x:t xml:space="preserve">Spellcasting / Resources</x:t>
        </x:is>
      </x:c>
      <x:c r="AF2" s="4" t="inlineStr">
        <x:is>
          <x:t xml:space="preserve">Notes</x:t>
        </x:is>
      </x:c>
      <x:c r="AG2" s="4" t="inlineStr">
        <x:is>
          <x:t xml:space="preserve">Source URL</x:t>
        </x:is>
      </x:c>
    </x:row>
    <x:row r="3" ht="18" customHeight="1">
      <x:c r="A3" s="2" t="inlineStr">
        <x:is>
          <x:t xml:space="preserve">Aboleth</x:t>
        </x:is>
      </x:c>
      <x:c r="B3" s="2" t="inlineStr">
        <x:is>
          <x:t xml:space="preserve">SRD 5.2.1</x:t>
        </x:is>
      </x:c>
      <x:c r="C3" s="2" t="inlineStr">
        <x:is>
          <x:t xml:space="preserve">Aberration</x:t>
        </x:is>
      </x:c>
      <x:c r="D3" s="2" t="inlineStr">
        <x:is>
          <x:t xml:space="preserve">Large</x:t>
        </x:is>
      </x:c>
      <x:c r="E3" s="2" t="inlineStr">
        <x:is>
          <x:t xml:space="preserve">Lawful Evil</x:t>
        </x:is>
      </x:c>
      <x:c r="F3" s="2" t="inlineStr">
        <x:is>
          <x:t xml:space="preserve">10</x:t>
        </x:is>
      </x:c>
      <x:c r="G3" s="2" t="inlineStr">
        <x:is>
          <x:t xml:space="preserve">5900</x:t>
        </x:is>
      </x:c>
      <x:c r="H3" s="2" t="inlineStr">
        <x:is>
          <x:t xml:space="preserve">17</x:t>
        </x:is>
      </x:c>
      <x:c r="I3" s="2" t="inlineStr">
        <x:is>
          <x:t xml:space="preserve">150</x:t>
        </x:is>
      </x:c>
      <x:c r="J3" s="2" t="inlineStr">
        <x:is>
          <x:t xml:space="preserve">10 ft., Swim 40 ft.</x:t>
        </x:is>
      </x:c>
      <x:c r="K3" s="2" t="inlineStr">
        <x:is>
          <x:t xml:space="preserve">4</x:t>
        </x:is>
      </x:c>
      <x:c r="L3" s="2" t="inlineStr">
        <x:is>
          <x:t xml:space="preserve">20</x:t>
        </x:is>
      </x:c>
      <x:c r="M3" s="2" t="inlineStr">
        <x:is>
          <x:t xml:space="preserve">16</x:t>
        </x:is>
      </x:c>
      <x:c r="N3" s="2" t="inlineStr">
        <x:is>
          <x:t xml:space="preserve">9</x:t>
        </x:is>
      </x:c>
      <x:c r="O3" s="2" t="inlineStr">
        <x:is>
          <x:t xml:space="preserve">7</x:t>
        </x:is>
      </x:c>
      <x:c r="P3" s="2" t="inlineStr">
        <x:is>
          <x:t xml:space="preserve">21</x:t>
        </x:is>
      </x:c>
      <x:c r="Q3" s="2" t="inlineStr">
        <x:is>
          <x:t xml:space="preserve">9</x:t>
        </x:is>
      </x:c>
      <x:c r="R3" s="2" t="inlineStr">
        <x:is>
          <x:t xml:space="preserve">15</x:t>
        </x:is>
      </x:c>
      <x:c r="S3" s="2" t="inlineStr">
        <x:is>
          <x:t xml:space="preserve">18</x:t>
        </x:is>
      </x:c>
      <x:c r="T3" s="2" t="inlineStr">
        <x:is>
          <x:t xml:space="preserve">15</x:t>
        </x:is>
      </x:c>
      <x:c r="U3" s="2" t="inlineStr">
        <x:is>
          <x:t xml:space="preserve">18</x:t>
        </x:is>
      </x:c>
      <x:c r="V3" s="2" t="inlineStr">
        <x:is>
          <x:t xml:space="preserve">DEX +3, CON +6, INT +8, WIS +6</x:t>
        </x:is>
      </x:c>
      <x:c r="W3" s="2" t="inlineStr">
        <x:is>
          <x:t xml:space="preserve">History +12, Perception +10</x:t>
        </x:is>
      </x:c>
      <x:c r="X3" s="2" t="inlineStr">
        <x:is>
          <x:t xml:space="preserve">Darkvision 120 ft.; Passive Perception 20</x:t>
        </x:is>
      </x:c>
      <x:c r="Y3" s="2" t="inlineStr">
        <x:is>
          <x:t xml:space="preserve">Deep Speech; telepathy 120 ft.</x:t>
        </x:is>
      </x:c>
      <x:c r="Z3" s="2" t="inlineStr">
        <x:is>
          <x:t xml:space="preserve">Amphibious. The aboleth can breathe air and water. Eldritch Restoration. If destroyed, the aboleth gains a new body in 5d10 days, reviving with all its Hit Points in the Far Realm or another location chosen by the GM. Legendary Resistance (3/Day, or 4/Day in Lair). If the aboleth fails a saving throw, it can choose to suc- ceed instead. Mucus Cloud. While underwater, the aboleth is sur- rounded by mucus. Constitution Saving Throw: DC 14, each creature in a 5-foot Emanation originating from the aboleth at the end of the aboleth’s turn. Failure: The target is cursed. Until the curse ends, the target’s skin becomes slimy, the target can breathe air and water, and it can’t regain Hit Points unless it is underwater. While the cursed creature is outside a body of water, the creature takes 6 (1d12) Acid damage at the end of every 10 minutes unless moisture is applied to its skin before those minutes have passed. Probing Telepathy. If a creature the aboleth can see communicates telepathically with the aboleth, the abo- leth learns the creature’s greatest desires.</x:t>
        </x:is>
      </x:c>
      <x:c r="AA3" s="2" t="inlineStr">
        <x:is>
          <x:t xml:space="preserve">Multiattack. The aboleth makes two Tentacle attacks and uses either Consume Memories or Dominate Mind if available. Tentacle. Melee Attack Roll: +9, reach 15 ft. Hit: 12 (2d6 + 5) Bludgeoning damage. If the target is a Large or smaller creature, it has the Grappled condition (es- cape DC 14) from one of four tentacles. Consume Memories. Intelligence Saving Throw: DC 16, one creature within 30 feet that is Charmed or Grap- pled by the aboleth. Failure: 10 (3d6) Psychic damage. Success: Half damage. Failure or Success: The aboleth gains the target’s memories if the target is a Humanoid and is reduced to 0 Hit Points by this action. Dominate Mind (2/Day). Wisdom Saving Throw: DC 16, one creature the aboleth can see within 30 feet. Failure: The target has the Charmed condition until the aboleth dies or is on a different plane of existence from the target. While Charmed, the target acts as an ally to the aboleth and is under its control while within 60 feet of it. In addition, the aboleth and the target can communicate telepathically with each other over any distance. The target repeats the save whenever it takes damage as well as after every 24 hours it spends at least 1 mile away from the aboleth, ending the effect on itself on a success.</x:t>
        </x:is>
      </x:c>
      <x:c r="AB3" s="2" t="n"/>
      <x:c r="AC3" s="2" t="n"/>
      <x:c r="AD3" s="2" t="inlineStr">
        <x:is>
          <x:t xml:space="preserve">Legendary Action Uses: 3 (4 in Lair). Immediately after another creature’s turn, the aboleth can expend a use to take one of the following actions. The aboleth regains all expended uses at the start of each of its turns. Lash. The aboleth makes one Tentacle attack. Psychic Drain. If the aboleth has at least one creature Charmed or Grappled, it uses Consume Memories and regains 5 (1d10) Hit Points. Air Elemental</x:t>
        </x:is>
      </x:c>
      <x:c r="AE3" s="2" t="n"/>
      <x:c r="AF3" s="2" t="inlineStr">
        <x:is>
          <x:t xml:space="preserve">Imported from SRD 5.2.1 p. 258 Index of Stat Blocks</x:t>
        </x:is>
      </x:c>
      <x:c r="AG3" s="2" t="inlineStr">
        <x:is>
          <x:t xml:space="preserve">https://www.dndbeyond.com/srd</x:t>
        </x:is>
      </x:c>
    </x:row>
    <x:row r="4" ht="18" customHeight="1">
      <x:c r="A4" s="2" t="inlineStr">
        <x:is>
          <x:t xml:space="preserve">Air Elemental</x:t>
        </x:is>
      </x:c>
      <x:c r="B4" s="2" t="inlineStr">
        <x:is>
          <x:t xml:space="preserve">SRD 5.2.1</x:t>
        </x:is>
      </x:c>
      <x:c r="C4" s="2" t="inlineStr">
        <x:is>
          <x:t xml:space="preserve">Elemental</x:t>
        </x:is>
      </x:c>
      <x:c r="D4" s="2" t="inlineStr">
        <x:is>
          <x:t xml:space="preserve">Large</x:t>
        </x:is>
      </x:c>
      <x:c r="E4" s="2" t="inlineStr">
        <x:is>
          <x:t xml:space="preserve">Neutral</x:t>
        </x:is>
      </x:c>
      <x:c r="F4" s="2" t="inlineStr">
        <x:is>
          <x:t xml:space="preserve">5</x:t>
        </x:is>
      </x:c>
      <x:c r="G4" s="2" t="inlineStr">
        <x:is>
          <x:t xml:space="preserve">1800</x:t>
        </x:is>
      </x:c>
      <x:c r="H4" s="2" t="inlineStr">
        <x:is>
          <x:t xml:space="preserve">15</x:t>
        </x:is>
      </x:c>
      <x:c r="I4" s="2" t="inlineStr">
        <x:is>
          <x:t xml:space="preserve">90</x:t>
        </x:is>
      </x:c>
      <x:c r="J4" s="2" t="inlineStr">
        <x:is>
          <x:t xml:space="preserve">10 ft., Fly 90 ft. (hover)</x:t>
        </x:is>
      </x:c>
      <x:c r="K4" s="2" t="inlineStr">
        <x:is>
          <x:t xml:space="preserve">3</x:t>
        </x:is>
      </x:c>
      <x:c r="L4" s="2" t="inlineStr">
        <x:is>
          <x:t xml:space="preserve">10</x:t>
        </x:is>
      </x:c>
      <x:c r="M4" s="2" t="inlineStr">
        <x:is>
          <x:t xml:space="preserve">13</x:t>
        </x:is>
      </x:c>
      <x:c r="N4" s="2" t="inlineStr">
        <x:is>
          <x:t xml:space="preserve">8</x:t>
        </x:is>
      </x:c>
      <x:c r="O4" s="2" t="inlineStr">
        <x:is>
          <x:t xml:space="preserve">5</x:t>
        </x:is>
      </x:c>
      <x:c r="P4" s="2" t="inlineStr">
        <x:is>
          <x:t xml:space="preserve">14</x:t>
        </x:is>
      </x:c>
      <x:c r="Q4" s="2" t="inlineStr">
        <x:is>
          <x:t xml:space="preserve">20</x:t>
        </x:is>
      </x:c>
      <x:c r="R4" s="2" t="inlineStr">
        <x:is>
          <x:t xml:space="preserve">14</x:t>
        </x:is>
      </x:c>
      <x:c r="S4" s="2" t="inlineStr">
        <x:is>
          <x:t xml:space="preserve">6</x:t>
        </x:is>
      </x:c>
      <x:c r="T4" s="2" t="inlineStr">
        <x:is>
          <x:t xml:space="preserve">10</x:t>
        </x:is>
      </x:c>
      <x:c r="U4" s="2" t="inlineStr">
        <x:is>
          <x:t xml:space="preserve">6</x:t>
        </x:is>
      </x:c>
      <x:c r="V4" s="2" t="n"/>
      <x:c r="W4" s="2" t="n"/>
      <x:c r="X4" s="2" t="inlineStr">
        <x:is>
          <x:t xml:space="preserve">Darkvision 60 ft.; Passive Perception 10</x:t>
        </x:is>
      </x:c>
      <x:c r="Y4" s="2" t="inlineStr">
        <x:is>
          <x:t xml:space="preserve">Primordial (Auran)</x:t>
        </x:is>
      </x:c>
      <x:c r="Z4" s="2" t="inlineStr">
        <x:is>
          <x:t xml:space="preserve">Air Form. The elemental can enter a creature’s space and stop there. It can move through a space as narrow as 1 inch without expending extra movement to do so.</x:t>
        </x:is>
      </x:c>
      <x:c r="AA4" s="2" t="inlineStr">
        <x:is>
          <x:t xml:space="preserve">Multiattack. The elemental makes two Thunderous Slam attacks. Thunderous Slam. Melee Attack Roll: +8, reach 10 ft. Hit: 14 (2d8 + 5) Thunder damage. Whirlwind (Recharge 4-6). Strength Saving Throw: DC 13, one Medium or smaller creature in the elemental’s space. Failure: 24 (4d10 + 2) Thunder damage, and the target is pushed up to 20 feet straight away from the elemental and has the Prone condition. Success: Half damage only. Animated Objects</x:t>
        </x:is>
      </x:c>
      <x:c r="AB4" s="2" t="n"/>
      <x:c r="AC4" s="2" t="n"/>
      <x:c r="AD4" s="2" t="n"/>
      <x:c r="AE4" s="2" t="n"/>
      <x:c r="AF4" s="2" t="inlineStr">
        <x:is>
          <x:t xml:space="preserve">Imported from SRD 5.2.1 p. 258 Index of Stat Blocks</x:t>
        </x:is>
      </x:c>
      <x:c r="AG4" s="2" t="inlineStr">
        <x:is>
          <x:t xml:space="preserve">https://www.dndbeyond.com/srd</x:t>
        </x:is>
      </x:c>
    </x:row>
    <x:row r="5" ht="18" customHeight="1">
      <x:c r="A5" s="2" t="inlineStr">
        <x:is>
          <x:t xml:space="preserve">Animated Armor</x:t>
        </x:is>
      </x:c>
      <x:c r="B5" s="2" t="inlineStr">
        <x:is>
          <x:t xml:space="preserve">SRD 5.2.1</x:t>
        </x:is>
      </x:c>
      <x:c r="C5" s="2" t="inlineStr">
        <x:is>
          <x:t xml:space="preserve">Construct</x:t>
        </x:is>
      </x:c>
      <x:c r="D5" s="2" t="inlineStr">
        <x:is>
          <x:t xml:space="preserve">Medium</x:t>
        </x:is>
      </x:c>
      <x:c r="E5" s="2" t="inlineStr">
        <x:is>
          <x:t xml:space="preserve">Unaligned</x:t>
        </x:is>
      </x:c>
      <x:c r="F5" s="2" t="inlineStr">
        <x:is>
          <x:t xml:space="preserve">1</x:t>
        </x:is>
      </x:c>
      <x:c r="G5" s="2" t="inlineStr">
        <x:is>
          <x:t xml:space="preserve">200</x:t>
        </x:is>
      </x:c>
      <x:c r="H5" s="2" t="inlineStr">
        <x:is>
          <x:t xml:space="preserve">18</x:t>
        </x:is>
      </x:c>
      <x:c r="I5" s="2" t="inlineStr">
        <x:is>
          <x:t xml:space="preserve">33</x:t>
        </x:is>
      </x:c>
      <x:c r="J5" s="2" t="inlineStr">
        <x:is>
          <x:t xml:space="preserve">25 ft.</x:t>
        </x:is>
      </x:c>
      <x:c r="K5" s="2" t="inlineStr">
        <x:is>
          <x:t xml:space="preserve">2</x:t>
        </x:is>
      </x:c>
      <x:c r="L5" s="2" t="inlineStr">
        <x:is>
          <x:t xml:space="preserve">6</x:t>
        </x:is>
      </x:c>
      <x:c r="M5" s="2" t="n"/>
      <x:c r="N5" s="2" t="inlineStr">
        <x:is>
          <x:t xml:space="preserve">4</x:t>
        </x:is>
      </x:c>
      <x:c r="O5" s="2" t="inlineStr">
        <x:is>
          <x:t xml:space="preserve">2</x:t>
        </x:is>
      </x:c>
      <x:c r="P5" s="2" t="inlineStr">
        <x:is>
          <x:t xml:space="preserve">14</x:t>
        </x:is>
      </x:c>
      <x:c r="Q5" s="2" t="inlineStr">
        <x:is>
          <x:t xml:space="preserve">11</x:t>
        </x:is>
      </x:c>
      <x:c r="R5" s="2" t="inlineStr">
        <x:is>
          <x:t xml:space="preserve">13</x:t>
        </x:is>
      </x:c>
      <x:c r="S5" s="2" t="inlineStr">
        <x:is>
          <x:t xml:space="preserve">1</x:t>
        </x:is>
      </x:c>
      <x:c r="T5" s="2" t="inlineStr">
        <x:is>
          <x:t xml:space="preserve">3</x:t>
        </x:is>
      </x:c>
      <x:c r="U5" s="2" t="inlineStr">
        <x:is>
          <x:t xml:space="preserve">1</x:t>
        </x:is>
      </x:c>
      <x:c r="V5" s="2" t="n"/>
      <x:c r="W5" s="2" t="n"/>
      <x:c r="X5" s="2" t="inlineStr">
        <x:is>
          <x:t xml:space="preserve">Blindsight 60 ft.; Passive Perception 6</x:t>
        </x:is>
      </x:c>
      <x:c r="Y5" s="2" t="inlineStr">
        <x:is>
          <x:t xml:space="preserve">None</x:t>
        </x:is>
      </x:c>
      <x:c r="Z5" s="2" t="n"/>
      <x:c r="AA5" s="2" t="inlineStr">
        <x:is>
          <x:t xml:space="preserve">Multiattack. The armor makes two Slam attacks. Slam. Melee Attack Roll: +4, reach 5 ft. Hit: 5 (1d6 + 2) Bludgeoning damage.</x:t>
        </x:is>
      </x:c>
      <x:c r="AB5" s="2" t="n"/>
      <x:c r="AC5" s="2" t="n"/>
      <x:c r="AD5" s="2" t="n"/>
      <x:c r="AE5" s="2" t="n"/>
      <x:c r="AF5" s="2" t="inlineStr">
        <x:is>
          <x:t xml:space="preserve">Imported from SRD 5.2.1 p. 259 Index of Stat Blocks</x:t>
        </x:is>
      </x:c>
      <x:c r="AG5" s="2" t="inlineStr">
        <x:is>
          <x:t xml:space="preserve">https://www.dndbeyond.com/srd</x:t>
        </x:is>
      </x:c>
    </x:row>
    <x:row r="6" ht="18" customHeight="1">
      <x:c r="A6" s="2" t="inlineStr">
        <x:is>
          <x:t xml:space="preserve">Animated Flying Sword</x:t>
        </x:is>
      </x:c>
      <x:c r="B6" s="2" t="inlineStr">
        <x:is>
          <x:t xml:space="preserve">SRD 5.2.1</x:t>
        </x:is>
      </x:c>
      <x:c r="C6" s="2" t="inlineStr">
        <x:is>
          <x:t xml:space="preserve">Construct</x:t>
        </x:is>
      </x:c>
      <x:c r="D6" s="2" t="inlineStr">
        <x:is>
          <x:t xml:space="preserve">Small</x:t>
        </x:is>
      </x:c>
      <x:c r="E6" s="2" t="inlineStr">
        <x:is>
          <x:t xml:space="preserve">Unaligned</x:t>
        </x:is>
      </x:c>
      <x:c r="F6" s="2" t="inlineStr">
        <x:is>
          <x:t xml:space="preserve">1/4</x:t>
        </x:is>
      </x:c>
      <x:c r="G6" s="2" t="inlineStr">
        <x:is>
          <x:t xml:space="preserve">50</x:t>
        </x:is>
      </x:c>
      <x:c r="H6" s="2" t="inlineStr">
        <x:is>
          <x:t xml:space="preserve">17</x:t>
        </x:is>
      </x:c>
      <x:c r="I6" s="2" t="inlineStr">
        <x:is>
          <x:t xml:space="preserve">14</x:t>
        </x:is>
      </x:c>
      <x:c r="J6" s="2" t="inlineStr">
        <x:is>
          <x:t xml:space="preserve">5 ft., Fly 50 ft. (hover)</x:t>
        </x:is>
      </x:c>
      <x:c r="K6" s="2" t="inlineStr">
        <x:is>
          <x:t xml:space="preserve">2</x:t>
        </x:is>
      </x:c>
      <x:c r="L6" s="2" t="inlineStr">
        <x:is>
          <x:t xml:space="preserve">7</x:t>
        </x:is>
      </x:c>
      <x:c r="M6" s="2" t="n"/>
      <x:c r="N6" s="2" t="inlineStr">
        <x:is>
          <x:t xml:space="preserve">4</x:t>
        </x:is>
      </x:c>
      <x:c r="O6" s="2" t="inlineStr">
        <x:is>
          <x:t xml:space="preserve">4</x:t>
        </x:is>
      </x:c>
      <x:c r="P6" s="2" t="inlineStr">
        <x:is>
          <x:t xml:space="preserve">12</x:t>
        </x:is>
      </x:c>
      <x:c r="Q6" s="2" t="inlineStr">
        <x:is>
          <x:t xml:space="preserve">15</x:t>
        </x:is>
      </x:c>
      <x:c r="R6" s="2" t="inlineStr">
        <x:is>
          <x:t xml:space="preserve">11</x:t>
        </x:is>
      </x:c>
      <x:c r="S6" s="2" t="inlineStr">
        <x:is>
          <x:t xml:space="preserve">1</x:t>
        </x:is>
      </x:c>
      <x:c r="T6" s="2" t="inlineStr">
        <x:is>
          <x:t xml:space="preserve">5</x:t>
        </x:is>
      </x:c>
      <x:c r="U6" s="2" t="inlineStr">
        <x:is>
          <x:t xml:space="preserve">1</x:t>
        </x:is>
      </x:c>
      <x:c r="V6" s="2" t="inlineStr">
        <x:is>
          <x:t xml:space="preserve">DEX +4</x:t>
        </x:is>
      </x:c>
      <x:c r="W6" s="2" t="n"/>
      <x:c r="X6" s="2" t="inlineStr">
        <x:is>
          <x:t xml:space="preserve">Blindsight 60 ft.; Passive Perception 7</x:t>
        </x:is>
      </x:c>
      <x:c r="Y6" s="2" t="inlineStr">
        <x:is>
          <x:t xml:space="preserve">None</x:t>
        </x:is>
      </x:c>
      <x:c r="Z6" s="2" t="n"/>
      <x:c r="AA6" s="2" t="inlineStr">
        <x:is>
          <x:t xml:space="preserve">Slash. Melee Attack Roll: +4, reach 5 ft. Hit: 6 (1d8 + 2) Slashing damage.</x:t>
        </x:is>
      </x:c>
      <x:c r="AB6" s="2" t="n"/>
      <x:c r="AC6" s="2" t="n"/>
      <x:c r="AD6" s="2" t="n"/>
      <x:c r="AE6" s="2" t="n"/>
      <x:c r="AF6" s="2" t="inlineStr">
        <x:is>
          <x:t xml:space="preserve">Imported from SRD 5.2.1 p. 259 Index of Stat Blocks</x:t>
        </x:is>
      </x:c>
      <x:c r="AG6" s="2" t="inlineStr">
        <x:is>
          <x:t xml:space="preserve">https://www.dndbeyond.com/srd</x:t>
        </x:is>
      </x:c>
    </x:row>
    <x:row r="7" ht="18" customHeight="1">
      <x:c r="A7" s="2" t="inlineStr">
        <x:is>
          <x:t xml:space="preserve">Animated Rug of Smothering</x:t>
        </x:is>
      </x:c>
      <x:c r="B7" s="2" t="inlineStr">
        <x:is>
          <x:t xml:space="preserve">SRD 5.2.1</x:t>
        </x:is>
      </x:c>
      <x:c r="C7" s="2" t="inlineStr">
        <x:is>
          <x:t xml:space="preserve">Construct</x:t>
        </x:is>
      </x:c>
      <x:c r="D7" s="2" t="inlineStr">
        <x:is>
          <x:t xml:space="preserve">Large</x:t>
        </x:is>
      </x:c>
      <x:c r="E7" s="2" t="inlineStr">
        <x:is>
          <x:t xml:space="preserve">Unaligned</x:t>
        </x:is>
      </x:c>
      <x:c r="F7" s="2" t="inlineStr">
        <x:is>
          <x:t xml:space="preserve">2</x:t>
        </x:is>
      </x:c>
      <x:c r="G7" s="2" t="inlineStr">
        <x:is>
          <x:t xml:space="preserve">450</x:t>
        </x:is>
      </x:c>
      <x:c r="H7" s="2" t="inlineStr">
        <x:is>
          <x:t xml:space="preserve">12</x:t>
        </x:is>
      </x:c>
      <x:c r="I7" s="2" t="inlineStr">
        <x:is>
          <x:t xml:space="preserve">27</x:t>
        </x:is>
      </x:c>
      <x:c r="J7" s="2" t="inlineStr">
        <x:is>
          <x:t xml:space="preserve">10 ft.</x:t>
        </x:is>
      </x:c>
      <x:c r="K7" s="2" t="inlineStr">
        <x:is>
          <x:t xml:space="preserve">2</x:t>
        </x:is>
      </x:c>
      <x:c r="L7" s="2" t="inlineStr">
        <x:is>
          <x:t xml:space="preserve">6</x:t>
        </x:is>
      </x:c>
      <x:c r="M7" s="2" t="n"/>
      <x:c r="N7" s="2" t="inlineStr">
        <x:is>
          <x:t xml:space="preserve">5</x:t>
        </x:is>
      </x:c>
      <x:c r="O7" s="2" t="inlineStr">
        <x:is>
          <x:t xml:space="preserve">4</x:t>
        </x:is>
      </x:c>
      <x:c r="P7" s="2" t="inlineStr">
        <x:is>
          <x:t xml:space="preserve">17</x:t>
        </x:is>
      </x:c>
      <x:c r="Q7" s="2" t="inlineStr">
        <x:is>
          <x:t xml:space="preserve">14</x:t>
        </x:is>
      </x:c>
      <x:c r="R7" s="2" t="inlineStr">
        <x:is>
          <x:t xml:space="preserve">10</x:t>
        </x:is>
      </x:c>
      <x:c r="S7" s="2" t="inlineStr">
        <x:is>
          <x:t xml:space="preserve">1</x:t>
        </x:is>
      </x:c>
      <x:c r="T7" s="2" t="inlineStr">
        <x:is>
          <x:t xml:space="preserve">3</x:t>
        </x:is>
      </x:c>
      <x:c r="U7" s="2" t="inlineStr">
        <x:is>
          <x:t xml:space="preserve">1</x:t>
        </x:is>
      </x:c>
      <x:c r="V7" s="2" t="n"/>
      <x:c r="W7" s="2" t="n"/>
      <x:c r="X7" s="2" t="inlineStr">
        <x:is>
          <x:t xml:space="preserve">Blindsight 60 ft.; Passive Perception 6</x:t>
        </x:is>
      </x:c>
      <x:c r="Y7" s="2" t="inlineStr">
        <x:is>
          <x:t xml:space="preserve">None</x:t>
        </x:is>
      </x:c>
      <x:c r="Z7" s="2" t="n"/>
      <x:c r="AA7" s="2" t="inlineStr">
        <x:is>
          <x:t xml:space="preserve">Smother. Melee Attack Roll: +5, reach 5 ft. Hit: 10 (2d6 + 3) Bludgeoning damage. If the target is a Medium or smaller creature, the rug can give it the Grappled con- dition (escape DC 13) instead of dealing damage. Until the grapple ends, the target has the Blinded and Re- strained conditions, is suffocating, and takes 10 (2d6 + 3) Bludgeoning damage at the start of each of its turns. The rug can smother only one creature at a time. While grappling the target, the rug can’t take this ac- tion, the rug halves the damage it takes (round down), and the target takes the same amount of damage. Ankheg</x:t>
        </x:is>
      </x:c>
      <x:c r="AB7" s="2" t="n"/>
      <x:c r="AC7" s="2" t="n"/>
      <x:c r="AD7" s="2" t="n"/>
      <x:c r="AE7" s="2" t="n"/>
      <x:c r="AF7" s="2" t="inlineStr">
        <x:is>
          <x:t xml:space="preserve">Imported from SRD 5.2.1 p. 259 Index of Stat Blocks</x:t>
        </x:is>
      </x:c>
      <x:c r="AG7" s="2" t="inlineStr">
        <x:is>
          <x:t xml:space="preserve">https://www.dndbeyond.com/srd</x:t>
        </x:is>
      </x:c>
    </x:row>
    <x:row r="8" ht="18" customHeight="1">
      <x:c r="A8" s="2" t="inlineStr">
        <x:is>
          <x:t xml:space="preserve">Ankheg</x:t>
        </x:is>
      </x:c>
      <x:c r="B8" s="2" t="inlineStr">
        <x:is>
          <x:t xml:space="preserve">SRD 5.2.1</x:t>
        </x:is>
      </x:c>
      <x:c r="C8" s="2" t="inlineStr">
        <x:is>
          <x:t xml:space="preserve">Monstrosity</x:t>
        </x:is>
      </x:c>
      <x:c r="D8" s="2" t="inlineStr">
        <x:is>
          <x:t xml:space="preserve">Large</x:t>
        </x:is>
      </x:c>
      <x:c r="E8" s="2" t="inlineStr">
        <x:is>
          <x:t xml:space="preserve">Unaligned</x:t>
        </x:is>
      </x:c>
      <x:c r="F8" s="2" t="inlineStr">
        <x:is>
          <x:t xml:space="preserve">2</x:t>
        </x:is>
      </x:c>
      <x:c r="G8" s="2" t="inlineStr">
        <x:is>
          <x:t xml:space="preserve">450</x:t>
        </x:is>
      </x:c>
      <x:c r="H8" s="2" t="inlineStr">
        <x:is>
          <x:t xml:space="preserve">14</x:t>
        </x:is>
      </x:c>
      <x:c r="I8" s="2" t="inlineStr">
        <x:is>
          <x:t xml:space="preserve">45</x:t>
        </x:is>
      </x:c>
      <x:c r="J8" s="2" t="inlineStr">
        <x:is>
          <x:t xml:space="preserve">30 ft., Burrow 10 ft.</x:t>
        </x:is>
      </x:c>
      <x:c r="K8" s="2" t="inlineStr">
        <x:is>
          <x:t xml:space="preserve">2</x:t>
        </x:is>
      </x:c>
      <x:c r="L8" s="2" t="inlineStr">
        <x:is>
          <x:t xml:space="preserve">11</x:t>
        </x:is>
      </x:c>
      <x:c r="M8" s="2" t="inlineStr">
        <x:is>
          <x:t xml:space="preserve">12</x:t>
        </x:is>
      </x:c>
      <x:c r="N8" s="2" t="inlineStr">
        <x:is>
          <x:t xml:space="preserve">5</x:t>
        </x:is>
      </x:c>
      <x:c r="O8" s="2" t="inlineStr">
        <x:is>
          <x:t xml:space="preserve">0</x:t>
        </x:is>
      </x:c>
      <x:c r="P8" s="2" t="inlineStr">
        <x:is>
          <x:t xml:space="preserve">17</x:t>
        </x:is>
      </x:c>
      <x:c r="Q8" s="2" t="inlineStr">
        <x:is>
          <x:t xml:space="preserve">11</x:t>
        </x:is>
      </x:c>
      <x:c r="R8" s="2" t="inlineStr">
        <x:is>
          <x:t xml:space="preserve">14</x:t>
        </x:is>
      </x:c>
      <x:c r="S8" s="2" t="inlineStr">
        <x:is>
          <x:t xml:space="preserve">1</x:t>
        </x:is>
      </x:c>
      <x:c r="T8" s="2" t="inlineStr">
        <x:is>
          <x:t xml:space="preserve">13</x:t>
        </x:is>
      </x:c>
      <x:c r="U8" s="2" t="inlineStr">
        <x:is>
          <x:t xml:space="preserve">6</x:t>
        </x:is>
      </x:c>
      <x:c r="V8" s="2" t="n"/>
      <x:c r="W8" s="2" t="n"/>
      <x:c r="X8" s="2" t="inlineStr">
        <x:is>
          <x:t xml:space="preserve">Darkvision 60 ft., Tremorsense 60 ft.; Passive Perception 11</x:t>
        </x:is>
      </x:c>
      <x:c r="Y8" s="2" t="inlineStr">
        <x:is>
          <x:t xml:space="preserve">None</x:t>
        </x:is>
      </x:c>
      <x:c r="Z8" s="2" t="inlineStr">
        <x:is>
          <x:t xml:space="preserve">Tunneler. The ankheg can burrow through solid rock at half its Burrow Speed and leaves a 10-foot-diameter tunnel in its wake.</x:t>
        </x:is>
      </x:c>
      <x:c r="AA8" s="2" t="inlineStr">
        <x:is>
          <x:t xml:space="preserve">Bite. Melee Attack Roll: +5 (with Advantage if the target is Grappled by the ankheg), reach 5 ft. Hit: 10 (2d6 + 3) Slashing damage plus 3 (1d6) Acid damage. If the target is a Large or smaller creature, it has the Grappled con- dition (escape DC 13). Acid Spray (Recharge 6). Dexterity Saving Throw: DC 12, each creature in a 30-foot-long, 5-foot-wide Line. Failure: 14 (4d6) Acid damage. Success: Half damage. Assassin</x:t>
        </x:is>
      </x:c>
      <x:c r="AB8" s="2" t="n"/>
      <x:c r="AC8" s="2" t="n"/>
      <x:c r="AD8" s="2" t="n"/>
      <x:c r="AE8" s="2" t="n"/>
      <x:c r="AF8" s="2" t="inlineStr">
        <x:is>
          <x:t xml:space="preserve">Imported from SRD 5.2.1 p. 259 Index of Stat Blocks</x:t>
        </x:is>
      </x:c>
      <x:c r="AG8" s="2" t="inlineStr">
        <x:is>
          <x:t xml:space="preserve">https://www.dndbeyond.com/srd</x:t>
        </x:is>
      </x:c>
    </x:row>
    <x:row r="9" ht="18" customHeight="1">
      <x:c r="A9" s="2" t="inlineStr">
        <x:is>
          <x:t xml:space="preserve">Assassin</x:t>
        </x:is>
      </x:c>
      <x:c r="B9" s="2" t="inlineStr">
        <x:is>
          <x:t xml:space="preserve">SRD 5.2.1</x:t>
        </x:is>
      </x:c>
      <x:c r="C9" s="2" t="inlineStr">
        <x:is>
          <x:t xml:space="preserve">Humanoid</x:t>
        </x:is>
      </x:c>
      <x:c r="D9" s="2" t="inlineStr">
        <x:is>
          <x:t xml:space="preserve">Medium or Small</x:t>
        </x:is>
      </x:c>
      <x:c r="E9" s="2" t="inlineStr">
        <x:is>
          <x:t xml:space="preserve">Neutral</x:t>
        </x:is>
      </x:c>
      <x:c r="F9" s="2" t="inlineStr">
        <x:is>
          <x:t xml:space="preserve">8</x:t>
        </x:is>
      </x:c>
      <x:c r="G9" s="2" t="inlineStr">
        <x:is>
          <x:t xml:space="preserve">3900</x:t>
        </x:is>
      </x:c>
      <x:c r="H9" s="2" t="inlineStr">
        <x:is>
          <x:t xml:space="preserve">16</x:t>
        </x:is>
      </x:c>
      <x:c r="I9" s="2" t="inlineStr">
        <x:is>
          <x:t xml:space="preserve">97</x:t>
        </x:is>
      </x:c>
      <x:c r="J9" s="2" t="inlineStr">
        <x:is>
          <x:t xml:space="preserve">30 ft.</x:t>
        </x:is>
      </x:c>
      <x:c r="K9" s="2" t="inlineStr">
        <x:is>
          <x:t xml:space="preserve">3</x:t>
        </x:is>
      </x:c>
      <x:c r="L9" s="2" t="inlineStr">
        <x:is>
          <x:t xml:space="preserve">16</x:t>
        </x:is>
      </x:c>
      <x:c r="M9" s="2" t="n"/>
      <x:c r="N9" s="2" t="inlineStr">
        <x:is>
          <x:t xml:space="preserve">7</x:t>
        </x:is>
      </x:c>
      <x:c r="O9" s="2" t="inlineStr">
        <x:is>
          <x:t xml:space="preserve">10</x:t>
        </x:is>
      </x:c>
      <x:c r="P9" s="2" t="inlineStr">
        <x:is>
          <x:t xml:space="preserve">11</x:t>
        </x:is>
      </x:c>
      <x:c r="Q9" s="2" t="inlineStr">
        <x:is>
          <x:t xml:space="preserve">18</x:t>
        </x:is>
      </x:c>
      <x:c r="R9" s="2" t="inlineStr">
        <x:is>
          <x:t xml:space="preserve">14</x:t>
        </x:is>
      </x:c>
      <x:c r="S9" s="2" t="inlineStr">
        <x:is>
          <x:t xml:space="preserve">16</x:t>
        </x:is>
      </x:c>
      <x:c r="T9" s="2" t="inlineStr">
        <x:is>
          <x:t xml:space="preserve">11</x:t>
        </x:is>
      </x:c>
      <x:c r="U9" s="2" t="inlineStr">
        <x:is>
          <x:t xml:space="preserve">10</x:t>
        </x:is>
      </x:c>
      <x:c r="V9" s="2" t="inlineStr">
        <x:is>
          <x:t xml:space="preserve">DEX +7, INT +6</x:t>
        </x:is>
      </x:c>
      <x:c r="W9" s="2" t="inlineStr">
        <x:is>
          <x:t xml:space="preserve">Acrobatics +7, Perception +6, Stealth +10</x:t>
        </x:is>
      </x:c>
      <x:c r="X9" s="2" t="inlineStr">
        <x:is>
          <x:t xml:space="preserve">Passive Perception 16</x:t>
        </x:is>
      </x:c>
      <x:c r="Y9" s="2" t="inlineStr">
        <x:is>
          <x:t xml:space="preserve">Common, Thieves’ Cant</x:t>
        </x:is>
      </x:c>
      <x:c r="Z9" s="2" t="inlineStr">
        <x:is>
          <x:t xml:space="preserve">Evasion. If the assassin is subjected to an effect that allows it to make a Dexterity saving throw to take only half damage, the assassin instead takes no damage if it succeeds on the save and only half damage if it fails. It can’t use this trait if it has the Incapacitated condition.</x:t>
        </x:is>
      </x:c>
      <x:c r="AA9" s="2" t="inlineStr">
        <x:is>
          <x:t xml:space="preserve">Multiattack. The assassin makes three attacks, using Shortsword or Light Crossbow in any combination. Shortsword. Melee Attack Roll: +7, reach 5 ft. Hit: 7 (1d6 + 4) Piercing damage plus 17 (5d6) Poison dam- age, and the target has the Poisoned condition until the start of the assassin’s next turn. Light Crossbow. Ranged Attack Roll: +7, range 80/320 ft. Hit: 8 (1d8 + 4) Piercing damage plus 21 (6d6) Poison damage.</x:t>
        </x:is>
      </x:c>
      <x:c r="AB9" s="2" t="inlineStr">
        <x:is>
          <x:t xml:space="preserve">Cunning Action. The assassin takes the Dash, Disen- gage, or Hide action. Awakened Plants</x:t>
        </x:is>
      </x:c>
      <x:c r="AC9" s="2" t="n"/>
      <x:c r="AD9" s="2" t="n"/>
      <x:c r="AE9" s="2" t="n"/>
      <x:c r="AF9" s="2" t="inlineStr">
        <x:is>
          <x:t xml:space="preserve">Imported from SRD 5.2.1 p. 260 Index of Stat Blocks</x:t>
        </x:is>
      </x:c>
      <x:c r="AG9" s="2" t="inlineStr">
        <x:is>
          <x:t xml:space="preserve">https://www.dndbeyond.com/srd</x:t>
        </x:is>
      </x:c>
    </x:row>
    <x:row r="10" ht="18" customHeight="1">
      <x:c r="A10" s="2" t="inlineStr">
        <x:is>
          <x:t xml:space="preserve">Awakened Shrub</x:t>
        </x:is>
      </x:c>
      <x:c r="B10" s="2" t="inlineStr">
        <x:is>
          <x:t xml:space="preserve">SRD 5.2.1</x:t>
        </x:is>
      </x:c>
      <x:c r="C10" s="2" t="inlineStr">
        <x:is>
          <x:t xml:space="preserve">Plant</x:t>
        </x:is>
      </x:c>
      <x:c r="D10" s="2" t="inlineStr">
        <x:is>
          <x:t xml:space="preserve">Small</x:t>
        </x:is>
      </x:c>
      <x:c r="E10" s="2" t="inlineStr">
        <x:is>
          <x:t xml:space="preserve">Neutral</x:t>
        </x:is>
      </x:c>
      <x:c r="F10" s="2" t="inlineStr">
        <x:is>
          <x:t xml:space="preserve">0</x:t>
        </x:is>
      </x:c>
      <x:c r="G10" s="2" t="inlineStr">
        <x:is>
          <x:t xml:space="preserve">10</x:t>
        </x:is>
      </x:c>
      <x:c r="H10" s="2" t="inlineStr">
        <x:is>
          <x:t xml:space="preserve">9</x:t>
        </x:is>
      </x:c>
      <x:c r="I10" s="2" t="inlineStr">
        <x:is>
          <x:t xml:space="preserve">10</x:t>
        </x:is>
      </x:c>
      <x:c r="J10" s="2" t="inlineStr">
        <x:is>
          <x:t xml:space="preserve">20 ft.</x:t>
        </x:is>
      </x:c>
      <x:c r="K10" s="2" t="inlineStr">
        <x:is>
          <x:t xml:space="preserve">2</x:t>
        </x:is>
      </x:c>
      <x:c r="L10" s="2" t="inlineStr">
        <x:is>
          <x:t xml:space="preserve">10</x:t>
        </x:is>
      </x:c>
      <x:c r="M10" s="2" t="n"/>
      <x:c r="N10" s="2" t="inlineStr">
        <x:is>
          <x:t xml:space="preserve">1</x:t>
        </x:is>
      </x:c>
      <x:c r="O10" s="2" t="inlineStr">
        <x:is>
          <x:t xml:space="preserve">-1</x:t>
        </x:is>
      </x:c>
      <x:c r="P10" s="2" t="inlineStr">
        <x:is>
          <x:t xml:space="preserve">3</x:t>
        </x:is>
      </x:c>
      <x:c r="Q10" s="2" t="inlineStr">
        <x:is>
          <x:t xml:space="preserve">8</x:t>
        </x:is>
      </x:c>
      <x:c r="R10" s="2" t="inlineStr">
        <x:is>
          <x:t xml:space="preserve">11</x:t>
        </x:is>
      </x:c>
      <x:c r="S10" s="2" t="inlineStr">
        <x:is>
          <x:t xml:space="preserve">10</x:t>
        </x:is>
      </x:c>
      <x:c r="T10" s="2" t="inlineStr">
        <x:is>
          <x:t xml:space="preserve">10</x:t>
        </x:is>
      </x:c>
      <x:c r="U10" s="2" t="inlineStr">
        <x:is>
          <x:t xml:space="preserve">6</x:t>
        </x:is>
      </x:c>
      <x:c r="V10" s="2" t="n"/>
      <x:c r="W10" s="2" t="n"/>
      <x:c r="X10" s="2" t="inlineStr">
        <x:is>
          <x:t xml:space="preserve">Passive Perception 10</x:t>
        </x:is>
      </x:c>
      <x:c r="Y10" s="2" t="inlineStr">
        <x:is>
          <x:t xml:space="preserve">Common plus one other language</x:t>
        </x:is>
      </x:c>
      <x:c r="Z10" s="2" t="n"/>
      <x:c r="AA10" s="2" t="inlineStr">
        <x:is>
          <x:t xml:space="preserve">Rake. Melee Attack Roll: +1, reach 5 ft. Hit: 1 Slash- ing damage.</x:t>
        </x:is>
      </x:c>
      <x:c r="AB10" s="2" t="n"/>
      <x:c r="AC10" s="2" t="n"/>
      <x:c r="AD10" s="2" t="n"/>
      <x:c r="AE10" s="2" t="n"/>
      <x:c r="AF10" s="2" t="inlineStr">
        <x:is>
          <x:t xml:space="preserve">Imported from SRD 5.2.1 p. 260 Index of Stat Blocks</x:t>
        </x:is>
      </x:c>
      <x:c r="AG10" s="2" t="inlineStr">
        <x:is>
          <x:t xml:space="preserve">https://www.dndbeyond.com/srd</x:t>
        </x:is>
      </x:c>
    </x:row>
    <x:row r="11" ht="18" customHeight="1">
      <x:c r="A11" s="2" t="inlineStr">
        <x:is>
          <x:t xml:space="preserve">Awakened Tree</x:t>
        </x:is>
      </x:c>
      <x:c r="B11" s="2" t="inlineStr">
        <x:is>
          <x:t xml:space="preserve">SRD 5.2.1</x:t>
        </x:is>
      </x:c>
      <x:c r="C11" s="2" t="inlineStr">
        <x:is>
          <x:t xml:space="preserve">Plant</x:t>
        </x:is>
      </x:c>
      <x:c r="D11" s="2" t="inlineStr">
        <x:is>
          <x:t xml:space="preserve">Huge</x:t>
        </x:is>
      </x:c>
      <x:c r="E11" s="2" t="inlineStr">
        <x:is>
          <x:t xml:space="preserve">Neutral</x:t>
        </x:is>
      </x:c>
      <x:c r="F11" s="2" t="inlineStr">
        <x:is>
          <x:t xml:space="preserve">2</x:t>
        </x:is>
      </x:c>
      <x:c r="G11" s="2" t="inlineStr">
        <x:is>
          <x:t xml:space="preserve">450</x:t>
        </x:is>
      </x:c>
      <x:c r="H11" s="2" t="inlineStr">
        <x:is>
          <x:t xml:space="preserve">13</x:t>
        </x:is>
      </x:c>
      <x:c r="I11" s="2" t="inlineStr">
        <x:is>
          <x:t xml:space="preserve">59</x:t>
        </x:is>
      </x:c>
      <x:c r="J11" s="2" t="inlineStr">
        <x:is>
          <x:t xml:space="preserve">20 ft.</x:t>
        </x:is>
      </x:c>
      <x:c r="K11" s="2" t="inlineStr">
        <x:is>
          <x:t xml:space="preserve">2</x:t>
        </x:is>
      </x:c>
      <x:c r="L11" s="2" t="inlineStr">
        <x:is>
          <x:t xml:space="preserve">10</x:t>
        </x:is>
      </x:c>
      <x:c r="M11" s="2" t="n"/>
      <x:c r="N11" s="2" t="inlineStr">
        <x:is>
          <x:t xml:space="preserve">6</x:t>
        </x:is>
      </x:c>
      <x:c r="O11" s="2" t="inlineStr">
        <x:is>
          <x:t xml:space="preserve">-2</x:t>
        </x:is>
      </x:c>
      <x:c r="P11" s="2" t="inlineStr">
        <x:is>
          <x:t xml:space="preserve">19</x:t>
        </x:is>
      </x:c>
      <x:c r="Q11" s="2" t="inlineStr">
        <x:is>
          <x:t xml:space="preserve">6</x:t>
        </x:is>
      </x:c>
      <x:c r="R11" s="2" t="inlineStr">
        <x:is>
          <x:t xml:space="preserve">15</x:t>
        </x:is>
      </x:c>
      <x:c r="S11" s="2" t="inlineStr">
        <x:is>
          <x:t xml:space="preserve">10</x:t>
        </x:is>
      </x:c>
      <x:c r="T11" s="2" t="inlineStr">
        <x:is>
          <x:t xml:space="preserve">10</x:t>
        </x:is>
      </x:c>
      <x:c r="U11" s="2" t="inlineStr">
        <x:is>
          <x:t xml:space="preserve">7</x:t>
        </x:is>
      </x:c>
      <x:c r="V11" s="2" t="n"/>
      <x:c r="W11" s="2" t="n"/>
      <x:c r="X11" s="2" t="inlineStr">
        <x:is>
          <x:t xml:space="preserve">Passive Perception 10</x:t>
        </x:is>
      </x:c>
      <x:c r="Y11" s="2" t="inlineStr">
        <x:is>
          <x:t xml:space="preserve">Common plus one other language</x:t>
        </x:is>
      </x:c>
      <x:c r="Z11" s="2" t="n"/>
      <x:c r="AA11" s="2" t="inlineStr">
        <x:is>
          <x:t xml:space="preserve">Slam. Melee Attack Roll: +6, reach 10 ft. Hit: 14 (3d6 + 4) Bludgeoning damage. Axe Beak</x:t>
        </x:is>
      </x:c>
      <x:c r="AB11" s="2" t="n"/>
      <x:c r="AC11" s="2" t="n"/>
      <x:c r="AD11" s="2" t="n"/>
      <x:c r="AE11" s="2" t="n"/>
      <x:c r="AF11" s="2" t="inlineStr">
        <x:is>
          <x:t xml:space="preserve">Imported from SRD 5.2.1 p. 260 Index of Stat Blocks</x:t>
        </x:is>
      </x:c>
      <x:c r="AG11" s="2" t="inlineStr">
        <x:is>
          <x:t xml:space="preserve">https://www.dndbeyond.com/srd</x:t>
        </x:is>
      </x:c>
    </x:row>
    <x:row r="12" ht="18" customHeight="1">
      <x:c r="A12" s="2" t="inlineStr">
        <x:is>
          <x:t xml:space="preserve">Axe Beak</x:t>
        </x:is>
      </x:c>
      <x:c r="B12" s="2" t="inlineStr">
        <x:is>
          <x:t xml:space="preserve">SRD 5.2.1</x:t>
        </x:is>
      </x:c>
      <x:c r="C12" s="2" t="inlineStr">
        <x:is>
          <x:t xml:space="preserve">Monstrosity</x:t>
        </x:is>
      </x:c>
      <x:c r="D12" s="2" t="inlineStr">
        <x:is>
          <x:t xml:space="preserve">Large</x:t>
        </x:is>
      </x:c>
      <x:c r="E12" s="2" t="inlineStr">
        <x:is>
          <x:t xml:space="preserve">Unaligned</x:t>
        </x:is>
      </x:c>
      <x:c r="F12" s="2" t="inlineStr">
        <x:is>
          <x:t xml:space="preserve">1/4</x:t>
        </x:is>
      </x:c>
      <x:c r="G12" s="2" t="inlineStr">
        <x:is>
          <x:t xml:space="preserve">50</x:t>
        </x:is>
      </x:c>
      <x:c r="H12" s="2" t="inlineStr">
        <x:is>
          <x:t xml:space="preserve">11</x:t>
        </x:is>
      </x:c>
      <x:c r="I12" s="2" t="inlineStr">
        <x:is>
          <x:t xml:space="preserve">19</x:t>
        </x:is>
      </x:c>
      <x:c r="J12" s="2" t="inlineStr">
        <x:is>
          <x:t xml:space="preserve">50 ft.</x:t>
        </x:is>
      </x:c>
      <x:c r="K12" s="2" t="inlineStr">
        <x:is>
          <x:t xml:space="preserve">2</x:t>
        </x:is>
      </x:c>
      <x:c r="L12" s="2" t="inlineStr">
        <x:is>
          <x:t xml:space="preserve">10</x:t>
        </x:is>
      </x:c>
      <x:c r="M12" s="2" t="n"/>
      <x:c r="N12" s="2" t="inlineStr">
        <x:is>
          <x:t xml:space="preserve">4</x:t>
        </x:is>
      </x:c>
      <x:c r="O12" s="2" t="inlineStr">
        <x:is>
          <x:t xml:space="preserve">1</x:t>
        </x:is>
      </x:c>
      <x:c r="P12" s="2" t="inlineStr">
        <x:is>
          <x:t xml:space="preserve">14</x:t>
        </x:is>
      </x:c>
      <x:c r="Q12" s="2" t="inlineStr">
        <x:is>
          <x:t xml:space="preserve">12</x:t>
        </x:is>
      </x:c>
      <x:c r="R12" s="2" t="inlineStr">
        <x:is>
          <x:t xml:space="preserve">12</x:t>
        </x:is>
      </x:c>
      <x:c r="S12" s="2" t="inlineStr">
        <x:is>
          <x:t xml:space="preserve">2</x:t>
        </x:is>
      </x:c>
      <x:c r="T12" s="2" t="inlineStr">
        <x:is>
          <x:t xml:space="preserve">10</x:t>
        </x:is>
      </x:c>
      <x:c r="U12" s="2" t="inlineStr">
        <x:is>
          <x:t xml:space="preserve">5</x:t>
        </x:is>
      </x:c>
      <x:c r="V12" s="2" t="n"/>
      <x:c r="W12" s="2" t="n"/>
      <x:c r="X12" s="2" t="inlineStr">
        <x:is>
          <x:t xml:space="preserve">Passive Perception 10</x:t>
        </x:is>
      </x:c>
      <x:c r="Y12" s="2" t="inlineStr">
        <x:is>
          <x:t xml:space="preserve">None</x:t>
        </x:is>
      </x:c>
      <x:c r="Z12" s="2" t="n"/>
      <x:c r="AA12" s="2" t="inlineStr">
        <x:is>
          <x:t xml:space="preserve">Beak. Melee Attack Roll: +4, reach 5 ft. Hit: 6 (1d8 + 2) Slashing damage. Azer</x:t>
        </x:is>
      </x:c>
      <x:c r="AB12" s="2" t="n"/>
      <x:c r="AC12" s="2" t="n"/>
      <x:c r="AD12" s="2" t="n"/>
      <x:c r="AE12" s="2" t="n"/>
      <x:c r="AF12" s="2" t="inlineStr">
        <x:is>
          <x:t xml:space="preserve">Imported from SRD 5.2.1 p. 260 Index of Stat Blocks</x:t>
        </x:is>
      </x:c>
      <x:c r="AG12" s="2" t="inlineStr">
        <x:is>
          <x:t xml:space="preserve">https://www.dndbeyond.com/srd</x:t>
        </x:is>
      </x:c>
    </x:row>
    <x:row r="13" ht="18" customHeight="1">
      <x:c r="A13" s="2" t="inlineStr">
        <x:is>
          <x:t xml:space="preserve">Azer Sentinel</x:t>
        </x:is>
      </x:c>
      <x:c r="B13" s="2" t="inlineStr">
        <x:is>
          <x:t xml:space="preserve">SRD 5.2.1</x:t>
        </x:is>
      </x:c>
      <x:c r="C13" s="2" t="inlineStr">
        <x:is>
          <x:t xml:space="preserve">Elemental</x:t>
        </x:is>
      </x:c>
      <x:c r="D13" s="2" t="inlineStr">
        <x:is>
          <x:t xml:space="preserve">Medium</x:t>
        </x:is>
      </x:c>
      <x:c r="E13" s="2" t="inlineStr">
        <x:is>
          <x:t xml:space="preserve">Lawful Neutral</x:t>
        </x:is>
      </x:c>
      <x:c r="F13" s="2" t="inlineStr">
        <x:is>
          <x:t xml:space="preserve">2</x:t>
        </x:is>
      </x:c>
      <x:c r="G13" s="2" t="inlineStr">
        <x:is>
          <x:t xml:space="preserve">450</x:t>
        </x:is>
      </x:c>
      <x:c r="H13" s="2" t="inlineStr">
        <x:is>
          <x:t xml:space="preserve">17</x:t>
        </x:is>
      </x:c>
      <x:c r="I13" s="2" t="inlineStr">
        <x:is>
          <x:t xml:space="preserve">39</x:t>
        </x:is>
      </x:c>
      <x:c r="J13" s="2" t="inlineStr">
        <x:is>
          <x:t xml:space="preserve">30 ft.</x:t>
        </x:is>
      </x:c>
      <x:c r="K13" s="2" t="inlineStr">
        <x:is>
          <x:t xml:space="preserve">2</x:t>
        </x:is>
      </x:c>
      <x:c r="L13" s="2" t="inlineStr">
        <x:is>
          <x:t xml:space="preserve">11</x:t>
        </x:is>
      </x:c>
      <x:c r="M13" s="2" t="n"/>
      <x:c r="N13" s="2" t="inlineStr">
        <x:is>
          <x:t xml:space="preserve">5</x:t>
        </x:is>
      </x:c>
      <x:c r="O13" s="2" t="inlineStr">
        <x:is>
          <x:t xml:space="preserve">1</x:t>
        </x:is>
      </x:c>
      <x:c r="P13" s="2" t="inlineStr">
        <x:is>
          <x:t xml:space="preserve">17</x:t>
        </x:is>
      </x:c>
      <x:c r="Q13" s="2" t="inlineStr">
        <x:is>
          <x:t xml:space="preserve">12</x:t>
        </x:is>
      </x:c>
      <x:c r="R13" s="2" t="inlineStr">
        <x:is>
          <x:t xml:space="preserve">15</x:t>
        </x:is>
      </x:c>
      <x:c r="S13" s="2" t="inlineStr">
        <x:is>
          <x:t xml:space="preserve">12</x:t>
        </x:is>
      </x:c>
      <x:c r="T13" s="2" t="inlineStr">
        <x:is>
          <x:t xml:space="preserve">13</x:t>
        </x:is>
      </x:c>
      <x:c r="U13" s="2" t="inlineStr">
        <x:is>
          <x:t xml:space="preserve">10</x:t>
        </x:is>
      </x:c>
      <x:c r="V13" s="2" t="inlineStr">
        <x:is>
          <x:t xml:space="preserve">CON +4</x:t>
        </x:is>
      </x:c>
      <x:c r="W13" s="2" t="n"/>
      <x:c r="X13" s="2" t="inlineStr">
        <x:is>
          <x:t xml:space="preserve">Passive Perception 11</x:t>
        </x:is>
      </x:c>
      <x:c r="Y13" s="2" t="inlineStr">
        <x:is>
          <x:t xml:space="preserve">Primordial (Ignan)</x:t>
        </x:is>
      </x:c>
      <x:c r="Z13" s="2" t="inlineStr">
        <x:is>
          <x:t xml:space="preserve">Fire Aura. At the end of each of the azer’s turns, each creature of the azer’s choice in a 5-foot Emanation orig- inating from the azer takes 5 (1d10) Fire damage unless the azer has the Incapacitated condition. Illumination. The azer sheds Bright Light in a 10-foot radius and Dim Light for an additional 10 feet.</x:t>
        </x:is>
      </x:c>
      <x:c r="AA13" s="2" t="inlineStr">
        <x:is>
          <x:t xml:space="preserve">Burning Hammer. Melee Attack Roll: +5, reach 5 ft. Hit: 8 (1d10 + 3) Bludgeoning damage plus 3 (1d6) Fire damage. Balor</x:t>
        </x:is>
      </x:c>
      <x:c r="AB13" s="2" t="n"/>
      <x:c r="AC13" s="2" t="n"/>
      <x:c r="AD13" s="2" t="n"/>
      <x:c r="AE13" s="2" t="n"/>
      <x:c r="AF13" s="2" t="inlineStr">
        <x:is>
          <x:t xml:space="preserve">Imported from SRD 5.2.1 p. 261 Index of Stat Blocks</x:t>
        </x:is>
      </x:c>
      <x:c r="AG13" s="2" t="inlineStr">
        <x:is>
          <x:t xml:space="preserve">https://www.dndbeyond.com/srd</x:t>
        </x:is>
      </x:c>
    </x:row>
    <x:row r="14" ht="18" customHeight="1">
      <x:c r="A14" s="2" t="inlineStr">
        <x:is>
          <x:t xml:space="preserve">Balor</x:t>
        </x:is>
      </x:c>
      <x:c r="B14" s="2" t="inlineStr">
        <x:is>
          <x:t xml:space="preserve">SRD 5.2.1</x:t>
        </x:is>
      </x:c>
      <x:c r="C14" s="2" t="inlineStr">
        <x:is>
          <x:t xml:space="preserve">Fiend (Demon)</x:t>
        </x:is>
      </x:c>
      <x:c r="D14" s="2" t="inlineStr">
        <x:is>
          <x:t xml:space="preserve">Huge</x:t>
        </x:is>
      </x:c>
      <x:c r="E14" s="2" t="inlineStr">
        <x:is>
          <x:t xml:space="preserve">Chaotic Evil</x:t>
        </x:is>
      </x:c>
      <x:c r="F14" s="2" t="inlineStr">
        <x:is>
          <x:t xml:space="preserve">19</x:t>
        </x:is>
      </x:c>
      <x:c r="G14" s="2" t="inlineStr">
        <x:is>
          <x:t xml:space="preserve">22000</x:t>
        </x:is>
      </x:c>
      <x:c r="H14" s="2" t="inlineStr">
        <x:is>
          <x:t xml:space="preserve">19</x:t>
        </x:is>
      </x:c>
      <x:c r="I14" s="2" t="inlineStr">
        <x:is>
          <x:t xml:space="preserve">287</x:t>
        </x:is>
      </x:c>
      <x:c r="J14" s="2" t="inlineStr">
        <x:is>
          <x:t xml:space="preserve">40 ft., Fly 80 ft.</x:t>
        </x:is>
      </x:c>
      <x:c r="K14" s="2" t="inlineStr">
        <x:is>
          <x:t xml:space="preserve">6</x:t>
        </x:is>
      </x:c>
      <x:c r="L14" s="2" t="inlineStr">
        <x:is>
          <x:t xml:space="preserve">19</x:t>
        </x:is>
      </x:c>
      <x:c r="M14" s="2" t="inlineStr">
        <x:is>
          <x:t xml:space="preserve">20</x:t>
        </x:is>
      </x:c>
      <x:c r="N14" s="2" t="inlineStr">
        <x:is>
          <x:t xml:space="preserve">14</x:t>
        </x:is>
      </x:c>
      <x:c r="O14" s="2" t="inlineStr">
        <x:is>
          <x:t xml:space="preserve">14</x:t>
        </x:is>
      </x:c>
      <x:c r="P14" s="2" t="inlineStr">
        <x:is>
          <x:t xml:space="preserve">26</x:t>
        </x:is>
      </x:c>
      <x:c r="Q14" s="2" t="inlineStr">
        <x:is>
          <x:t xml:space="preserve">15</x:t>
        </x:is>
      </x:c>
      <x:c r="R14" s="2" t="inlineStr">
        <x:is>
          <x:t xml:space="preserve">22</x:t>
        </x:is>
      </x:c>
      <x:c r="S14" s="2" t="inlineStr">
        <x:is>
          <x:t xml:space="preserve">20</x:t>
        </x:is>
      </x:c>
      <x:c r="T14" s="2" t="inlineStr">
        <x:is>
          <x:t xml:space="preserve">16</x:t>
        </x:is>
      </x:c>
      <x:c r="U14" s="2" t="inlineStr">
        <x:is>
          <x:t xml:space="preserve">22</x:t>
        </x:is>
      </x:c>
      <x:c r="V14" s="2" t="inlineStr">
        <x:is>
          <x:t xml:space="preserve">CON +12, WIS +9</x:t>
        </x:is>
      </x:c>
      <x:c r="W14" s="2" t="inlineStr">
        <x:is>
          <x:t xml:space="preserve">Perception +9</x:t>
        </x:is>
      </x:c>
      <x:c r="X14" s="2" t="inlineStr">
        <x:is>
          <x:t xml:space="preserve">Truesight 120 ft.; Passive Perception 19</x:t>
        </x:is>
      </x:c>
      <x:c r="Y14" s="2" t="inlineStr">
        <x:is>
          <x:t xml:space="preserve">Abyssal; telepathy 120 ft.</x:t>
        </x:is>
      </x:c>
      <x:c r="Z14" s="2" t="inlineStr">
        <x:is>
          <x:t xml:space="preserve">Death Throes. The balor explodes when it dies. Dex- terity Saving Throw: DC 20, each creature in a 30-foot Emanation originating from the balor. Failure: 31 (9d6) Fire damage plus 31 (9d6) Force damage. Success: Half damage. Failure or Success: If the balor dies outside the Abyss, it gains a new body instantly, reviving with all its Hit Points somewhere in the Abyss. Fire Aura. At the end of each of the balor’s turns, each creature in a 5-foot Emanation originating from the ba- lor takes 13 (3d8) Fire damage. Legendary Resistance (3/Day). If the balor fails a saving throw, it can choose to succeed instead. Magic Resistance. The balor has Advantage on saving throws against spells and other magical effects.</x:t>
        </x:is>
      </x:c>
      <x:c r="AA14" s="2" t="inlineStr">
        <x:is>
          <x:t xml:space="preserve">Multiattack. The balor makes one Flame Whip attack and one Lightning Blade attack. Flame Whip. Melee Attack Roll: +14, reach 30 ft. Hit: 18 (3d6 + 8) Force damage plus 17 (5d6) Fire damage. If the target is a Huge or smaller creature, the balor pulls the target up to 25 feet straight toward itself, and the target has the Prone condition. Lightning Blade. Melee Attack Roll: +14, reach 10 ft. Hit: 21 (3d8 + 8) Force damage plus 22 (4d10) Light- ning damage, and the target can’t take Reactions until the start of the balor’s next turn.</x:t>
        </x:is>
      </x:c>
      <x:c r="AB14" s="2" t="inlineStr">
        <x:is>
          <x:t xml:space="preserve">Teleport. The balor teleports itself or a willing demon within 10 feet of itself up to 60 feet to an unoccupied space the balor can see. Bandits</x:t>
        </x:is>
      </x:c>
      <x:c r="AC14" s="2" t="n"/>
      <x:c r="AD14" s="2" t="n"/>
      <x:c r="AE14" s="2" t="n"/>
      <x:c r="AF14" s="2" t="inlineStr">
        <x:is>
          <x:t xml:space="preserve">Imported from SRD 5.2.1 p. 261 Index of Stat Blocks</x:t>
        </x:is>
      </x:c>
      <x:c r="AG14" s="2" t="inlineStr">
        <x:is>
          <x:t xml:space="preserve">https://www.dndbeyond.com/srd</x:t>
        </x:is>
      </x:c>
    </x:row>
    <x:row r="15" ht="18" customHeight="1">
      <x:c r="A15" s="2" t="inlineStr">
        <x:is>
          <x:t xml:space="preserve">Bandit</x:t>
        </x:is>
      </x:c>
      <x:c r="B15" s="2" t="inlineStr">
        <x:is>
          <x:t xml:space="preserve">SRD 5.2.1</x:t>
        </x:is>
      </x:c>
      <x:c r="C15" s="2" t="inlineStr">
        <x:is>
          <x:t xml:space="preserve">Humanoid</x:t>
        </x:is>
      </x:c>
      <x:c r="D15" s="2" t="inlineStr">
        <x:is>
          <x:t xml:space="preserve">Medium or Small</x:t>
        </x:is>
      </x:c>
      <x:c r="E15" s="2" t="inlineStr">
        <x:is>
          <x:t xml:space="preserve">Neutral</x:t>
        </x:is>
      </x:c>
      <x:c r="F15" s="2" t="inlineStr">
        <x:is>
          <x:t xml:space="preserve">1/8</x:t>
        </x:is>
      </x:c>
      <x:c r="G15" s="2" t="inlineStr">
        <x:is>
          <x:t xml:space="preserve">25</x:t>
        </x:is>
      </x:c>
      <x:c r="H15" s="2" t="inlineStr">
        <x:is>
          <x:t xml:space="preserve">12</x:t>
        </x:is>
      </x:c>
      <x:c r="I15" s="2" t="inlineStr">
        <x:is>
          <x:t xml:space="preserve">11</x:t>
        </x:is>
      </x:c>
      <x:c r="J15" s="2" t="inlineStr">
        <x:is>
          <x:t xml:space="preserve">30 ft.</x:t>
        </x:is>
      </x:c>
      <x:c r="K15" s="2" t="inlineStr">
        <x:is>
          <x:t xml:space="preserve">2</x:t>
        </x:is>
      </x:c>
      <x:c r="L15" s="2" t="inlineStr">
        <x:is>
          <x:t xml:space="preserve">10</x:t>
        </x:is>
      </x:c>
      <x:c r="M15" s="2" t="n"/>
      <x:c r="N15" s="2" t="inlineStr">
        <x:is>
          <x:t xml:space="preserve">3</x:t>
        </x:is>
      </x:c>
      <x:c r="O15" s="2" t="inlineStr">
        <x:is>
          <x:t xml:space="preserve">1</x:t>
        </x:is>
      </x:c>
      <x:c r="P15" s="2" t="inlineStr">
        <x:is>
          <x:t xml:space="preserve">11</x:t>
        </x:is>
      </x:c>
      <x:c r="Q15" s="2" t="inlineStr">
        <x:is>
          <x:t xml:space="preserve">12</x:t>
        </x:is>
      </x:c>
      <x:c r="R15" s="2" t="inlineStr">
        <x:is>
          <x:t xml:space="preserve">12</x:t>
        </x:is>
      </x:c>
      <x:c r="S15" s="2" t="inlineStr">
        <x:is>
          <x:t xml:space="preserve">10</x:t>
        </x:is>
      </x:c>
      <x:c r="T15" s="2" t="inlineStr">
        <x:is>
          <x:t xml:space="preserve">10</x:t>
        </x:is>
      </x:c>
      <x:c r="U15" s="2" t="inlineStr">
        <x:is>
          <x:t xml:space="preserve">10</x:t>
        </x:is>
      </x:c>
      <x:c r="V15" s="2" t="n"/>
      <x:c r="W15" s="2" t="n"/>
      <x:c r="X15" s="2" t="inlineStr">
        <x:is>
          <x:t xml:space="preserve">Passive Perception 10</x:t>
        </x:is>
      </x:c>
      <x:c r="Y15" s="2" t="inlineStr">
        <x:is>
          <x:t xml:space="preserve">Common, Thieves’ Cant</x:t>
        </x:is>
      </x:c>
      <x:c r="Z15" s="2" t="n"/>
      <x:c r="AA15" s="2" t="inlineStr">
        <x:is>
          <x:t xml:space="preserve">Scimitar. Melee Attack Roll: +3, reach 5 ft. Hit: 4 (1d6 + 1) Slashing damage. Light Crossbow. Ranged Attack Roll: +3, range 80/320 ft. Hit: 5 (1d8 + 1) Piercing damage.</x:t>
        </x:is>
      </x:c>
      <x:c r="AB15" s="2" t="n"/>
      <x:c r="AC15" s="2" t="n"/>
      <x:c r="AD15" s="2" t="n"/>
      <x:c r="AE15" s="2" t="n"/>
      <x:c r="AF15" s="2" t="inlineStr">
        <x:is>
          <x:t xml:space="preserve">Imported from SRD 5.2.1 p. 261 Index of Stat Blocks</x:t>
        </x:is>
      </x:c>
      <x:c r="AG15" s="2" t="inlineStr">
        <x:is>
          <x:t xml:space="preserve">https://www.dndbeyond.com/srd</x:t>
        </x:is>
      </x:c>
    </x:row>
    <x:row r="16" ht="18" customHeight="1">
      <x:c r="A16" s="2" t="inlineStr">
        <x:is>
          <x:t xml:space="preserve">Bandit Captain</x:t>
        </x:is>
      </x:c>
      <x:c r="B16" s="2" t="inlineStr">
        <x:is>
          <x:t xml:space="preserve">SRD 5.2.1</x:t>
        </x:is>
      </x:c>
      <x:c r="C16" s="2" t="inlineStr">
        <x:is>
          <x:t xml:space="preserve">Humanoid</x:t>
        </x:is>
      </x:c>
      <x:c r="D16" s="2" t="inlineStr">
        <x:is>
          <x:t xml:space="preserve">Medium or Small</x:t>
        </x:is>
      </x:c>
      <x:c r="E16" s="2" t="inlineStr">
        <x:is>
          <x:t xml:space="preserve">Neutral</x:t>
        </x:is>
      </x:c>
      <x:c r="F16" s="2" t="inlineStr">
        <x:is>
          <x:t xml:space="preserve">2</x:t>
        </x:is>
      </x:c>
      <x:c r="G16" s="2" t="inlineStr">
        <x:is>
          <x:t xml:space="preserve">450</x:t>
        </x:is>
      </x:c>
      <x:c r="H16" s="2" t="inlineStr">
        <x:is>
          <x:t xml:space="preserve">15</x:t>
        </x:is>
      </x:c>
      <x:c r="I16" s="2" t="inlineStr">
        <x:is>
          <x:t xml:space="preserve">52</x:t>
        </x:is>
      </x:c>
      <x:c r="J16" s="2" t="inlineStr">
        <x:is>
          <x:t xml:space="preserve">30 ft.</x:t>
        </x:is>
      </x:c>
      <x:c r="K16" s="2" t="inlineStr">
        <x:is>
          <x:t xml:space="preserve">2</x:t>
        </x:is>
      </x:c>
      <x:c r="L16" s="2" t="inlineStr">
        <x:is>
          <x:t xml:space="preserve">10</x:t>
        </x:is>
      </x:c>
      <x:c r="M16" s="2" t="n"/>
      <x:c r="N16" s="2" t="inlineStr">
        <x:is>
          <x:t xml:space="preserve">5</x:t>
        </x:is>
      </x:c>
      <x:c r="O16" s="2" t="inlineStr">
        <x:is>
          <x:t xml:space="preserve">3</x:t>
        </x:is>
      </x:c>
      <x:c r="P16" s="2" t="inlineStr">
        <x:is>
          <x:t xml:space="preserve">15</x:t>
        </x:is>
      </x:c>
      <x:c r="Q16" s="2" t="inlineStr">
        <x:is>
          <x:t xml:space="preserve">16</x:t>
        </x:is>
      </x:c>
      <x:c r="R16" s="2" t="inlineStr">
        <x:is>
          <x:t xml:space="preserve">14</x:t>
        </x:is>
      </x:c>
      <x:c r="S16" s="2" t="inlineStr">
        <x:is>
          <x:t xml:space="preserve">14</x:t>
        </x:is>
      </x:c>
      <x:c r="T16" s="2" t="inlineStr">
        <x:is>
          <x:t xml:space="preserve">11</x:t>
        </x:is>
      </x:c>
      <x:c r="U16" s="2" t="inlineStr">
        <x:is>
          <x:t xml:space="preserve">14</x:t>
        </x:is>
      </x:c>
      <x:c r="V16" s="2" t="inlineStr">
        <x:is>
          <x:t xml:space="preserve">STR +4, DEX +5, WIS +2</x:t>
        </x:is>
      </x:c>
      <x:c r="W16" s="2" t="inlineStr">
        <x:is>
          <x:t xml:space="preserve">Athletics +4, Deception +4</x:t>
        </x:is>
      </x:c>
      <x:c r="X16" s="2" t="inlineStr">
        <x:is>
          <x:t xml:space="preserve">Passive Perception 10</x:t>
        </x:is>
      </x:c>
      <x:c r="Y16" s="2" t="inlineStr">
        <x:is>
          <x:t xml:space="preserve">Common, Thieves’ Cant</x:t>
        </x:is>
      </x:c>
      <x:c r="Z16" s="2" t="n"/>
      <x:c r="AA16" s="2" t="inlineStr">
        <x:is>
          <x:t xml:space="preserve">Multiattack. The bandit makes two attacks, using Scim- itar and Pistol in any combination. Scimitar. Melee Attack Roll: +5, reach 5 ft. Hit: 6 (1d6 + 3) Slashing damage. Pistol. Ranged Attack Roll: +5, range 30/90 ft. Hit: 8 (1d10 + 3) Piercing damage.</x:t>
        </x:is>
      </x:c>
      <x:c r="AB16" s="2" t="n"/>
      <x:c r="AC16" s="2" t="inlineStr">
        <x:is>
          <x:t xml:space="preserve">Parry. Trigger: The bandit is hit by a melee attack roll while holding a weapon. Response: The bandit adds 2 to its AC against that attack, possibly causing it to miss. Barbed Devil</x:t>
        </x:is>
      </x:c>
      <x:c r="AD16" s="2" t="n"/>
      <x:c r="AE16" s="2" t="n"/>
      <x:c r="AF16" s="2" t="inlineStr">
        <x:is>
          <x:t xml:space="preserve">Imported from SRD 5.2.1 p. 261 Index of Stat Blocks</x:t>
        </x:is>
      </x:c>
      <x:c r="AG16" s="2" t="inlineStr">
        <x:is>
          <x:t xml:space="preserve">https://www.dndbeyond.com/srd</x:t>
        </x:is>
      </x:c>
    </x:row>
    <x:row r="17" ht="18" customHeight="1">
      <x:c r="A17" s="2" t="inlineStr">
        <x:is>
          <x:t xml:space="preserve">Barbed Devil</x:t>
        </x:is>
      </x:c>
      <x:c r="B17" s="2" t="inlineStr">
        <x:is>
          <x:t xml:space="preserve">SRD 5.2.1</x:t>
        </x:is>
      </x:c>
      <x:c r="C17" s="2" t="inlineStr">
        <x:is>
          <x:t xml:space="preserve">Fiend (Devil)</x:t>
        </x:is>
      </x:c>
      <x:c r="D17" s="2" t="inlineStr">
        <x:is>
          <x:t xml:space="preserve">Medium</x:t>
        </x:is>
      </x:c>
      <x:c r="E17" s="2" t="inlineStr">
        <x:is>
          <x:t xml:space="preserve">Lawful Evil</x:t>
        </x:is>
      </x:c>
      <x:c r="F17" s="2" t="inlineStr">
        <x:is>
          <x:t xml:space="preserve">5</x:t>
        </x:is>
      </x:c>
      <x:c r="G17" s="2" t="inlineStr">
        <x:is>
          <x:t xml:space="preserve">1800</x:t>
        </x:is>
      </x:c>
      <x:c r="H17" s="2" t="inlineStr">
        <x:is>
          <x:t xml:space="preserve">15</x:t>
        </x:is>
      </x:c>
      <x:c r="I17" s="2" t="inlineStr">
        <x:is>
          <x:t xml:space="preserve">110</x:t>
        </x:is>
      </x:c>
      <x:c r="J17" s="2" t="inlineStr">
        <x:is>
          <x:t xml:space="preserve">30 ft., Climb 30 ft.</x:t>
        </x:is>
      </x:c>
      <x:c r="K17" s="2" t="inlineStr">
        <x:is>
          <x:t xml:space="preserve">3</x:t>
        </x:is>
      </x:c>
      <x:c r="L17" s="2" t="inlineStr">
        <x:is>
          <x:t xml:space="preserve">18</x:t>
        </x:is>
      </x:c>
      <x:c r="M17" s="2" t="n"/>
      <x:c r="N17" s="2" t="inlineStr">
        <x:is>
          <x:t xml:space="preserve">6</x:t>
        </x:is>
      </x:c>
      <x:c r="O17" s="2" t="inlineStr">
        <x:is>
          <x:t xml:space="preserve">3</x:t>
        </x:is>
      </x:c>
      <x:c r="P17" s="2" t="inlineStr">
        <x:is>
          <x:t xml:space="preserve">16</x:t>
        </x:is>
      </x:c>
      <x:c r="Q17" s="2" t="inlineStr">
        <x:is>
          <x:t xml:space="preserve">17</x:t>
        </x:is>
      </x:c>
      <x:c r="R17" s="2" t="inlineStr">
        <x:is>
          <x:t xml:space="preserve">18</x:t>
        </x:is>
      </x:c>
      <x:c r="S17" s="2" t="inlineStr">
        <x:is>
          <x:t xml:space="preserve">12</x:t>
        </x:is>
      </x:c>
      <x:c r="T17" s="2" t="inlineStr">
        <x:is>
          <x:t xml:space="preserve">14</x:t>
        </x:is>
      </x:c>
      <x:c r="U17" s="2" t="inlineStr">
        <x:is>
          <x:t xml:space="preserve">14</x:t>
        </x:is>
      </x:c>
      <x:c r="V17" s="2" t="inlineStr">
        <x:is>
          <x:t xml:space="preserve">STR +6, CON +7, WIS +5, CHA +5</x:t>
        </x:is>
      </x:c>
      <x:c r="W17" s="2" t="inlineStr">
        <x:is>
          <x:t xml:space="preserve">Deception +5, Insight +5, Perception +8</x:t>
        </x:is>
      </x:c>
      <x:c r="X17" s="2" t="inlineStr">
        <x:is>
          <x:t xml:space="preserve">Darkvision 120 ft. (unimpeded by magical Darkness); Passive Perception 18</x:t>
        </x:is>
      </x:c>
      <x:c r="Y17" s="2" t="inlineStr">
        <x:is>
          <x:t xml:space="preserve">Infernal; telepathy 120 ft.</x:t>
        </x:is>
      </x:c>
      <x:c r="Z17" s="2" t="inlineStr">
        <x:is>
          <x:t xml:space="preserve">Barbed Hide. At the start of each of its turns, the devil deals 5 (1d10) Piercing damage to any creature it is grappling or any creature grappling it. Diabolical Restoration. If the devil dies outside the Nine Hells, its body disappears in sulfurous smoke, and it gains a new body instantly, reviving with all its Hit Points somewhere in the Nine Hells. Magic Resistance. The devil has Advantage on saving throws against spells and other magical effects.</x:t>
        </x:is>
      </x:c>
      <x:c r="AA17" s="2" t="inlineStr">
        <x:is>
          <x:t xml:space="preserve">Multiattack. The devil makes one Claws attack and one Tail attack, or it makes two Hurl Flame attacks. Claws. Melee Attack Roll: +6, reach 5 ft. Hit: 10 (2d6 + 3) Piercing damage. If the target is a Large or smaller creature, it has the Grappled condition (escape DC 13) from both claws. Tail. Melee Attack Roll: +6, reach 10 ft. Hit: 14 (2d10 + 3) Slashing damage. Hurl Flame. Ranged Attack Roll: +5, range 150 ft. Hit: 17 (5d6) Fire damage. If the target is a flammable object that isn’t being worn or carried, it starts burning. Basilisk</x:t>
        </x:is>
      </x:c>
      <x:c r="AB17" s="2" t="n"/>
      <x:c r="AC17" s="2" t="n"/>
      <x:c r="AD17" s="2" t="n"/>
      <x:c r="AE17" s="2" t="n"/>
      <x:c r="AF17" s="2" t="inlineStr">
        <x:is>
          <x:t xml:space="preserve">Imported from SRD 5.2.1 p. 262 Index of Stat Blocks</x:t>
        </x:is>
      </x:c>
      <x:c r="AG17" s="2" t="inlineStr">
        <x:is>
          <x:t xml:space="preserve">https://www.dndbeyond.com/srd</x:t>
        </x:is>
      </x:c>
    </x:row>
    <x:row r="18" ht="18" customHeight="1">
      <x:c r="A18" s="2" t="inlineStr">
        <x:is>
          <x:t xml:space="preserve">Basilisk</x:t>
        </x:is>
      </x:c>
      <x:c r="B18" s="2" t="inlineStr">
        <x:is>
          <x:t xml:space="preserve">SRD 5.2.1</x:t>
        </x:is>
      </x:c>
      <x:c r="C18" s="2" t="inlineStr">
        <x:is>
          <x:t xml:space="preserve">Monstrosity</x:t>
        </x:is>
      </x:c>
      <x:c r="D18" s="2" t="inlineStr">
        <x:is>
          <x:t xml:space="preserve">Medium</x:t>
        </x:is>
      </x:c>
      <x:c r="E18" s="2" t="inlineStr">
        <x:is>
          <x:t xml:space="preserve">Unaligned</x:t>
        </x:is>
      </x:c>
      <x:c r="F18" s="2" t="inlineStr">
        <x:is>
          <x:t xml:space="preserve">3</x:t>
        </x:is>
      </x:c>
      <x:c r="G18" s="2" t="inlineStr">
        <x:is>
          <x:t xml:space="preserve">700</x:t>
        </x:is>
      </x:c>
      <x:c r="H18" s="2" t="inlineStr">
        <x:is>
          <x:t xml:space="preserve">15</x:t>
        </x:is>
      </x:c>
      <x:c r="I18" s="2" t="inlineStr">
        <x:is>
          <x:t xml:space="preserve">52</x:t>
        </x:is>
      </x:c>
      <x:c r="J18" s="2" t="inlineStr">
        <x:is>
          <x:t xml:space="preserve">20 ft.</x:t>
        </x:is>
      </x:c>
      <x:c r="K18" s="2" t="inlineStr">
        <x:is>
          <x:t xml:space="preserve">2</x:t>
        </x:is>
      </x:c>
      <x:c r="L18" s="2" t="inlineStr">
        <x:is>
          <x:t xml:space="preserve">9</x:t>
        </x:is>
      </x:c>
      <x:c r="M18" s="2" t="n"/>
      <x:c r="N18" s="2" t="inlineStr">
        <x:is>
          <x:t xml:space="preserve">5</x:t>
        </x:is>
      </x:c>
      <x:c r="O18" s="2" t="inlineStr">
        <x:is>
          <x:t xml:space="preserve">-1</x:t>
        </x:is>
      </x:c>
      <x:c r="P18" s="2" t="inlineStr">
        <x:is>
          <x:t xml:space="preserve">16</x:t>
        </x:is>
      </x:c>
      <x:c r="Q18" s="2" t="inlineStr">
        <x:is>
          <x:t xml:space="preserve">8</x:t>
        </x:is>
      </x:c>
      <x:c r="R18" s="2" t="inlineStr">
        <x:is>
          <x:t xml:space="preserve">15</x:t>
        </x:is>
      </x:c>
      <x:c r="S18" s="2" t="inlineStr">
        <x:is>
          <x:t xml:space="preserve">2</x:t>
        </x:is>
      </x:c>
      <x:c r="T18" s="2" t="inlineStr">
        <x:is>
          <x:t xml:space="preserve">8</x:t>
        </x:is>
      </x:c>
      <x:c r="U18" s="2" t="inlineStr">
        <x:is>
          <x:t xml:space="preserve">7</x:t>
        </x:is>
      </x:c>
      <x:c r="V18" s="2" t="n"/>
      <x:c r="W18" s="2" t="n"/>
      <x:c r="X18" s="2" t="inlineStr">
        <x:is>
          <x:t xml:space="preserve">Darkvision 60 ft.; Passive Perception 9</x:t>
        </x:is>
      </x:c>
      <x:c r="Y18" s="2" t="inlineStr">
        <x:is>
          <x:t xml:space="preserve">None</x:t>
        </x:is>
      </x:c>
      <x:c r="Z18" s="2" t="n"/>
      <x:c r="AA18" s="2" t="inlineStr">
        <x:is>
          <x:t xml:space="preserve">Bite. Melee Attack Roll: +5, reach 5 ft. Hit: 10 (2d6 + 3) Piercing damage plus 7 (2d6) Poison damage.</x:t>
        </x:is>
      </x:c>
      <x:c r="AB18" s="2" t="inlineStr">
        <x:is>
          <x:t xml:space="preserve">Petrifying Gaze (Recharge 4-6). Constitution Saving Throw: DC 12, each creature in a 30-foot Cone. If the basilisk sees its reflection in the Cone, the basilisk must make this save. First Failure: The target has the Restrained condition and repeats the save at the end of its next turn if it is still Restrained, ending the effect on itself on a success. Second Failure: The target has the Petrified condition instead of the Restrained condition. Bearded Devil</x:t>
        </x:is>
      </x:c>
      <x:c r="AC18" s="2" t="n"/>
      <x:c r="AD18" s="2" t="n"/>
      <x:c r="AE18" s="2" t="n"/>
      <x:c r="AF18" s="2" t="inlineStr">
        <x:is>
          <x:t xml:space="preserve">Imported from SRD 5.2.1 p. 262 Index of Stat Blocks</x:t>
        </x:is>
      </x:c>
      <x:c r="AG18" s="2" t="inlineStr">
        <x:is>
          <x:t xml:space="preserve">https://www.dndbeyond.com/srd</x:t>
        </x:is>
      </x:c>
    </x:row>
    <x:row r="19" ht="18" customHeight="1">
      <x:c r="A19" s="2" t="inlineStr">
        <x:is>
          <x:t xml:space="preserve">Bearded Devil</x:t>
        </x:is>
      </x:c>
      <x:c r="B19" s="2" t="inlineStr">
        <x:is>
          <x:t xml:space="preserve">SRD 5.2.1</x:t>
        </x:is>
      </x:c>
      <x:c r="C19" s="2" t="inlineStr">
        <x:is>
          <x:t xml:space="preserve">Fiend (Devil)</x:t>
        </x:is>
      </x:c>
      <x:c r="D19" s="2" t="inlineStr">
        <x:is>
          <x:t xml:space="preserve">Medium</x:t>
        </x:is>
      </x:c>
      <x:c r="E19" s="2" t="inlineStr">
        <x:is>
          <x:t xml:space="preserve">Lawful Evil</x:t>
        </x:is>
      </x:c>
      <x:c r="F19" s="2" t="inlineStr">
        <x:is>
          <x:t xml:space="preserve">3</x:t>
        </x:is>
      </x:c>
      <x:c r="G19" s="2" t="inlineStr">
        <x:is>
          <x:t xml:space="preserve">700</x:t>
        </x:is>
      </x:c>
      <x:c r="H19" s="2" t="inlineStr">
        <x:is>
          <x:t xml:space="preserve">13</x:t>
        </x:is>
      </x:c>
      <x:c r="I19" s="2" t="inlineStr">
        <x:is>
          <x:t xml:space="preserve">58</x:t>
        </x:is>
      </x:c>
      <x:c r="J19" s="2" t="inlineStr">
        <x:is>
          <x:t xml:space="preserve">30 ft.</x:t>
        </x:is>
      </x:c>
      <x:c r="K19" s="2" t="inlineStr">
        <x:is>
          <x:t xml:space="preserve">2</x:t>
        </x:is>
      </x:c>
      <x:c r="L19" s="2" t="inlineStr">
        <x:is>
          <x:t xml:space="preserve">10</x:t>
        </x:is>
      </x:c>
      <x:c r="M19" s="2" t="n"/>
      <x:c r="N19" s="2" t="inlineStr">
        <x:is>
          <x:t xml:space="preserve">5</x:t>
        </x:is>
      </x:c>
      <x:c r="O19" s="2" t="inlineStr">
        <x:is>
          <x:t xml:space="preserve">2</x:t>
        </x:is>
      </x:c>
      <x:c r="P19" s="2" t="inlineStr">
        <x:is>
          <x:t xml:space="preserve">16</x:t>
        </x:is>
      </x:c>
      <x:c r="Q19" s="2" t="inlineStr">
        <x:is>
          <x:t xml:space="preserve">15</x:t>
        </x:is>
      </x:c>
      <x:c r="R19" s="2" t="inlineStr">
        <x:is>
          <x:t xml:space="preserve">15</x:t>
        </x:is>
      </x:c>
      <x:c r="S19" s="2" t="inlineStr">
        <x:is>
          <x:t xml:space="preserve">9</x:t>
        </x:is>
      </x:c>
      <x:c r="T19" s="2" t="inlineStr">
        <x:is>
          <x:t xml:space="preserve">11</x:t>
        </x:is>
      </x:c>
      <x:c r="U19" s="2" t="inlineStr">
        <x:is>
          <x:t xml:space="preserve">14</x:t>
        </x:is>
      </x:c>
      <x:c r="V19" s="2" t="inlineStr">
        <x:is>
          <x:t xml:space="preserve">STR +5, CON +4, CHA +4</x:t>
        </x:is>
      </x:c>
      <x:c r="W19" s="2" t="n"/>
      <x:c r="X19" s="2" t="inlineStr">
        <x:is>
          <x:t xml:space="preserve">Darkvision 120 ft. (unimpeded by magical Darkness); Passive Perception 10</x:t>
        </x:is>
      </x:c>
      <x:c r="Y19" s="2" t="inlineStr">
        <x:is>
          <x:t xml:space="preserve">Infernal; telepathy 120 ft.</x:t>
        </x:is>
      </x:c>
      <x:c r="Z19" s="2" t="inlineStr">
        <x:is>
          <x:t xml:space="preserve">Magic Resistance. The devil has Advantage on saving throws against spells and other magical effects.</x:t>
        </x:is>
      </x:c>
      <x:c r="AA19" s="2" t="inlineStr">
        <x:is>
          <x:t xml:space="preserve">Multiattack. The devil makes one Beard attack and one Infernal Glaive attack. Beard. Melee Attack Roll: +5, reach 5 ft. Hit: 7 (1d8 + 3) Piercing damage, and the target has the Poisoned condition until the start of the devil’s next turn. Until this poison ends, the target can’t regain Hit Points. Infernal Glaive. Melee Attack Roll: +5, reach 10 ft. Hit: 8 (1d10 + 3) Slashing damage. If the target is a crea- ture and doesn’t already have an infernal wound, it is subjected to the following effect. Constitution Saving Throw: DC 12. Failure: The target receives an infernal wound. While wounded, the target loses 5 (1d10) Hit Points at the start of each of its turns. The wound closes after 1 minute, after a spell restores Hit Points to the target, or after the target or a creature within 5 feet of it takes an action to stanch the wound, doing so by suc- ceeding on a DC 12 Wisdom (Medicine) check. Behir</x:t>
        </x:is>
      </x:c>
      <x:c r="AB19" s="2" t="n"/>
      <x:c r="AC19" s="2" t="n"/>
      <x:c r="AD19" s="2" t="n"/>
      <x:c r="AE19" s="2" t="n"/>
      <x:c r="AF19" s="2" t="inlineStr">
        <x:is>
          <x:t xml:space="preserve">Imported from SRD 5.2.1 p. 262 Index of Stat Blocks</x:t>
        </x:is>
      </x:c>
      <x:c r="AG19" s="2" t="inlineStr">
        <x:is>
          <x:t xml:space="preserve">https://www.dndbeyond.com/srd</x:t>
        </x:is>
      </x:c>
    </x:row>
    <x:row r="20" ht="18" customHeight="1">
      <x:c r="A20" s="2" t="inlineStr">
        <x:is>
          <x:t xml:space="preserve">Behir</x:t>
        </x:is>
      </x:c>
      <x:c r="B20" s="2" t="inlineStr">
        <x:is>
          <x:t xml:space="preserve">SRD 5.2.1</x:t>
        </x:is>
      </x:c>
      <x:c r="C20" s="2" t="inlineStr">
        <x:is>
          <x:t xml:space="preserve">Monstrosity</x:t>
        </x:is>
      </x:c>
      <x:c r="D20" s="2" t="inlineStr">
        <x:is>
          <x:t xml:space="preserve">Huge</x:t>
        </x:is>
      </x:c>
      <x:c r="E20" s="2" t="inlineStr">
        <x:is>
          <x:t xml:space="preserve">Neutral Evil</x:t>
        </x:is>
      </x:c>
      <x:c r="F20" s="2" t="inlineStr">
        <x:is>
          <x:t xml:space="preserve">11</x:t>
        </x:is>
      </x:c>
      <x:c r="G20" s="2" t="inlineStr">
        <x:is>
          <x:t xml:space="preserve">7200</x:t>
        </x:is>
      </x:c>
      <x:c r="H20" s="2" t="inlineStr">
        <x:is>
          <x:t xml:space="preserve">17</x:t>
        </x:is>
      </x:c>
      <x:c r="I20" s="2" t="inlineStr">
        <x:is>
          <x:t xml:space="preserve">168</x:t>
        </x:is>
      </x:c>
      <x:c r="J20" s="2" t="inlineStr">
        <x:is>
          <x:t xml:space="preserve">50 ft., Climb 50 ft.</x:t>
        </x:is>
      </x:c>
      <x:c r="K20" s="2" t="inlineStr">
        <x:is>
          <x:t xml:space="preserve">4</x:t>
        </x:is>
      </x:c>
      <x:c r="L20" s="2" t="inlineStr">
        <x:is>
          <x:t xml:space="preserve">16</x:t>
        </x:is>
      </x:c>
      <x:c r="M20" s="2" t="inlineStr">
        <x:is>
          <x:t xml:space="preserve">18</x:t>
        </x:is>
      </x:c>
      <x:c r="N20" s="2" t="inlineStr">
        <x:is>
          <x:t xml:space="preserve">10</x:t>
        </x:is>
      </x:c>
      <x:c r="O20" s="2" t="inlineStr">
        <x:is>
          <x:t xml:space="preserve">3</x:t>
        </x:is>
      </x:c>
      <x:c r="P20" s="2" t="inlineStr">
        <x:is>
          <x:t xml:space="preserve">23</x:t>
        </x:is>
      </x:c>
      <x:c r="Q20" s="2" t="inlineStr">
        <x:is>
          <x:t xml:space="preserve">16</x:t>
        </x:is>
      </x:c>
      <x:c r="R20" s="2" t="inlineStr">
        <x:is>
          <x:t xml:space="preserve">18</x:t>
        </x:is>
      </x:c>
      <x:c r="S20" s="2" t="inlineStr">
        <x:is>
          <x:t xml:space="preserve">7</x:t>
        </x:is>
      </x:c>
      <x:c r="T20" s="2" t="inlineStr">
        <x:is>
          <x:t xml:space="preserve">14</x:t>
        </x:is>
      </x:c>
      <x:c r="U20" s="2" t="inlineStr">
        <x:is>
          <x:t xml:space="preserve">12</x:t>
        </x:is>
      </x:c>
      <x:c r="V20" s="2" t="n"/>
      <x:c r="W20" s="2" t="inlineStr">
        <x:is>
          <x:t xml:space="preserve">Perception +6, Stealth +7</x:t>
        </x:is>
      </x:c>
      <x:c r="X20" s="2" t="inlineStr">
        <x:is>
          <x:t xml:space="preserve">Darkvision 90 ft.; Passive Perception 16</x:t>
        </x:is>
      </x:c>
      <x:c r="Y20" s="2" t="inlineStr">
        <x:is>
          <x:t xml:space="preserve">Draconic</x:t>
        </x:is>
      </x:c>
      <x:c r="Z20" s="2" t="n"/>
      <x:c r="AA20" s="2" t="inlineStr">
        <x:is>
          <x:t xml:space="preserve">Multiattack. The behir makes one Bite attack and uses Constrict. Bite. Melee Attack Roll: +10, reach 10 ft. Hit: 19 (2d12 + 6) Piercing damage plus 11 (2d10) Lightning damage. Constrict. Strength Saving Throw: DC 18, one Large or smaller creature the behir can see within 5 feet. Failure: 28 (5d8 + 6) Bludgeoning damage. The target has the Grappled condition (escape DC 16), and it has the Re- strained condition until the grapple ends. Lightning Breath (Recharge 5-6). Dexterity Saving Throw: DC 16, each creature in a 90-foot-long, 5-foot- wide Line. Failure: 66 (12d10) Lightning damage. Suc- cess: Half damage.</x:t>
        </x:is>
      </x:c>
      <x:c r="AB20" s="2" t="inlineStr">
        <x:is>
          <x:t xml:space="preserve">Swallow. Dexterity Saving Throw: DC 18, one Large or smaller creature Grappled by the behir (the behir can have only one creature swallowed at a time). Failure: The behir swallows the target, which is no longer Grap- pled. While swallowed, a creature has the Blinded and Restrained conditions, has Total Cover against attacks and other effects outside the behir, and takes 21 (6d6) Acid damage at the start of each of the behir’s turns. If the behir takes 30 damage or more on a single turn from the swallowed creature, the behir must succeed on a DC 14 Constitution saving throw at the end of that turn or regurgitate the creature, which falls in a space within 10 feet of the behir and has the Prone condition. If the behir dies, a swallowed creature is no longer Re- strained and can escape from the corpse by using 15 feet of movement, exiting Prone. Berserker</x:t>
        </x:is>
      </x:c>
      <x:c r="AC20" s="2" t="n"/>
      <x:c r="AD20" s="2" t="n"/>
      <x:c r="AE20" s="2" t="n"/>
      <x:c r="AF20" s="2" t="inlineStr">
        <x:is>
          <x:t xml:space="preserve">Imported from SRD 5.2.1 p. 263 Index of Stat Blocks</x:t>
        </x:is>
      </x:c>
      <x:c r="AG20" s="2" t="inlineStr">
        <x:is>
          <x:t xml:space="preserve">https://www.dndbeyond.com/srd</x:t>
        </x:is>
      </x:c>
    </x:row>
    <x:row r="21" ht="18" customHeight="1">
      <x:c r="A21" s="2" t="inlineStr">
        <x:is>
          <x:t xml:space="preserve">Berserker</x:t>
        </x:is>
      </x:c>
      <x:c r="B21" s="2" t="inlineStr">
        <x:is>
          <x:t xml:space="preserve">SRD 5.2.1</x:t>
        </x:is>
      </x:c>
      <x:c r="C21" s="2" t="inlineStr">
        <x:is>
          <x:t xml:space="preserve">Humanoid</x:t>
        </x:is>
      </x:c>
      <x:c r="D21" s="2" t="inlineStr">
        <x:is>
          <x:t xml:space="preserve">Medium or Small</x:t>
        </x:is>
      </x:c>
      <x:c r="E21" s="2" t="inlineStr">
        <x:is>
          <x:t xml:space="preserve">Neutral</x:t>
        </x:is>
      </x:c>
      <x:c r="F21" s="2" t="inlineStr">
        <x:is>
          <x:t xml:space="preserve">2</x:t>
        </x:is>
      </x:c>
      <x:c r="G21" s="2" t="inlineStr">
        <x:is>
          <x:t xml:space="preserve">450</x:t>
        </x:is>
      </x:c>
      <x:c r="H21" s="2" t="inlineStr">
        <x:is>
          <x:t xml:space="preserve">13</x:t>
        </x:is>
      </x:c>
      <x:c r="I21" s="2" t="inlineStr">
        <x:is>
          <x:t xml:space="preserve">67</x:t>
        </x:is>
      </x:c>
      <x:c r="J21" s="2" t="inlineStr">
        <x:is>
          <x:t xml:space="preserve">30 ft.</x:t>
        </x:is>
      </x:c>
      <x:c r="K21" s="2" t="inlineStr">
        <x:is>
          <x:t xml:space="preserve">2</x:t>
        </x:is>
      </x:c>
      <x:c r="L21" s="2" t="inlineStr">
        <x:is>
          <x:t xml:space="preserve">10</x:t>
        </x:is>
      </x:c>
      <x:c r="M21" s="2" t="n"/>
      <x:c r="N21" s="2" t="inlineStr">
        <x:is>
          <x:t xml:space="preserve">5</x:t>
        </x:is>
      </x:c>
      <x:c r="O21" s="2" t="inlineStr">
        <x:is>
          <x:t xml:space="preserve">1</x:t>
        </x:is>
      </x:c>
      <x:c r="P21" s="2" t="inlineStr">
        <x:is>
          <x:t xml:space="preserve">16</x:t>
        </x:is>
      </x:c>
      <x:c r="Q21" s="2" t="inlineStr">
        <x:is>
          <x:t xml:space="preserve">12</x:t>
        </x:is>
      </x:c>
      <x:c r="R21" s="2" t="inlineStr">
        <x:is>
          <x:t xml:space="preserve">17</x:t>
        </x:is>
      </x:c>
      <x:c r="S21" s="2" t="inlineStr">
        <x:is>
          <x:t xml:space="preserve">9</x:t>
        </x:is>
      </x:c>
      <x:c r="T21" s="2" t="inlineStr">
        <x:is>
          <x:t xml:space="preserve">11</x:t>
        </x:is>
      </x:c>
      <x:c r="U21" s="2" t="inlineStr">
        <x:is>
          <x:t xml:space="preserve">9</x:t>
        </x:is>
      </x:c>
      <x:c r="V21" s="2" t="n"/>
      <x:c r="W21" s="2" t="n"/>
      <x:c r="X21" s="2" t="inlineStr">
        <x:is>
          <x:t xml:space="preserve">Passive Perception 10</x:t>
        </x:is>
      </x:c>
      <x:c r="Y21" s="2" t="inlineStr">
        <x:is>
          <x:t xml:space="preserve">Common</x:t>
        </x:is>
      </x:c>
      <x:c r="Z21" s="2" t="inlineStr">
        <x:is>
          <x:t xml:space="preserve">Bloodied Frenzy. While Bloodied, the berserker has Advantage on attack rolls and saving throws.</x:t>
        </x:is>
      </x:c>
      <x:c r="AA21" s="2" t="inlineStr">
        <x:is>
          <x:t xml:space="preserve">Greataxe. Melee Attack Roll: +5, reach 5 ft. Hit: 9 (1d12 + 3) Slashing damage. Black Dragons</x:t>
        </x:is>
      </x:c>
      <x:c r="AB21" s="2" t="n"/>
      <x:c r="AC21" s="2" t="n"/>
      <x:c r="AD21" s="2" t="n"/>
      <x:c r="AE21" s="2" t="n"/>
      <x:c r="AF21" s="2" t="inlineStr">
        <x:is>
          <x:t xml:space="preserve">Imported from SRD 5.2.1 p. 263 Index of Stat Blocks</x:t>
        </x:is>
      </x:c>
      <x:c r="AG21" s="2" t="inlineStr">
        <x:is>
          <x:t xml:space="preserve">https://www.dndbeyond.com/srd</x:t>
        </x:is>
      </x:c>
    </x:row>
    <x:row r="22" ht="18" customHeight="1">
      <x:c r="A22" s="2" t="inlineStr">
        <x:is>
          <x:t xml:space="preserve">Black Dragon Wyrmling</x:t>
        </x:is>
      </x:c>
      <x:c r="B22" s="2" t="inlineStr">
        <x:is>
          <x:t xml:space="preserve">SRD 5.2.1</x:t>
        </x:is>
      </x:c>
      <x:c r="C22" s="2" t="inlineStr">
        <x:is>
          <x:t xml:space="preserve">Dragon (Chromatic)</x:t>
        </x:is>
      </x:c>
      <x:c r="D22" s="2" t="inlineStr">
        <x:is>
          <x:t xml:space="preserve">Medium</x:t>
        </x:is>
      </x:c>
      <x:c r="E22" s="2" t="inlineStr">
        <x:is>
          <x:t xml:space="preserve">Chaotic Evil</x:t>
        </x:is>
      </x:c>
      <x:c r="F22" s="2" t="inlineStr">
        <x:is>
          <x:t xml:space="preserve">2</x:t>
        </x:is>
      </x:c>
      <x:c r="G22" s="2" t="inlineStr">
        <x:is>
          <x:t xml:space="preserve">450</x:t>
        </x:is>
      </x:c>
      <x:c r="H22" s="2" t="inlineStr">
        <x:is>
          <x:t xml:space="preserve">17</x:t>
        </x:is>
      </x:c>
      <x:c r="I22" s="2" t="inlineStr">
        <x:is>
          <x:t xml:space="preserve">33</x:t>
        </x:is>
      </x:c>
      <x:c r="J22" s="2" t="inlineStr">
        <x:is>
          <x:t xml:space="preserve">30 ft., Fly 60 ft., Swim 30 ft.</x:t>
        </x:is>
      </x:c>
      <x:c r="K22" s="2" t="inlineStr">
        <x:is>
          <x:t xml:space="preserve">2</x:t>
        </x:is>
      </x:c>
      <x:c r="L22" s="2" t="inlineStr">
        <x:is>
          <x:t xml:space="preserve">14</x:t>
        </x:is>
      </x:c>
      <x:c r="M22" s="2" t="inlineStr">
        <x:is>
          <x:t xml:space="preserve">11</x:t>
        </x:is>
      </x:c>
      <x:c r="N22" s="2" t="inlineStr">
        <x:is>
          <x:t xml:space="preserve">4</x:t>
        </x:is>
      </x:c>
      <x:c r="O22" s="2" t="inlineStr">
        <x:is>
          <x:t xml:space="preserve">4</x:t>
        </x:is>
      </x:c>
      <x:c r="P22" s="2" t="inlineStr">
        <x:is>
          <x:t xml:space="preserve">15</x:t>
        </x:is>
      </x:c>
      <x:c r="Q22" s="2" t="inlineStr">
        <x:is>
          <x:t xml:space="preserve">14</x:t>
        </x:is>
      </x:c>
      <x:c r="R22" s="2" t="inlineStr">
        <x:is>
          <x:t xml:space="preserve">13</x:t>
        </x:is>
      </x:c>
      <x:c r="S22" s="2" t="inlineStr">
        <x:is>
          <x:t xml:space="preserve">10</x:t>
        </x:is>
      </x:c>
      <x:c r="T22" s="2" t="inlineStr">
        <x:is>
          <x:t xml:space="preserve">11</x:t>
        </x:is>
      </x:c>
      <x:c r="U22" s="2" t="inlineStr">
        <x:is>
          <x:t xml:space="preserve">13</x:t>
        </x:is>
      </x:c>
      <x:c r="V22" s="2" t="inlineStr">
        <x:is>
          <x:t xml:space="preserve">DEX +4, WIS +2</x:t>
        </x:is>
      </x:c>
      <x:c r="W22" s="2" t="inlineStr">
        <x:is>
          <x:t xml:space="preserve">Perception +4, Stealth +4</x:t>
        </x:is>
      </x:c>
      <x:c r="X22" s="2" t="inlineStr">
        <x:is>
          <x:t xml:space="preserve">Blindsight 10 ft., Darkvision 60 ft.; Passive Perception 14</x:t>
        </x:is>
      </x:c>
      <x:c r="Y22" s="2" t="inlineStr">
        <x:is>
          <x:t xml:space="preserve">Draconic</x:t>
        </x:is>
      </x:c>
      <x:c r="Z22" s="2" t="inlineStr">
        <x:is>
          <x:t xml:space="preserve">Amphibious. The dragon can breathe air and water.</x:t>
        </x:is>
      </x:c>
      <x:c r="AA22" s="2" t="inlineStr">
        <x:is>
          <x:t xml:space="preserve">Multiattack. The dragon makes two Rend attacks. Rend. Melee Attack Roll: +4, reach 5 ft. Hit: 5 (1d6 + 2) Slashing damage plus 2 (1d4) Acid damage. Acid Breath (Recharge 5-6). Dexterity Saving Throw: DC 11, each creature in a 15-foot-long, 5-foot- wide Line. Failure: 22 (5d8) Acid damage. Success: Half damage.</x:t>
        </x:is>
      </x:c>
      <x:c r="AB22" s="2" t="n"/>
      <x:c r="AC22" s="2" t="n"/>
      <x:c r="AD22" s="2" t="n"/>
      <x:c r="AE22" s="2" t="n"/>
      <x:c r="AF22" s="2" t="inlineStr">
        <x:is>
          <x:t xml:space="preserve">Imported from SRD 5.2.1 p. 263 Index of Stat Blocks</x:t>
        </x:is>
      </x:c>
      <x:c r="AG22" s="2" t="inlineStr">
        <x:is>
          <x:t xml:space="preserve">https://www.dndbeyond.com/srd</x:t>
        </x:is>
      </x:c>
    </x:row>
    <x:row r="23" ht="18" customHeight="1">
      <x:c r="A23" s="2" t="inlineStr">
        <x:is>
          <x:t xml:space="preserve">Young Black Dragon</x:t>
        </x:is>
      </x:c>
      <x:c r="B23" s="2" t="inlineStr">
        <x:is>
          <x:t xml:space="preserve">SRD 5.2.1</x:t>
        </x:is>
      </x:c>
      <x:c r="C23" s="2" t="inlineStr">
        <x:is>
          <x:t xml:space="preserve">Dragon (Chromatic)</x:t>
        </x:is>
      </x:c>
      <x:c r="D23" s="2" t="inlineStr">
        <x:is>
          <x:t xml:space="preserve">Large</x:t>
        </x:is>
      </x:c>
      <x:c r="E23" s="2" t="inlineStr">
        <x:is>
          <x:t xml:space="preserve">Chaotic Evil</x:t>
        </x:is>
      </x:c>
      <x:c r="F23" s="2" t="inlineStr">
        <x:is>
          <x:t xml:space="preserve">7</x:t>
        </x:is>
      </x:c>
      <x:c r="G23" s="2" t="inlineStr">
        <x:is>
          <x:t xml:space="preserve">2900</x:t>
        </x:is>
      </x:c>
      <x:c r="H23" s="2" t="inlineStr">
        <x:is>
          <x:t xml:space="preserve">18</x:t>
        </x:is>
      </x:c>
      <x:c r="I23" s="2" t="inlineStr">
        <x:is>
          <x:t xml:space="preserve">127</x:t>
        </x:is>
      </x:c>
      <x:c r="J23" s="2" t="inlineStr">
        <x:is>
          <x:t xml:space="preserve">40 ft., Fly 80 ft., Swim 40 ft.</x:t>
        </x:is>
      </x:c>
      <x:c r="K23" s="2" t="inlineStr">
        <x:is>
          <x:t xml:space="preserve">3</x:t>
        </x:is>
      </x:c>
      <x:c r="L23" s="2" t="inlineStr">
        <x:is>
          <x:t xml:space="preserve">16</x:t>
        </x:is>
      </x:c>
      <x:c r="M23" s="2" t="inlineStr">
        <x:is>
          <x:t xml:space="preserve">14</x:t>
        </x:is>
      </x:c>
      <x:c r="N23" s="2" t="inlineStr">
        <x:is>
          <x:t xml:space="preserve">7</x:t>
        </x:is>
      </x:c>
      <x:c r="O23" s="2" t="inlineStr">
        <x:is>
          <x:t xml:space="preserve">5</x:t>
        </x:is>
      </x:c>
      <x:c r="P23" s="2" t="inlineStr">
        <x:is>
          <x:t xml:space="preserve">19</x:t>
        </x:is>
      </x:c>
      <x:c r="Q23" s="2" t="inlineStr">
        <x:is>
          <x:t xml:space="preserve">14</x:t>
        </x:is>
      </x:c>
      <x:c r="R23" s="2" t="inlineStr">
        <x:is>
          <x:t xml:space="preserve">17</x:t>
        </x:is>
      </x:c>
      <x:c r="S23" s="2" t="inlineStr">
        <x:is>
          <x:t xml:space="preserve">12</x:t>
        </x:is>
      </x:c>
      <x:c r="T23" s="2" t="inlineStr">
        <x:is>
          <x:t xml:space="preserve">11</x:t>
        </x:is>
      </x:c>
      <x:c r="U23" s="2" t="inlineStr">
        <x:is>
          <x:t xml:space="preserve">15</x:t>
        </x:is>
      </x:c>
      <x:c r="V23" s="2" t="inlineStr">
        <x:is>
          <x:t xml:space="preserve">DEX +5, WIS +3</x:t>
        </x:is>
      </x:c>
      <x:c r="W23" s="2" t="inlineStr">
        <x:is>
          <x:t xml:space="preserve">Perception +6, Stealth +5</x:t>
        </x:is>
      </x:c>
      <x:c r="X23" s="2" t="inlineStr">
        <x:is>
          <x:t xml:space="preserve">Blindsight 30 ft., Darkvision 120 ft.; Passive Perception 16</x:t>
        </x:is>
      </x:c>
      <x:c r="Y23" s="2" t="inlineStr">
        <x:is>
          <x:t xml:space="preserve">Common, Draconic</x:t>
        </x:is>
      </x:c>
      <x:c r="Z23" s="2" t="inlineStr">
        <x:is>
          <x:t xml:space="preserve">Amphibious. The dragon can breathe air and water.</x:t>
        </x:is>
      </x:c>
      <x:c r="AA23" s="2" t="inlineStr">
        <x:is>
          <x:t xml:space="preserve">Multiattack. The dragon makes three Rend attacks. Rend. Melee Attack Roll: +7, reach 10 ft. Hit: 9 (2d4 + 4) Slashing damage plus 3 (1d6) Acid damage. Acid Breath (Recharge 5-6). Dexterity Saving Throw: DC 14, each creature in a 30-foot-long, 5-foot- wide Line. Failure: 49 (14d6) Acid damage. Success: Half damage.</x:t>
        </x:is>
      </x:c>
      <x:c r="AB23" s="2" t="n"/>
      <x:c r="AC23" s="2" t="n"/>
      <x:c r="AD23" s="2" t="n"/>
      <x:c r="AE23" s="2" t="n"/>
      <x:c r="AF23" s="2" t="inlineStr">
        <x:is>
          <x:t xml:space="preserve">Imported from SRD 5.2.1 p. 264 Index of Stat Blocks</x:t>
        </x:is>
      </x:c>
      <x:c r="AG23" s="2" t="inlineStr">
        <x:is>
          <x:t xml:space="preserve">https://www.dndbeyond.com/srd</x:t>
        </x:is>
      </x:c>
    </x:row>
    <x:row r="24" ht="18" customHeight="1">
      <x:c r="A24" s="2" t="inlineStr">
        <x:is>
          <x:t xml:space="preserve">Adult Black Dragon</x:t>
        </x:is>
      </x:c>
      <x:c r="B24" s="2" t="inlineStr">
        <x:is>
          <x:t xml:space="preserve">SRD 5.2.1</x:t>
        </x:is>
      </x:c>
      <x:c r="C24" s="2" t="inlineStr">
        <x:is>
          <x:t xml:space="preserve">Dragon (Chromatic)</x:t>
        </x:is>
      </x:c>
      <x:c r="D24" s="2" t="inlineStr">
        <x:is>
          <x:t xml:space="preserve">Huge</x:t>
        </x:is>
      </x:c>
      <x:c r="E24" s="2" t="inlineStr">
        <x:is>
          <x:t xml:space="preserve">Chaotic Evil</x:t>
        </x:is>
      </x:c>
      <x:c r="F24" s="2" t="inlineStr">
        <x:is>
          <x:t xml:space="preserve">14</x:t>
        </x:is>
      </x:c>
      <x:c r="G24" s="2" t="inlineStr">
        <x:is>
          <x:t xml:space="preserve">11500</x:t>
        </x:is>
      </x:c>
      <x:c r="H24" s="2" t="inlineStr">
        <x:is>
          <x:t xml:space="preserve">19</x:t>
        </x:is>
      </x:c>
      <x:c r="I24" s="2" t="inlineStr">
        <x:is>
          <x:t xml:space="preserve">195</x:t>
        </x:is>
      </x:c>
      <x:c r="J24" s="2" t="inlineStr">
        <x:is>
          <x:t xml:space="preserve">40 ft., Fly 80 ft., Swim 40 ft.</x:t>
        </x:is>
      </x:c>
      <x:c r="K24" s="2" t="inlineStr">
        <x:is>
          <x:t xml:space="preserve">5</x:t>
        </x:is>
      </x:c>
      <x:c r="L24" s="2" t="inlineStr">
        <x:is>
          <x:t xml:space="preserve">21</x:t>
        </x:is>
      </x:c>
      <x:c r="M24" s="2" t="inlineStr">
        <x:is>
          <x:t xml:space="preserve">18</x:t>
        </x:is>
      </x:c>
      <x:c r="N24" s="2" t="inlineStr">
        <x:is>
          <x:t xml:space="preserve">11</x:t>
        </x:is>
      </x:c>
      <x:c r="O24" s="2" t="inlineStr">
        <x:is>
          <x:t xml:space="preserve">12</x:t>
        </x:is>
      </x:c>
      <x:c r="P24" s="2" t="inlineStr">
        <x:is>
          <x:t xml:space="preserve">23</x:t>
        </x:is>
      </x:c>
      <x:c r="Q24" s="2" t="inlineStr">
        <x:is>
          <x:t xml:space="preserve">14</x:t>
        </x:is>
      </x:c>
      <x:c r="R24" s="2" t="inlineStr">
        <x:is>
          <x:t xml:space="preserve">21</x:t>
        </x:is>
      </x:c>
      <x:c r="S24" s="2" t="inlineStr">
        <x:is>
          <x:t xml:space="preserve">14</x:t>
        </x:is>
      </x:c>
      <x:c r="T24" s="2" t="inlineStr">
        <x:is>
          <x:t xml:space="preserve">13</x:t>
        </x:is>
      </x:c>
      <x:c r="U24" s="2" t="inlineStr">
        <x:is>
          <x:t xml:space="preserve">19</x:t>
        </x:is>
      </x:c>
      <x:c r="V24" s="2" t="inlineStr">
        <x:is>
          <x:t xml:space="preserve">DEX +7, WIS +6</x:t>
        </x:is>
      </x:c>
      <x:c r="W24" s="2" t="inlineStr">
        <x:is>
          <x:t xml:space="preserve">Perception +11, Stealth +7</x:t>
        </x:is>
      </x:c>
      <x:c r="X24" s="2" t="inlineStr">
        <x:is>
          <x:t xml:space="preserve">Blindsight 60 ft., Darkvision 120 ft.; Passive Perception 21</x:t>
        </x:is>
      </x:c>
      <x:c r="Y24" s="2" t="inlineStr">
        <x:is>
          <x:t xml:space="preserve">Common, Draconic</x:t>
        </x:is>
      </x:c>
      <x:c r="Z24" s="2" t="inlineStr">
        <x:is>
          <x:t xml:space="preserve">Amphibious. The dragon can breathe air and water. Legendary Resistance (3/Day, or 4/Day in Lair). If the dragon fails a saving throw, it can choose to suc- ceed instead.</x:t>
        </x:is>
      </x:c>
      <x:c r="AA24" s="2" t="inlineStr">
        <x:is>
          <x:t xml:space="preserve">Multiattack. The dragon makes three Rend attacks. It can replace one attack with a use of Spellcasting to cast Acid Arrow (level 3 version). Rend. Melee Attack Roll: +11, reach 10 ft. Hit: 13 (2d6 + 6) Slashing damage plus 4 (1d8) Acid damage. Acid Breath (Recharge 5-6). Dexterity Saving Throw: DC 18, each creature in a 60-foot-long, 5-foot- wide Line. Failure: 54 (12d8) Acid damage. Success: Half damage. Spellcasting. The dragon casts one of the following spells, requiring no Material components and using Charisma as the spellcasting ability (spell save DC 17, +9 to hit with spell attacks): At Will: Acid Arrow (level 3 version), Detect Magic, Fear 1/Day Each: Speak with Dead, Vitriolic Sphere</x:t>
        </x:is>
      </x:c>
      <x:c r="AB24" s="2" t="n"/>
      <x:c r="AC24" s="2" t="n"/>
      <x:c r="AD24" s="2" t="inlineStr">
        <x:is>
          <x:t xml:space="preserve">Legendary Action Uses: 3 (4 in Lair). Immediately after another creature’s turn, the dragon can expend a use to take one of the following actions. The dragon regains all expended uses at the start of each of its turns. Cloud of Insects. Dexterity Saving Throw: DC 17, one creature the dragon can see within 120 feet. Failure: 22 (4d10) Poison damage, and the target has Disadvantage on saving throws to maintain Concentration until the end of its next turn. Failure or Success: The dragon can’t take this action again until the start of its next turn. Frightful Presence. The dragon uses Spellcasting to cast Fear. The dragon can’t take this action again until the start of its next turn. Pounce. The dragon moves up to half its Speed, and it makes one Rend attack.</x:t>
        </x:is>
      </x:c>
      <x:c r="AE24" s="2" t="inlineStr">
        <x:is>
          <x:t xml:space="preserve">Includes Spellcasting; see Traits/Actions text</x:t>
        </x:is>
      </x:c>
      <x:c r="AF24" s="2" t="inlineStr">
        <x:is>
          <x:t xml:space="preserve">Imported from SRD 5.2.1 p. 264 Index of Stat Blocks</x:t>
        </x:is>
      </x:c>
      <x:c r="AG24" s="2" t="inlineStr">
        <x:is>
          <x:t xml:space="preserve">https://www.dndbeyond.com/srd</x:t>
        </x:is>
      </x:c>
    </x:row>
    <x:row r="25" ht="18" customHeight="1">
      <x:c r="A25" s="2" t="inlineStr">
        <x:is>
          <x:t xml:space="preserve">Ancient Black Dragon</x:t>
        </x:is>
      </x:c>
      <x:c r="B25" s="2" t="inlineStr">
        <x:is>
          <x:t xml:space="preserve">SRD 5.2.1</x:t>
        </x:is>
      </x:c>
      <x:c r="C25" s="2" t="inlineStr">
        <x:is>
          <x:t xml:space="preserve">Dragon (Chromatic)</x:t>
        </x:is>
      </x:c>
      <x:c r="D25" s="2" t="inlineStr">
        <x:is>
          <x:t xml:space="preserve">Gargantuan</x:t>
        </x:is>
      </x:c>
      <x:c r="E25" s="2" t="inlineStr">
        <x:is>
          <x:t xml:space="preserve">Chaotic Evil</x:t>
        </x:is>
      </x:c>
      <x:c r="F25" s="2" t="inlineStr">
        <x:is>
          <x:t xml:space="preserve">21</x:t>
        </x:is>
      </x:c>
      <x:c r="G25" s="2" t="inlineStr">
        <x:is>
          <x:t xml:space="preserve">33000</x:t>
        </x:is>
      </x:c>
      <x:c r="H25" s="2" t="inlineStr">
        <x:is>
          <x:t xml:space="preserve">22</x:t>
        </x:is>
      </x:c>
      <x:c r="I25" s="2" t="inlineStr">
        <x:is>
          <x:t xml:space="preserve">367</x:t>
        </x:is>
      </x:c>
      <x:c r="J25" s="2" t="inlineStr">
        <x:is>
          <x:t xml:space="preserve">40 ft., Fly 80 ft., Swim 40 ft.</x:t>
        </x:is>
      </x:c>
      <x:c r="K25" s="2" t="inlineStr">
        <x:is>
          <x:t xml:space="preserve">7</x:t>
        </x:is>
      </x:c>
      <x:c r="L25" s="2" t="inlineStr">
        <x:is>
          <x:t xml:space="preserve">26</x:t>
        </x:is>
      </x:c>
      <x:c r="M25" s="2" t="inlineStr">
        <x:is>
          <x:t xml:space="preserve">22</x:t>
        </x:is>
      </x:c>
      <x:c r="N25" s="2" t="inlineStr">
        <x:is>
          <x:t xml:space="preserve">15</x:t>
        </x:is>
      </x:c>
      <x:c r="O25" s="2" t="inlineStr">
        <x:is>
          <x:t xml:space="preserve">16</x:t>
        </x:is>
      </x:c>
      <x:c r="P25" s="2" t="inlineStr">
        <x:is>
          <x:t xml:space="preserve">27</x:t>
        </x:is>
      </x:c>
      <x:c r="Q25" s="2" t="inlineStr">
        <x:is>
          <x:t xml:space="preserve">14</x:t>
        </x:is>
      </x:c>
      <x:c r="R25" s="2" t="inlineStr">
        <x:is>
          <x:t xml:space="preserve">25</x:t>
        </x:is>
      </x:c>
      <x:c r="S25" s="2" t="inlineStr">
        <x:is>
          <x:t xml:space="preserve">16</x:t>
        </x:is>
      </x:c>
      <x:c r="T25" s="2" t="inlineStr">
        <x:is>
          <x:t xml:space="preserve">15</x:t>
        </x:is>
      </x:c>
      <x:c r="U25" s="2" t="inlineStr">
        <x:is>
          <x:t xml:space="preserve">22</x:t>
        </x:is>
      </x:c>
      <x:c r="V25" s="2" t="inlineStr">
        <x:is>
          <x:t xml:space="preserve">DEX +9, WIS +9</x:t>
        </x:is>
      </x:c>
      <x:c r="W25" s="2" t="inlineStr">
        <x:is>
          <x:t xml:space="preserve">Perception +16, Stealth +9</x:t>
        </x:is>
      </x:c>
      <x:c r="X25" s="2" t="inlineStr">
        <x:is>
          <x:t xml:space="preserve">Blindsight 60 ft., Darkvision 120 ft.; Passive Perception 26</x:t>
        </x:is>
      </x:c>
      <x:c r="Y25" s="2" t="inlineStr">
        <x:is>
          <x:t xml:space="preserve">Common, Draconic</x:t>
        </x:is>
      </x:c>
      <x:c r="Z25" s="2" t="inlineStr">
        <x:is>
          <x:t xml:space="preserve">Amphibious. The dragon can breathe air and water. Legendary Resistance (4/Day, or 5/Day in Lair). If the dragon fails a saving throw, it can choose to suc- ceed instead.</x:t>
        </x:is>
      </x:c>
      <x:c r="AA25" s="2" t="inlineStr">
        <x:is>
          <x:t xml:space="preserve">Multiattack. The dragon makes three Rend attacks. It can replace one attack with a use of Spellcasting to cast Acid Arrow (level 4 version). Rend. Melee Attack Roll: +15, reach 15 ft. Hit: 17 (2d8 + 8) Slashing damage plus 9 (2d8) Acid damage. Acid Breath (Recharge 5-6). Dexterity Saving Throw: DC 22, each creature in a 90-foot-long, 10-foot- wide Line. Failure: 67 (15d8) Acid damage. Success: Half damage. Spellcasting. The dragon casts one of the following spells, requiring no Material components and using Charisma as the spellcasting ability (spell save DC 21, +13 to hit with spell attacks): At Will: Acid Arrow (level 4 version), Detect Magic, Fear 1/Day Each: Create Undead, Speak with Dead, Vitriolic Sphere (level 5 version)</x:t>
        </x:is>
      </x:c>
      <x:c r="AB25" s="2" t="n"/>
      <x:c r="AC25" s="2" t="n"/>
      <x:c r="AD25" s="2" t="inlineStr">
        <x:is>
          <x:t xml:space="preserve">Legendary Action Uses: 3 (4 in Lair). Immediately after another creature’s turn, the dragon can expend a use to take one of the following actions. The dragon regains all expended uses at the start of each of its turns. Cloud of Insects. Dexterity Saving Throw: DC 21, one creature the dragon can see within 120 feet. Failure: 33 (6d10) Poison damage, and the target has Disadvantage on saving throws to maintain Concentration until the end of its next turn. Failure or Success: The dragon can’t take this action again until the start of its next turn. Frightful Presence. The dragon uses Spellcasting to cast Fear. The dragon can’t take this action again until the start of its next turn. Pounce. The dragon moves up to half its Speed, and it makes one Rend attack. Black Pudding</x:t>
        </x:is>
      </x:c>
      <x:c r="AE25" s="2" t="inlineStr">
        <x:is>
          <x:t xml:space="preserve">Includes Spellcasting; see Traits/Actions text</x:t>
        </x:is>
      </x:c>
      <x:c r="AF25" s="2" t="inlineStr">
        <x:is>
          <x:t xml:space="preserve">Imported from SRD 5.2.1 p. 265 Index of Stat Blocks</x:t>
        </x:is>
      </x:c>
      <x:c r="AG25" s="2" t="inlineStr">
        <x:is>
          <x:t xml:space="preserve">https://www.dndbeyond.com/srd</x:t>
        </x:is>
      </x:c>
    </x:row>
    <x:row r="26" ht="18" customHeight="1">
      <x:c r="A26" s="2" t="inlineStr">
        <x:is>
          <x:t xml:space="preserve">Black Pudding</x:t>
        </x:is>
      </x:c>
      <x:c r="B26" s="2" t="inlineStr">
        <x:is>
          <x:t xml:space="preserve">SRD 5.2.1</x:t>
        </x:is>
      </x:c>
      <x:c r="C26" s="2" t="inlineStr">
        <x:is>
          <x:t xml:space="preserve">Ooze</x:t>
        </x:is>
      </x:c>
      <x:c r="D26" s="2" t="inlineStr">
        <x:is>
          <x:t xml:space="preserve">Large</x:t>
        </x:is>
      </x:c>
      <x:c r="E26" s="2" t="inlineStr">
        <x:is>
          <x:t xml:space="preserve">Unaligned</x:t>
        </x:is>
      </x:c>
      <x:c r="F26" s="2" t="inlineStr">
        <x:is>
          <x:t xml:space="preserve">4</x:t>
        </x:is>
      </x:c>
      <x:c r="G26" s="2" t="inlineStr">
        <x:is>
          <x:t xml:space="preserve">1100</x:t>
        </x:is>
      </x:c>
      <x:c r="H26" s="2" t="inlineStr">
        <x:is>
          <x:t xml:space="preserve">7</x:t>
        </x:is>
      </x:c>
      <x:c r="I26" s="2" t="inlineStr">
        <x:is>
          <x:t xml:space="preserve">68</x:t>
        </x:is>
      </x:c>
      <x:c r="J26" s="2" t="inlineStr">
        <x:is>
          <x:t xml:space="preserve">20 ft., Climb 20 ft.</x:t>
        </x:is>
      </x:c>
      <x:c r="K26" s="2" t="inlineStr">
        <x:is>
          <x:t xml:space="preserve">2</x:t>
        </x:is>
      </x:c>
      <x:c r="L26" s="2" t="inlineStr">
        <x:is>
          <x:t xml:space="preserve">8</x:t>
        </x:is>
      </x:c>
      <x:c r="M26" s="2" t="n"/>
      <x:c r="N26" s="2" t="inlineStr">
        <x:is>
          <x:t xml:space="preserve">5</x:t>
        </x:is>
      </x:c>
      <x:c r="O26" s="2" t="inlineStr">
        <x:is>
          <x:t xml:space="preserve">-3</x:t>
        </x:is>
      </x:c>
      <x:c r="P26" s="2" t="inlineStr">
        <x:is>
          <x:t xml:space="preserve">16</x:t>
        </x:is>
      </x:c>
      <x:c r="Q26" s="2" t="inlineStr">
        <x:is>
          <x:t xml:space="preserve">5</x:t>
        </x:is>
      </x:c>
      <x:c r="R26" s="2" t="inlineStr">
        <x:is>
          <x:t xml:space="preserve">16</x:t>
        </x:is>
      </x:c>
      <x:c r="S26" s="2" t="inlineStr">
        <x:is>
          <x:t xml:space="preserve">1</x:t>
        </x:is>
      </x:c>
      <x:c r="T26" s="2" t="inlineStr">
        <x:is>
          <x:t xml:space="preserve">6</x:t>
        </x:is>
      </x:c>
      <x:c r="U26" s="2" t="inlineStr">
        <x:is>
          <x:t xml:space="preserve">1</x:t>
        </x:is>
      </x:c>
      <x:c r="V26" s="2" t="n"/>
      <x:c r="W26" s="2" t="n"/>
      <x:c r="X26" s="2" t="inlineStr">
        <x:is>
          <x:t xml:space="preserve">Blindsight 60 ft.; Passive Perception 8</x:t>
        </x:is>
      </x:c>
      <x:c r="Y26" s="2" t="inlineStr">
        <x:is>
          <x:t xml:space="preserve">None</x:t>
        </x:is>
      </x:c>
      <x:c r="Z26" s="2" t="inlineStr">
        <x:is>
          <x:t xml:space="preserve">Amorphous. The pudding can move through a space as narrow as 1 inch without expending extra move- ment to do so. Corrosive Form. A creature that hits the pudding with a melee attack roll takes 4 (1d8) Acid damage. Nonmag- ical ammunition is destroyed immediately after hitting the pudding and dealing any damage. Any nonmagical weapon takes a cumulative -1 penalty to attack rolls immediately after dealing damage to the pudding and coming into contact with it. The weapon is destroyed if the penalty reaches -5. The penalty can be removed by casting the Mending spell on the weapon. In 1 minute, the pudding can eat through 2 feet of nonmagical wood or metal. Spider Climb. The pudding can climb difficult surfaces, including along ceilings, without needing to make an ability check.</x:t>
        </x:is>
      </x:c>
      <x:c r="AA26" s="2" t="inlineStr">
        <x:is>
          <x:t xml:space="preserve">Dissolving Pseudopod. Melee Attack Roll: +5, reach 10 ft. Hit: 17 (4d6 + 3) Acid damage. Nonmagical ar- mor worn by the target takes a -1 penalty to the AC it offers. The armor is destroyed if the penalty reduces its AC to 10. The penalty can be removed by casting the Mending spell on the armor.</x:t>
        </x:is>
      </x:c>
      <x:c r="AB26" s="2" t="n"/>
      <x:c r="AC26" s="2" t="inlineStr">
        <x:is>
          <x:t xml:space="preserve">Split. Trigger: While the pudding is Large or Medium and has 10+ Hit Points, it becomes Bloodied or is sub- jected to Lightning or Slashing damage. Response: The pudding splits into two new Black Puddings. Each new pudding is one size smaller than the original pudding and acts on its Initiative. The original pudding’s Hit Points are divided evenly between the new puddings (round down). Blink Dog</x:t>
        </x:is>
      </x:c>
      <x:c r="AD26" s="2" t="n"/>
      <x:c r="AE26" s="2" t="n"/>
      <x:c r="AF26" s="2" t="inlineStr">
        <x:is>
          <x:t xml:space="preserve">Imported from SRD 5.2.1 p. 265 Index of Stat Blocks</x:t>
        </x:is>
      </x:c>
      <x:c r="AG26" s="2" t="inlineStr">
        <x:is>
          <x:t xml:space="preserve">https://www.dndbeyond.com/srd</x:t>
        </x:is>
      </x:c>
    </x:row>
    <x:row r="27" ht="18" customHeight="1">
      <x:c r="A27" s="2" t="inlineStr">
        <x:is>
          <x:t xml:space="preserve">Blink Dog</x:t>
        </x:is>
      </x:c>
      <x:c r="B27" s="2" t="inlineStr">
        <x:is>
          <x:t xml:space="preserve">SRD 5.2.1</x:t>
        </x:is>
      </x:c>
      <x:c r="C27" s="2" t="inlineStr">
        <x:is>
          <x:t xml:space="preserve">Fey</x:t>
        </x:is>
      </x:c>
      <x:c r="D27" s="2" t="inlineStr">
        <x:is>
          <x:t xml:space="preserve">Medium</x:t>
        </x:is>
      </x:c>
      <x:c r="E27" s="2" t="inlineStr">
        <x:is>
          <x:t xml:space="preserve">Lawful Good</x:t>
        </x:is>
      </x:c>
      <x:c r="F27" s="2" t="inlineStr">
        <x:is>
          <x:t xml:space="preserve">1/4</x:t>
        </x:is>
      </x:c>
      <x:c r="G27" s="2" t="inlineStr">
        <x:is>
          <x:t xml:space="preserve">50</x:t>
        </x:is>
      </x:c>
      <x:c r="H27" s="2" t="inlineStr">
        <x:is>
          <x:t xml:space="preserve">13</x:t>
        </x:is>
      </x:c>
      <x:c r="I27" s="2" t="inlineStr">
        <x:is>
          <x:t xml:space="preserve">22</x:t>
        </x:is>
      </x:c>
      <x:c r="J27" s="2" t="inlineStr">
        <x:is>
          <x:t xml:space="preserve">40 ft.</x:t>
        </x:is>
      </x:c>
      <x:c r="K27" s="2" t="inlineStr">
        <x:is>
          <x:t xml:space="preserve">2</x:t>
        </x:is>
      </x:c>
      <x:c r="L27" s="2" t="inlineStr">
        <x:is>
          <x:t xml:space="preserve">15</x:t>
        </x:is>
      </x:c>
      <x:c r="M27" s="2" t="n"/>
      <x:c r="N27" s="2" t="inlineStr">
        <x:is>
          <x:t xml:space="preserve">5</x:t>
        </x:is>
      </x:c>
      <x:c r="O27" s="2" t="inlineStr">
        <x:is>
          <x:t xml:space="preserve">3</x:t>
        </x:is>
      </x:c>
      <x:c r="P27" s="2" t="inlineStr">
        <x:is>
          <x:t xml:space="preserve">12</x:t>
        </x:is>
      </x:c>
      <x:c r="Q27" s="2" t="inlineStr">
        <x:is>
          <x:t xml:space="preserve">17</x:t>
        </x:is>
      </x:c>
      <x:c r="R27" s="2" t="inlineStr">
        <x:is>
          <x:t xml:space="preserve">12</x:t>
        </x:is>
      </x:c>
      <x:c r="S27" s="2" t="inlineStr">
        <x:is>
          <x:t xml:space="preserve">10</x:t>
        </x:is>
      </x:c>
      <x:c r="T27" s="2" t="inlineStr">
        <x:is>
          <x:t xml:space="preserve">13</x:t>
        </x:is>
      </x:c>
      <x:c r="U27" s="2" t="inlineStr">
        <x:is>
          <x:t xml:space="preserve">11</x:t>
        </x:is>
      </x:c>
      <x:c r="V27" s="2" t="n"/>
      <x:c r="W27" s="2" t="inlineStr">
        <x:is>
          <x:t xml:space="preserve">Perception +5, Stealth +5</x:t>
        </x:is>
      </x:c>
      <x:c r="X27" s="2" t="inlineStr">
        <x:is>
          <x:t xml:space="preserve">Darkvision 60 ft.; Passive Perception 15</x:t>
        </x:is>
      </x:c>
      <x:c r="Y27" s="2" t="inlineStr">
        <x:is>
          <x:t xml:space="preserve">Blink Dog; understands Elvish and Sylvan but can’t speak them</x:t>
        </x:is>
      </x:c>
      <x:c r="Z27" s="2" t="n"/>
      <x:c r="AA27" s="2" t="inlineStr">
        <x:is>
          <x:t xml:space="preserve">Bite. Melee Attack Roll: +5, reach 5 ft. Hit: 5 (1d4 + 3) Piercing damage.</x:t>
        </x:is>
      </x:c>
      <x:c r="AB27" s="2" t="inlineStr">
        <x:is>
          <x:t xml:space="preserve">Teleport (Recharge 4-6). The dog teleports up to 40 feet to an unoccupied space it can see. Blue Dragons</x:t>
        </x:is>
      </x:c>
      <x:c r="AC27" s="2" t="n"/>
      <x:c r="AD27" s="2" t="n"/>
      <x:c r="AE27" s="2" t="n"/>
      <x:c r="AF27" s="2" t="inlineStr">
        <x:is>
          <x:t xml:space="preserve">Imported from SRD 5.2.1 p. 266 Index of Stat Blocks</x:t>
        </x:is>
      </x:c>
      <x:c r="AG27" s="2" t="inlineStr">
        <x:is>
          <x:t xml:space="preserve">https://www.dndbeyond.com/srd</x:t>
        </x:is>
      </x:c>
    </x:row>
    <x:row r="28" ht="18" customHeight="1">
      <x:c r="A28" s="2" t="inlineStr">
        <x:is>
          <x:t xml:space="preserve">Blue Dragon Wyrmling</x:t>
        </x:is>
      </x:c>
      <x:c r="B28" s="2" t="inlineStr">
        <x:is>
          <x:t xml:space="preserve">SRD 5.2.1</x:t>
        </x:is>
      </x:c>
      <x:c r="C28" s="2" t="inlineStr">
        <x:is>
          <x:t xml:space="preserve">Dragon (Chromatic)</x:t>
        </x:is>
      </x:c>
      <x:c r="D28" s="2" t="inlineStr">
        <x:is>
          <x:t xml:space="preserve">Medium</x:t>
        </x:is>
      </x:c>
      <x:c r="E28" s="2" t="inlineStr">
        <x:is>
          <x:t xml:space="preserve">Lawful Evil</x:t>
        </x:is>
      </x:c>
      <x:c r="F28" s="2" t="inlineStr">
        <x:is>
          <x:t xml:space="preserve">3</x:t>
        </x:is>
      </x:c>
      <x:c r="G28" s="2" t="inlineStr">
        <x:is>
          <x:t xml:space="preserve">700</x:t>
        </x:is>
      </x:c>
      <x:c r="H28" s="2" t="inlineStr">
        <x:is>
          <x:t xml:space="preserve">17</x:t>
        </x:is>
      </x:c>
      <x:c r="I28" s="2" t="inlineStr">
        <x:is>
          <x:t xml:space="preserve">65</x:t>
        </x:is>
      </x:c>
      <x:c r="J28" s="2" t="inlineStr">
        <x:is>
          <x:t xml:space="preserve">30 ft., Burrow 15 ft., Fly 60 ft.</x:t>
        </x:is>
      </x:c>
      <x:c r="K28" s="2" t="inlineStr">
        <x:is>
          <x:t xml:space="preserve">2</x:t>
        </x:is>
      </x:c>
      <x:c r="L28" s="2" t="inlineStr">
        <x:is>
          <x:t xml:space="preserve">14</x:t>
        </x:is>
      </x:c>
      <x:c r="M28" s="2" t="n"/>
      <x:c r="N28" s="2" t="inlineStr">
        <x:is>
          <x:t xml:space="preserve">5</x:t>
        </x:is>
      </x:c>
      <x:c r="O28" s="2" t="inlineStr">
        <x:is>
          <x:t xml:space="preserve">2</x:t>
        </x:is>
      </x:c>
      <x:c r="P28" s="2" t="inlineStr">
        <x:is>
          <x:t xml:space="preserve">17</x:t>
        </x:is>
      </x:c>
      <x:c r="Q28" s="2" t="inlineStr">
        <x:is>
          <x:t xml:space="preserve">10</x:t>
        </x:is>
      </x:c>
      <x:c r="R28" s="2" t="inlineStr">
        <x:is>
          <x:t xml:space="preserve">15</x:t>
        </x:is>
      </x:c>
      <x:c r="S28" s="2" t="inlineStr">
        <x:is>
          <x:t xml:space="preserve">12</x:t>
        </x:is>
      </x:c>
      <x:c r="T28" s="2" t="inlineStr">
        <x:is>
          <x:t xml:space="preserve">11</x:t>
        </x:is>
      </x:c>
      <x:c r="U28" s="2" t="inlineStr">
        <x:is>
          <x:t xml:space="preserve">15</x:t>
        </x:is>
      </x:c>
      <x:c r="V28" s="2" t="inlineStr">
        <x:is>
          <x:t xml:space="preserve">DEX +2, WIS +2</x:t>
        </x:is>
      </x:c>
      <x:c r="W28" s="2" t="inlineStr">
        <x:is>
          <x:t xml:space="preserve">Perception +4, Stealth +2</x:t>
        </x:is>
      </x:c>
      <x:c r="X28" s="2" t="inlineStr">
        <x:is>
          <x:t xml:space="preserve">Blindsight 10 ft., Darkvision 60 ft.; Passive Perception 14</x:t>
        </x:is>
      </x:c>
      <x:c r="Y28" s="2" t="inlineStr">
        <x:is>
          <x:t xml:space="preserve">Draconic</x:t>
        </x:is>
      </x:c>
      <x:c r="Z28" s="2" t="n"/>
      <x:c r="AA28" s="2" t="inlineStr">
        <x:is>
          <x:t xml:space="preserve">Multiattack. The dragon makes two Rend attacks. Rend. Melee Attack Roll: +5, reach 5 ft. Hit: 8 (1d10 + 3) Slashing damage plus 3 (1d6) Lightning damage. Lightning Breath (Recharge 5-6). Dexterity Saving Throw: DC 12, each creature in a 30-foot-long, 5-foot- wide Line. Failure: 21 (6d6) Lightning damage. Success: Half damage.</x:t>
        </x:is>
      </x:c>
      <x:c r="AB28" s="2" t="n"/>
      <x:c r="AC28" s="2" t="n"/>
      <x:c r="AD28" s="2" t="n"/>
      <x:c r="AE28" s="2" t="n"/>
      <x:c r="AF28" s="2" t="inlineStr">
        <x:is>
          <x:t xml:space="preserve">Imported from SRD 5.2.1 p. 266 Index of Stat Blocks</x:t>
        </x:is>
      </x:c>
      <x:c r="AG28" s="2" t="inlineStr">
        <x:is>
          <x:t xml:space="preserve">https://www.dndbeyond.com/srd</x:t>
        </x:is>
      </x:c>
    </x:row>
    <x:row r="29" ht="18" customHeight="1">
      <x:c r="A29" s="2" t="inlineStr">
        <x:is>
          <x:t xml:space="preserve">Young Blue Dragon</x:t>
        </x:is>
      </x:c>
      <x:c r="B29" s="2" t="inlineStr">
        <x:is>
          <x:t xml:space="preserve">SRD 5.2.1</x:t>
        </x:is>
      </x:c>
      <x:c r="C29" s="2" t="inlineStr">
        <x:is>
          <x:t xml:space="preserve">Dragon (Chromatic)</x:t>
        </x:is>
      </x:c>
      <x:c r="D29" s="2" t="inlineStr">
        <x:is>
          <x:t xml:space="preserve">Large</x:t>
        </x:is>
      </x:c>
      <x:c r="E29" s="2" t="inlineStr">
        <x:is>
          <x:t xml:space="preserve">Lawful Evil</x:t>
        </x:is>
      </x:c>
      <x:c r="F29" s="2" t="inlineStr">
        <x:is>
          <x:t xml:space="preserve">9</x:t>
        </x:is>
      </x:c>
      <x:c r="G29" s="2" t="inlineStr">
        <x:is>
          <x:t xml:space="preserve">5000</x:t>
        </x:is>
      </x:c>
      <x:c r="H29" s="2" t="inlineStr">
        <x:is>
          <x:t xml:space="preserve">18</x:t>
        </x:is>
      </x:c>
      <x:c r="I29" s="2" t="inlineStr">
        <x:is>
          <x:t xml:space="preserve">152</x:t>
        </x:is>
      </x:c>
      <x:c r="J29" s="2" t="inlineStr">
        <x:is>
          <x:t xml:space="preserve">40 ft., Burrow 20 ft., Fly 80 ft.</x:t>
        </x:is>
      </x:c>
      <x:c r="K29" s="2" t="inlineStr">
        <x:is>
          <x:t xml:space="preserve">4</x:t>
        </x:is>
      </x:c>
      <x:c r="L29" s="2" t="inlineStr">
        <x:is>
          <x:t xml:space="preserve">19</x:t>
        </x:is>
      </x:c>
      <x:c r="M29" s="2" t="n"/>
      <x:c r="N29" s="2" t="inlineStr">
        <x:is>
          <x:t xml:space="preserve">9</x:t>
        </x:is>
      </x:c>
      <x:c r="O29" s="2" t="inlineStr">
        <x:is>
          <x:t xml:space="preserve">4</x:t>
        </x:is>
      </x:c>
      <x:c r="P29" s="2" t="inlineStr">
        <x:is>
          <x:t xml:space="preserve">21</x:t>
        </x:is>
      </x:c>
      <x:c r="Q29" s="2" t="inlineStr">
        <x:is>
          <x:t xml:space="preserve">10</x:t>
        </x:is>
      </x:c>
      <x:c r="R29" s="2" t="inlineStr">
        <x:is>
          <x:t xml:space="preserve">19</x:t>
        </x:is>
      </x:c>
      <x:c r="S29" s="2" t="inlineStr">
        <x:is>
          <x:t xml:space="preserve">14</x:t>
        </x:is>
      </x:c>
      <x:c r="T29" s="2" t="inlineStr">
        <x:is>
          <x:t xml:space="preserve">13</x:t>
        </x:is>
      </x:c>
      <x:c r="U29" s="2" t="inlineStr">
        <x:is>
          <x:t xml:space="preserve">17</x:t>
        </x:is>
      </x:c>
      <x:c r="V29" s="2" t="inlineStr">
        <x:is>
          <x:t xml:space="preserve">DEX +4, WIS +5</x:t>
        </x:is>
      </x:c>
      <x:c r="W29" s="2" t="inlineStr">
        <x:is>
          <x:t xml:space="preserve">Perception +9, Stealth +4</x:t>
        </x:is>
      </x:c>
      <x:c r="X29" s="2" t="inlineStr">
        <x:is>
          <x:t xml:space="preserve">Blindsight 30 ft., Darkvision 120 ft.; Passive Perception 19</x:t>
        </x:is>
      </x:c>
      <x:c r="Y29" s="2" t="inlineStr">
        <x:is>
          <x:t xml:space="preserve">Common, Draconic</x:t>
        </x:is>
      </x:c>
      <x:c r="Z29" s="2" t="n"/>
      <x:c r="AA29" s="2" t="inlineStr">
        <x:is>
          <x:t xml:space="preserve">Multiattack. The dragon makes three Rend attacks. Rend. Melee Attack Roll: +9, reach 10 ft. Hit: 12 (2d6 + 5) Slashing damage plus 5 (1d10) Lightning damage. Lightning Breath (Recharge 5-6). Dexterity Saving Throw: DC 16, each creature in a 60-foot-long, 5-foot- wide Line. Failure: 55 (10d10) Lightning damage. Suc- cess: Half damage.</x:t>
        </x:is>
      </x:c>
      <x:c r="AB29" s="2" t="n"/>
      <x:c r="AC29" s="2" t="n"/>
      <x:c r="AD29" s="2" t="n"/>
      <x:c r="AE29" s="2" t="n"/>
      <x:c r="AF29" s="2" t="inlineStr">
        <x:is>
          <x:t xml:space="preserve">Imported from SRD 5.2.1 p. 266 Index of Stat Blocks</x:t>
        </x:is>
      </x:c>
      <x:c r="AG29" s="2" t="inlineStr">
        <x:is>
          <x:t xml:space="preserve">https://www.dndbeyond.com/srd</x:t>
        </x:is>
      </x:c>
    </x:row>
    <x:row r="30" ht="18" customHeight="1">
      <x:c r="A30" s="2" t="inlineStr">
        <x:is>
          <x:t xml:space="preserve">Adult Blue Dragon</x:t>
        </x:is>
      </x:c>
      <x:c r="B30" s="2" t="inlineStr">
        <x:is>
          <x:t xml:space="preserve">SRD 5.2.1</x:t>
        </x:is>
      </x:c>
      <x:c r="C30" s="2" t="inlineStr">
        <x:is>
          <x:t xml:space="preserve">Dragon (Chromatic)</x:t>
        </x:is>
      </x:c>
      <x:c r="D30" s="2" t="inlineStr">
        <x:is>
          <x:t xml:space="preserve">Huge</x:t>
        </x:is>
      </x:c>
      <x:c r="E30" s="2" t="inlineStr">
        <x:is>
          <x:t xml:space="preserve">Lawful Evil</x:t>
        </x:is>
      </x:c>
      <x:c r="F30" s="2" t="inlineStr">
        <x:is>
          <x:t xml:space="preserve">16</x:t>
        </x:is>
      </x:c>
      <x:c r="G30" s="2" t="inlineStr">
        <x:is>
          <x:t xml:space="preserve">15000</x:t>
        </x:is>
      </x:c>
      <x:c r="H30" s="2" t="inlineStr">
        <x:is>
          <x:t xml:space="preserve">19</x:t>
        </x:is>
      </x:c>
      <x:c r="I30" s="2" t="inlineStr">
        <x:is>
          <x:t xml:space="preserve">212</x:t>
        </x:is>
      </x:c>
      <x:c r="J30" s="2" t="inlineStr">
        <x:is>
          <x:t xml:space="preserve">40 ft., Burrow 30 ft., Fly 80 ft.</x:t>
        </x:is>
      </x:c>
      <x:c r="K30" s="2" t="inlineStr">
        <x:is>
          <x:t xml:space="preserve">5</x:t>
        </x:is>
      </x:c>
      <x:c r="L30" s="2" t="inlineStr">
        <x:is>
          <x:t xml:space="preserve">22</x:t>
        </x:is>
      </x:c>
      <x:c r="M30" s="2" t="n"/>
      <x:c r="N30" s="2" t="inlineStr">
        <x:is>
          <x:t xml:space="preserve">12</x:t>
        </x:is>
      </x:c>
      <x:c r="O30" s="2" t="inlineStr">
        <x:is>
          <x:t xml:space="preserve">10</x:t>
        </x:is>
      </x:c>
      <x:c r="P30" s="2" t="inlineStr">
        <x:is>
          <x:t xml:space="preserve">25</x:t>
        </x:is>
      </x:c>
      <x:c r="Q30" s="2" t="inlineStr">
        <x:is>
          <x:t xml:space="preserve">10</x:t>
        </x:is>
      </x:c>
      <x:c r="R30" s="2" t="inlineStr">
        <x:is>
          <x:t xml:space="preserve">23</x:t>
        </x:is>
      </x:c>
      <x:c r="S30" s="2" t="inlineStr">
        <x:is>
          <x:t xml:space="preserve">16</x:t>
        </x:is>
      </x:c>
      <x:c r="T30" s="2" t="inlineStr">
        <x:is>
          <x:t xml:space="preserve">15</x:t>
        </x:is>
      </x:c>
      <x:c r="U30" s="2" t="inlineStr">
        <x:is>
          <x:t xml:space="preserve">20</x:t>
        </x:is>
      </x:c>
      <x:c r="V30" s="2" t="inlineStr">
        <x:is>
          <x:t xml:space="preserve">DEX +5, WIS +7</x:t>
        </x:is>
      </x:c>
      <x:c r="W30" s="2" t="inlineStr">
        <x:is>
          <x:t xml:space="preserve">Perception +12, Stealth +5</x:t>
        </x:is>
      </x:c>
      <x:c r="X30" s="2" t="inlineStr">
        <x:is>
          <x:t xml:space="preserve">Blindsight 60 ft., Darkvision 120 ft.; Passive Perception 22</x:t>
        </x:is>
      </x:c>
      <x:c r="Y30" s="2" t="inlineStr">
        <x:is>
          <x:t xml:space="preserve">Common, Draconic</x:t>
        </x:is>
      </x:c>
      <x:c r="Z30" s="2" t="inlineStr">
        <x:is>
          <x:t xml:space="preserve">Legendary Resistance (3/Day, or 4/Day in Lair). If the dragon fails a saving throw, it can choose to suc- ceed instead.</x:t>
        </x:is>
      </x:c>
      <x:c r="AA30" s="2" t="inlineStr">
        <x:is>
          <x:t xml:space="preserve">Multiattack. The dragon makes three Rend attacks. It can replace one attack with a use of Spellcasting to cast Shatter. Rend. Melee Attack Roll: +12, reach 10 ft. Hit: 16 (2d8 + 7) Slashing damage plus 5 (1d10) Lightning damage. Lightning Breath (Recharge 5-6). Dexterity Saving Throw: DC 19, each creature in a 90-foot-long, 5-foot- wide Line. Failure: 60 (11d10) Lightning damage. Suc- cess: Half damage. Spellcasting. The dragon casts one of the following spells, requiring no Material components and using Charisma as the spellcasting ability (spell save DC 18): At Will: Detect Magic, Invisibility, Mage Hand, Shatter 1/Day Each: Scrying, Sending</x:t>
        </x:is>
      </x:c>
      <x:c r="AB30" s="2" t="n"/>
      <x:c r="AC30" s="2" t="n"/>
      <x:c r="AD30" s="2" t="inlineStr">
        <x:is>
          <x:t xml:space="preserve">Legendary Action Uses: 3 (4 in Lair). Immediately after another creature’s turn, the dragon can expend a use to take one of the following actions. The dragon regains all expended uses at the start of each of its turns. Cloaked Flight. The dragon uses Spellcasting to cast In- visibility on itself, and it can fly up to half its Fly Speed. The dragon can’t take this action again until the start of its next turn. Sonic Boom. The dragon uses Spellcasting to cast Shat- ter. The dragon can’t take this action again until the start of its next turn. Tail Swipe. The dragon makes one Rend attack.</x:t>
        </x:is>
      </x:c>
      <x:c r="AE30" s="2" t="inlineStr">
        <x:is>
          <x:t xml:space="preserve">Includes Spellcasting; see Traits/Actions text</x:t>
        </x:is>
      </x:c>
      <x:c r="AF30" s="2" t="inlineStr">
        <x:is>
          <x:t xml:space="preserve">Imported from SRD 5.2.1 p. 266 Index of Stat Blocks</x:t>
        </x:is>
      </x:c>
      <x:c r="AG30" s="2" t="inlineStr">
        <x:is>
          <x:t xml:space="preserve">https://www.dndbeyond.com/srd</x:t>
        </x:is>
      </x:c>
    </x:row>
    <x:row r="31" ht="18" customHeight="1">
      <x:c r="A31" s="2" t="inlineStr">
        <x:is>
          <x:t xml:space="preserve">Ancient Blue Dragon</x:t>
        </x:is>
      </x:c>
      <x:c r="B31" s="2" t="inlineStr">
        <x:is>
          <x:t xml:space="preserve">SRD 5.2.1</x:t>
        </x:is>
      </x:c>
      <x:c r="C31" s="2" t="inlineStr">
        <x:is>
          <x:t xml:space="preserve">Dragon (Chromatic)</x:t>
        </x:is>
      </x:c>
      <x:c r="D31" s="2" t="inlineStr">
        <x:is>
          <x:t xml:space="preserve">Gargantuan</x:t>
        </x:is>
      </x:c>
      <x:c r="E31" s="2" t="inlineStr">
        <x:is>
          <x:t xml:space="preserve">Lawful Evil</x:t>
        </x:is>
      </x:c>
      <x:c r="F31" s="2" t="inlineStr">
        <x:is>
          <x:t xml:space="preserve">23</x:t>
        </x:is>
      </x:c>
      <x:c r="G31" s="2" t="inlineStr">
        <x:is>
          <x:t xml:space="preserve">50000</x:t>
        </x:is>
      </x:c>
      <x:c r="H31" s="2" t="inlineStr">
        <x:is>
          <x:t xml:space="preserve">22</x:t>
        </x:is>
      </x:c>
      <x:c r="I31" s="2" t="inlineStr">
        <x:is>
          <x:t xml:space="preserve">481</x:t>
        </x:is>
      </x:c>
      <x:c r="J31" s="2" t="inlineStr">
        <x:is>
          <x:t xml:space="preserve">40 ft., Burrow 40 ft., Fly 80 ft.</x:t>
        </x:is>
      </x:c>
      <x:c r="K31" s="2" t="inlineStr">
        <x:is>
          <x:t xml:space="preserve">7</x:t>
        </x:is>
      </x:c>
      <x:c r="L31" s="2" t="inlineStr">
        <x:is>
          <x:t xml:space="preserve">27</x:t>
        </x:is>
      </x:c>
      <x:c r="M31" s="2" t="n"/>
      <x:c r="N31" s="2" t="inlineStr">
        <x:is>
          <x:t xml:space="preserve">16</x:t>
        </x:is>
      </x:c>
      <x:c r="O31" s="2" t="inlineStr">
        <x:is>
          <x:t xml:space="preserve">14</x:t>
        </x:is>
      </x:c>
      <x:c r="P31" s="2" t="inlineStr">
        <x:is>
          <x:t xml:space="preserve">29</x:t>
        </x:is>
      </x:c>
      <x:c r="Q31" s="2" t="inlineStr">
        <x:is>
          <x:t xml:space="preserve">10</x:t>
        </x:is>
      </x:c>
      <x:c r="R31" s="2" t="inlineStr">
        <x:is>
          <x:t xml:space="preserve">27</x:t>
        </x:is>
      </x:c>
      <x:c r="S31" s="2" t="inlineStr">
        <x:is>
          <x:t xml:space="preserve">18</x:t>
        </x:is>
      </x:c>
      <x:c r="T31" s="2" t="inlineStr">
        <x:is>
          <x:t xml:space="preserve">17</x:t>
        </x:is>
      </x:c>
      <x:c r="U31" s="2" t="inlineStr">
        <x:is>
          <x:t xml:space="preserve">25</x:t>
        </x:is>
      </x:c>
      <x:c r="V31" s="2" t="inlineStr">
        <x:is>
          <x:t xml:space="preserve">DEX +7, WIS +10</x:t>
        </x:is>
      </x:c>
      <x:c r="W31" s="2" t="inlineStr">
        <x:is>
          <x:t xml:space="preserve">Perception +17, Stealth +7</x:t>
        </x:is>
      </x:c>
      <x:c r="X31" s="2" t="inlineStr">
        <x:is>
          <x:t xml:space="preserve">Blindsight 60 ft., Darkvision 120 ft.; Passive Perception 27</x:t>
        </x:is>
      </x:c>
      <x:c r="Y31" s="2" t="inlineStr">
        <x:is>
          <x:t xml:space="preserve">Common, Draconic</x:t>
        </x:is>
      </x:c>
      <x:c r="Z31" s="2" t="inlineStr">
        <x:is>
          <x:t xml:space="preserve">Legendary Resistance (4/Day, or 5/Day in Lair). If the dragon fails a saving throw, it can choose to suc- ceed instead.</x:t>
        </x:is>
      </x:c>
      <x:c r="AA31" s="2" t="inlineStr">
        <x:is>
          <x:t xml:space="preserve">Multiattack. The dragon makes three Rend attacks. It can replace one attack with a use of Spellcasting to cast Shatter (level 3 version). Rend. Melee Attack Roll: +16, reach 15 ft. Hit: 18 (2d8 + 9) Slashing damage plus 11 (2d10) Lightning damage. Lightning Breath (Recharge 5-6). Dexterity Saving Throw: DC 23, each creature in a 120-foot-long, 10-foot-wide Line. Failure: 88 (16d10) Lightning dam- age. Success: Half damage. Spellcasting. The dragon casts one of the following spells, requiring no Material components and using Charisma as the spellcasting ability (spell save DC 22): At Will: Detect Magic, Invisibility, Mage Hand, Shatter (level 3 version) 1/Day Each: Scrying, Sending</x:t>
        </x:is>
      </x:c>
      <x:c r="AB31" s="2" t="n"/>
      <x:c r="AC31" s="2" t="n"/>
      <x:c r="AD31" s="2" t="inlineStr">
        <x:is>
          <x:t xml:space="preserve">Legendary Action Uses: 3 (4 in Lair). Immediately after another creature’s turn, the dragon can expend a use to take one of the following actions. The dragon regains all expended uses at the start of each of its turns. Cloaked Flight. The dragon uses Spellcasting to cast In- visibility on itself, and it can fly up to half its Fly Speed. The dragon can’t take this action again until the start of its next turn. Sonic Boom. The dragon uses Spellcasting to cast Shat- ter (level 3 version). The dragon can’t take this action again until the start of its next turn. Tail Swipe. The dragon makes one Rend attack. Bone Devil</x:t>
        </x:is>
      </x:c>
      <x:c r="AE31" s="2" t="inlineStr">
        <x:is>
          <x:t xml:space="preserve">Includes Spellcasting; see Traits/Actions text</x:t>
        </x:is>
      </x:c>
      <x:c r="AF31" s="2" t="inlineStr">
        <x:is>
          <x:t xml:space="preserve">Imported from SRD 5.2.1 p. 267 Index of Stat Blocks</x:t>
        </x:is>
      </x:c>
      <x:c r="AG31" s="2" t="inlineStr">
        <x:is>
          <x:t xml:space="preserve">https://www.dndbeyond.com/srd</x:t>
        </x:is>
      </x:c>
    </x:row>
    <x:row r="32" ht="18" customHeight="1">
      <x:c r="A32" s="2" t="inlineStr">
        <x:is>
          <x:t xml:space="preserve">Bone Devil</x:t>
        </x:is>
      </x:c>
      <x:c r="B32" s="2" t="inlineStr">
        <x:is>
          <x:t xml:space="preserve">SRD 5.2.1</x:t>
        </x:is>
      </x:c>
      <x:c r="C32" s="2" t="inlineStr">
        <x:is>
          <x:t xml:space="preserve">Fiend (Devil)</x:t>
        </x:is>
      </x:c>
      <x:c r="D32" s="2" t="inlineStr">
        <x:is>
          <x:t xml:space="preserve">Large</x:t>
        </x:is>
      </x:c>
      <x:c r="E32" s="2" t="inlineStr">
        <x:is>
          <x:t xml:space="preserve">Lawful Evil</x:t>
        </x:is>
      </x:c>
      <x:c r="F32" s="2" t="inlineStr">
        <x:is>
          <x:t xml:space="preserve">9</x:t>
        </x:is>
      </x:c>
      <x:c r="G32" s="2" t="inlineStr">
        <x:is>
          <x:t xml:space="preserve">5000</x:t>
        </x:is>
      </x:c>
      <x:c r="H32" s="2" t="inlineStr">
        <x:is>
          <x:t xml:space="preserve">16</x:t>
        </x:is>
      </x:c>
      <x:c r="I32" s="2" t="inlineStr">
        <x:is>
          <x:t xml:space="preserve">161</x:t>
        </x:is>
      </x:c>
      <x:c r="J32" s="2" t="inlineStr">
        <x:is>
          <x:t xml:space="preserve">40 ft., Fly 40 ft.</x:t>
        </x:is>
      </x:c>
      <x:c r="K32" s="2" t="inlineStr">
        <x:is>
          <x:t xml:space="preserve">4</x:t>
        </x:is>
      </x:c>
      <x:c r="L32" s="2" t="inlineStr">
        <x:is>
          <x:t xml:space="preserve">12</x:t>
        </x:is>
      </x:c>
      <x:c r="M32" s="2" t="n"/>
      <x:c r="N32" s="2" t="inlineStr">
        <x:is>
          <x:t xml:space="preserve">8</x:t>
        </x:is>
      </x:c>
      <x:c r="O32" s="2" t="inlineStr">
        <x:is>
          <x:t xml:space="preserve">7</x:t>
        </x:is>
      </x:c>
      <x:c r="P32" s="2" t="inlineStr">
        <x:is>
          <x:t xml:space="preserve">18</x:t>
        </x:is>
      </x:c>
      <x:c r="Q32" s="2" t="inlineStr">
        <x:is>
          <x:t xml:space="preserve">16</x:t>
        </x:is>
      </x:c>
      <x:c r="R32" s="2" t="inlineStr">
        <x:is>
          <x:t xml:space="preserve">18</x:t>
        </x:is>
      </x:c>
      <x:c r="S32" s="2" t="inlineStr">
        <x:is>
          <x:t xml:space="preserve">13</x:t>
        </x:is>
      </x:c>
      <x:c r="T32" s="2" t="inlineStr">
        <x:is>
          <x:t xml:space="preserve">14</x:t>
        </x:is>
      </x:c>
      <x:c r="U32" s="2" t="inlineStr">
        <x:is>
          <x:t xml:space="preserve">16</x:t>
        </x:is>
      </x:c>
      <x:c r="V32" s="2" t="inlineStr">
        <x:is>
          <x:t xml:space="preserve">STR +8, INT +5, WIS +6, CHA +7</x:t>
        </x:is>
      </x:c>
      <x:c r="W32" s="2" t="inlineStr">
        <x:is>
          <x:t xml:space="preserve">Deception +7, Insight +6</x:t>
        </x:is>
      </x:c>
      <x:c r="X32" s="2" t="inlineStr">
        <x:is>
          <x:t xml:space="preserve">Darkvision 120 ft. (unimpeded by magical Darkness); Passive Perception 12</x:t>
        </x:is>
      </x:c>
      <x:c r="Y32" s="2" t="inlineStr">
        <x:is>
          <x:t xml:space="preserve">Infernal; telepathy 120 ft.</x:t>
        </x:is>
      </x:c>
      <x:c r="Z32" s="2" t="inlineStr">
        <x:is>
          <x:t xml:space="preserve">Diabolical Restoration. If the devil dies outside the Nine Hells, its body disappears in sulfurous smoke, and it gains a new body instantly, reviving with all its Hit Points somewhere in the Nine Hells. Magic Resistance. The devil has Advantage on saving throws against spells and other magical effects.</x:t>
        </x:is>
      </x:c>
      <x:c r="AA32" s="2" t="inlineStr">
        <x:is>
          <x:t xml:space="preserve">Multiattack. The devil makes two Claw attacks and one Infernal Sting attack. Claw. Melee Attack Roll: +8, reach 10 ft. Hit: 13 (2d8 + 4) Slashing damage. Infernal Sting. Melee Attack Roll: +8, reach 10 ft. Hit: 15 (2d10 + 4) Piercing damage plus 18 (4d8) Poison damage, and the target has the Poisoned condition until the start of the devil’s next turn. While Poisoned, the target can’t regain Hit Points. Brass Dragons</x:t>
        </x:is>
      </x:c>
      <x:c r="AB32" s="2" t="n"/>
      <x:c r="AC32" s="2" t="n"/>
      <x:c r="AD32" s="2" t="n"/>
      <x:c r="AE32" s="2" t="n"/>
      <x:c r="AF32" s="2" t="inlineStr">
        <x:is>
          <x:t xml:space="preserve">Imported from SRD 5.2.1 p. 267 Index of Stat Blocks</x:t>
        </x:is>
      </x:c>
      <x:c r="AG32" s="2" t="inlineStr">
        <x:is>
          <x:t xml:space="preserve">https://www.dndbeyond.com/srd</x:t>
        </x:is>
      </x:c>
    </x:row>
    <x:row r="33" ht="18" customHeight="1">
      <x:c r="A33" s="2" t="inlineStr">
        <x:is>
          <x:t xml:space="preserve">Brass Dragon Wyrmling</x:t>
        </x:is>
      </x:c>
      <x:c r="B33" s="2" t="inlineStr">
        <x:is>
          <x:t xml:space="preserve">SRD 5.2.1</x:t>
        </x:is>
      </x:c>
      <x:c r="C33" s="2" t="inlineStr">
        <x:is>
          <x:t xml:space="preserve">Dragon (Metallic)</x:t>
        </x:is>
      </x:c>
      <x:c r="D33" s="2" t="inlineStr">
        <x:is>
          <x:t xml:space="preserve">Medium</x:t>
        </x:is>
      </x:c>
      <x:c r="E33" s="2" t="inlineStr">
        <x:is>
          <x:t xml:space="preserve">Chaotic Good</x:t>
        </x:is>
      </x:c>
      <x:c r="F33" s="2" t="inlineStr">
        <x:is>
          <x:t xml:space="preserve">1</x:t>
        </x:is>
      </x:c>
      <x:c r="G33" s="2" t="inlineStr">
        <x:is>
          <x:t xml:space="preserve">200</x:t>
        </x:is>
      </x:c>
      <x:c r="H33" s="2" t="inlineStr">
        <x:is>
          <x:t xml:space="preserve">15</x:t>
        </x:is>
      </x:c>
      <x:c r="I33" s="2" t="inlineStr">
        <x:is>
          <x:t xml:space="preserve">22</x:t>
        </x:is>
      </x:c>
      <x:c r="J33" s="2" t="inlineStr">
        <x:is>
          <x:t xml:space="preserve">30 ft., Burrow 15 ft., Fly 60 ft.</x:t>
        </x:is>
      </x:c>
      <x:c r="K33" s="2" t="inlineStr">
        <x:is>
          <x:t xml:space="preserve">2</x:t>
        </x:is>
      </x:c>
      <x:c r="L33" s="2" t="inlineStr">
        <x:is>
          <x:t xml:space="preserve">14</x:t>
        </x:is>
      </x:c>
      <x:c r="M33" s="2" t="inlineStr">
        <x:is>
          <x:t xml:space="preserve">11</x:t>
        </x:is>
      </x:c>
      <x:c r="N33" s="2" t="inlineStr">
        <x:is>
          <x:t xml:space="preserve">4</x:t>
        </x:is>
      </x:c>
      <x:c r="O33" s="2" t="inlineStr">
        <x:is>
          <x:t xml:space="preserve">2</x:t>
        </x:is>
      </x:c>
      <x:c r="P33" s="2" t="inlineStr">
        <x:is>
          <x:t xml:space="preserve">15</x:t>
        </x:is>
      </x:c>
      <x:c r="Q33" s="2" t="inlineStr">
        <x:is>
          <x:t xml:space="preserve">10</x:t>
        </x:is>
      </x:c>
      <x:c r="R33" s="2" t="inlineStr">
        <x:is>
          <x:t xml:space="preserve">13</x:t>
        </x:is>
      </x:c>
      <x:c r="S33" s="2" t="inlineStr">
        <x:is>
          <x:t xml:space="preserve">10</x:t>
        </x:is>
      </x:c>
      <x:c r="T33" s="2" t="inlineStr">
        <x:is>
          <x:t xml:space="preserve">11</x:t>
        </x:is>
      </x:c>
      <x:c r="U33" s="2" t="inlineStr">
        <x:is>
          <x:t xml:space="preserve">13</x:t>
        </x:is>
      </x:c>
      <x:c r="V33" s="2" t="inlineStr">
        <x:is>
          <x:t xml:space="preserve">DEX +2, WIS +2</x:t>
        </x:is>
      </x:c>
      <x:c r="W33" s="2" t="inlineStr">
        <x:is>
          <x:t xml:space="preserve">Perception +4, Stealth +2</x:t>
        </x:is>
      </x:c>
      <x:c r="X33" s="2" t="inlineStr">
        <x:is>
          <x:t xml:space="preserve">Blindsight 10 ft., Darkvision 60 ft.; Passive Perception 14</x:t>
        </x:is>
      </x:c>
      <x:c r="Y33" s="2" t="inlineStr">
        <x:is>
          <x:t xml:space="preserve">Draconic</x:t>
        </x:is>
      </x:c>
      <x:c r="Z33" s="2" t="n"/>
      <x:c r="AA33" s="2" t="inlineStr">
        <x:is>
          <x:t xml:space="preserve">Rend. Melee Attack Roll: +4, reach 5 ft. Hit: 7 (1d10 + 2) Slashing damage. Fire Breath (Recharge 5-6). Dexterity Saving Throw: DC 11, each creature in a 20-foot-long, 5-foot- wide Line. Failure: 14 (4d6) Fire damage. Success: Half damage. Sleep Breath. Constitution Saving Throw: DC 11, each creature in a 15-foot Cone. Failure: The target has the Incapacitated condition until the end of its next turn, at which point it repeats the save. Second Failure: The target has the Unconscious condition for 1 minute. This effect ends for the target if it takes damage or a creature within 5 feet of it takes an action to wake it.</x:t>
        </x:is>
      </x:c>
      <x:c r="AB33" s="2" t="n"/>
      <x:c r="AC33" s="2" t="n"/>
      <x:c r="AD33" s="2" t="n"/>
      <x:c r="AE33" s="2" t="n"/>
      <x:c r="AF33" s="2" t="inlineStr">
        <x:is>
          <x:t xml:space="preserve">Imported from SRD 5.2.1 p. 268 Index of Stat Blocks</x:t>
        </x:is>
      </x:c>
      <x:c r="AG33" s="2" t="inlineStr">
        <x:is>
          <x:t xml:space="preserve">https://www.dndbeyond.com/srd</x:t>
        </x:is>
      </x:c>
    </x:row>
    <x:row r="34" ht="18" customHeight="1">
      <x:c r="A34" s="2" t="inlineStr">
        <x:is>
          <x:t xml:space="preserve">Young Brass Dragon</x:t>
        </x:is>
      </x:c>
      <x:c r="B34" s="2" t="inlineStr">
        <x:is>
          <x:t xml:space="preserve">SRD 5.2.1</x:t>
        </x:is>
      </x:c>
      <x:c r="C34" s="2" t="inlineStr">
        <x:is>
          <x:t xml:space="preserve">Dragon (Metallic)</x:t>
        </x:is>
      </x:c>
      <x:c r="D34" s="2" t="inlineStr">
        <x:is>
          <x:t xml:space="preserve">Large</x:t>
        </x:is>
      </x:c>
      <x:c r="E34" s="2" t="inlineStr">
        <x:is>
          <x:t xml:space="preserve">Chaotic Good</x:t>
        </x:is>
      </x:c>
      <x:c r="F34" s="2" t="inlineStr">
        <x:is>
          <x:t xml:space="preserve">6</x:t>
        </x:is>
      </x:c>
      <x:c r="G34" s="2" t="inlineStr">
        <x:is>
          <x:t xml:space="preserve">2300</x:t>
        </x:is>
      </x:c>
      <x:c r="H34" s="2" t="inlineStr">
        <x:is>
          <x:t xml:space="preserve">17</x:t>
        </x:is>
      </x:c>
      <x:c r="I34" s="2" t="inlineStr">
        <x:is>
          <x:t xml:space="preserve">110</x:t>
        </x:is>
      </x:c>
      <x:c r="J34" s="2" t="inlineStr">
        <x:is>
          <x:t xml:space="preserve">40 ft., Burrow 20 ft., Fly 80 ft.</x:t>
        </x:is>
      </x:c>
      <x:c r="K34" s="2" t="inlineStr">
        <x:is>
          <x:t xml:space="preserve">3</x:t>
        </x:is>
      </x:c>
      <x:c r="L34" s="2" t="inlineStr">
        <x:is>
          <x:t xml:space="preserve">16</x:t>
        </x:is>
      </x:c>
      <x:c r="M34" s="2" t="inlineStr">
        <x:is>
          <x:t xml:space="preserve">14</x:t>
        </x:is>
      </x:c>
      <x:c r="N34" s="2" t="inlineStr">
        <x:is>
          <x:t xml:space="preserve">7</x:t>
        </x:is>
      </x:c>
      <x:c r="O34" s="2" t="inlineStr">
        <x:is>
          <x:t xml:space="preserve">3</x:t>
        </x:is>
      </x:c>
      <x:c r="P34" s="2" t="inlineStr">
        <x:is>
          <x:t xml:space="preserve">19</x:t>
        </x:is>
      </x:c>
      <x:c r="Q34" s="2" t="inlineStr">
        <x:is>
          <x:t xml:space="preserve">10</x:t>
        </x:is>
      </x:c>
      <x:c r="R34" s="2" t="inlineStr">
        <x:is>
          <x:t xml:space="preserve">17</x:t>
        </x:is>
      </x:c>
      <x:c r="S34" s="2" t="inlineStr">
        <x:is>
          <x:t xml:space="preserve">12</x:t>
        </x:is>
      </x:c>
      <x:c r="T34" s="2" t="inlineStr">
        <x:is>
          <x:t xml:space="preserve">11</x:t>
        </x:is>
      </x:c>
      <x:c r="U34" s="2" t="inlineStr">
        <x:is>
          <x:t xml:space="preserve">15</x:t>
        </x:is>
      </x:c>
      <x:c r="V34" s="2" t="inlineStr">
        <x:is>
          <x:t xml:space="preserve">DEX +3, WIS +3</x:t>
        </x:is>
      </x:c>
      <x:c r="W34" s="2" t="inlineStr">
        <x:is>
          <x:t xml:space="preserve">Perception +6, Persuasion +5, Stealth +3</x:t>
        </x:is>
      </x:c>
      <x:c r="X34" s="2" t="inlineStr">
        <x:is>
          <x:t xml:space="preserve">Blindsight 30 ft., Darkvision 120 ft.; Passive Perception 16</x:t>
        </x:is>
      </x:c>
      <x:c r="Y34" s="2" t="inlineStr">
        <x:is>
          <x:t xml:space="preserve">Common, Draconic</x:t>
        </x:is>
      </x:c>
      <x:c r="Z34" s="2" t="n"/>
      <x:c r="AA34" s="2" t="inlineStr">
        <x:is>
          <x:t xml:space="preserve">Multiattack. The dragon makes three Rend attacks. It can replace two attacks with a use of Sleep Breath. Rend. Melee Attack Roll: +7, reach 10 ft. Hit: 15 (2d10 + 4) Slashing damage. Fire Breath (Recharge 5-6). Dexterity Saving Throw: DC 14, each creature in a 40-foot-long, 5-foot- wide Line. Failure: 38 (11d6) Fire damage. Success: Half damage. Sleep Breath. Constitution Saving Throw: DC 14, each creature in a 30-foot Cone. Failure: The target has the Incapacitated condition until the end of its next turn, at which point it repeats the save. Second Failure: The target has the Unconscious condition for 1 minute. This effect ends for the target if it takes damage or a creature within 5 feet of it takes an action to wake it.</x:t>
        </x:is>
      </x:c>
      <x:c r="AB34" s="2" t="n"/>
      <x:c r="AC34" s="2" t="n"/>
      <x:c r="AD34" s="2" t="n"/>
      <x:c r="AE34" s="2" t="n"/>
      <x:c r="AF34" s="2" t="inlineStr">
        <x:is>
          <x:t xml:space="preserve">Imported from SRD 5.2.1 p. 268 Index of Stat Blocks</x:t>
        </x:is>
      </x:c>
      <x:c r="AG34" s="2" t="inlineStr">
        <x:is>
          <x:t xml:space="preserve">https://www.dndbeyond.com/srd</x:t>
        </x:is>
      </x:c>
    </x:row>
    <x:row r="35" ht="18" customHeight="1">
      <x:c r="A35" s="2" t="inlineStr">
        <x:is>
          <x:t xml:space="preserve">Adult Brass Dragon</x:t>
        </x:is>
      </x:c>
      <x:c r="B35" s="2" t="inlineStr">
        <x:is>
          <x:t xml:space="preserve">SRD 5.2.1</x:t>
        </x:is>
      </x:c>
      <x:c r="C35" s="2" t="inlineStr">
        <x:is>
          <x:t xml:space="preserve">Dragon (Metallic)</x:t>
        </x:is>
      </x:c>
      <x:c r="D35" s="2" t="inlineStr">
        <x:is>
          <x:t xml:space="preserve">Huge</x:t>
        </x:is>
      </x:c>
      <x:c r="E35" s="2" t="inlineStr">
        <x:is>
          <x:t xml:space="preserve">Chaotic Good</x:t>
        </x:is>
      </x:c>
      <x:c r="F35" s="2" t="inlineStr">
        <x:is>
          <x:t xml:space="preserve">13</x:t>
        </x:is>
      </x:c>
      <x:c r="G35" s="2" t="inlineStr">
        <x:is>
          <x:t xml:space="preserve">10000</x:t>
        </x:is>
      </x:c>
      <x:c r="H35" s="2" t="inlineStr">
        <x:is>
          <x:t xml:space="preserve">18</x:t>
        </x:is>
      </x:c>
      <x:c r="I35" s="2" t="inlineStr">
        <x:is>
          <x:t xml:space="preserve">172</x:t>
        </x:is>
      </x:c>
      <x:c r="J35" s="2" t="inlineStr">
        <x:is>
          <x:t xml:space="preserve">40 ft., Burrow 30 ft., Fly 80 ft.</x:t>
        </x:is>
      </x:c>
      <x:c r="K35" s="2" t="inlineStr">
        <x:is>
          <x:t xml:space="preserve">5</x:t>
        </x:is>
      </x:c>
      <x:c r="L35" s="2" t="inlineStr">
        <x:is>
          <x:t xml:space="preserve">21</x:t>
        </x:is>
      </x:c>
      <x:c r="M35" s="2" t="inlineStr">
        <x:is>
          <x:t xml:space="preserve">18</x:t>
        </x:is>
      </x:c>
      <x:c r="N35" s="2" t="inlineStr">
        <x:is>
          <x:t xml:space="preserve">11</x:t>
        </x:is>
      </x:c>
      <x:c r="O35" s="2" t="inlineStr">
        <x:is>
          <x:t xml:space="preserve">10</x:t>
        </x:is>
      </x:c>
      <x:c r="P35" s="2" t="inlineStr">
        <x:is>
          <x:t xml:space="preserve">23</x:t>
        </x:is>
      </x:c>
      <x:c r="Q35" s="2" t="inlineStr">
        <x:is>
          <x:t xml:space="preserve">10</x:t>
        </x:is>
      </x:c>
      <x:c r="R35" s="2" t="inlineStr">
        <x:is>
          <x:t xml:space="preserve">21</x:t>
        </x:is>
      </x:c>
      <x:c r="S35" s="2" t="inlineStr">
        <x:is>
          <x:t xml:space="preserve">14</x:t>
        </x:is>
      </x:c>
      <x:c r="T35" s="2" t="inlineStr">
        <x:is>
          <x:t xml:space="preserve">13</x:t>
        </x:is>
      </x:c>
      <x:c r="U35" s="2" t="inlineStr">
        <x:is>
          <x:t xml:space="preserve">17</x:t>
        </x:is>
      </x:c>
      <x:c r="V35" s="2" t="inlineStr">
        <x:is>
          <x:t xml:space="preserve">DEX +5, WIS +6</x:t>
        </x:is>
      </x:c>
      <x:c r="W35" s="2" t="inlineStr">
        <x:is>
          <x:t xml:space="preserve">History +7, Perception +11, Persuasion +8, Stealth +5</x:t>
        </x:is>
      </x:c>
      <x:c r="X35" s="2" t="inlineStr">
        <x:is>
          <x:t xml:space="preserve">Blindsight 60 ft., Darkvision 120 ft.; Passive Perception 21</x:t>
        </x:is>
      </x:c>
      <x:c r="Y35" s="2" t="inlineStr">
        <x:is>
          <x:t xml:space="preserve">Common, Draconic</x:t>
        </x:is>
      </x:c>
      <x:c r="Z35" s="2" t="inlineStr">
        <x:is>
          <x:t xml:space="preserve">Legendary Resistance (3/Day, or 4/Day in Lair). If the dragon fails a saving throw, it can choose to suc- ceed instead.</x:t>
        </x:is>
      </x:c>
      <x:c r="AA35" s="2" t="inlineStr">
        <x:is>
          <x:t xml:space="preserve">Multiattack. The dragon makes three Rend attacks. It can replace one attack with a use of (A) Sleep Breath or (B) Spellcasting to cast Scorching Ray. Rend. Melee Attack Roll: +11, reach 10 ft. Hit: 17 (2d10 + 6) Slashing damage plus 4 (1d8) Fire damage. Fire Breath (Recharge 5-6). Dexterity Saving Throw: DC 18, each creature in a 60-foot-long, 5-foot- wide Line. Failure: 45 (10d8) Fire damage. Success: Half damage. Sleep Breath. Constitution Saving Throw: DC 18, each creature in a 60-foot Cone. Failure: The target has the Incapacitated condition until the end of its next turn, at which point it repeats the save. Second Failure: The tar- get has the Unconscious condition for 10 minutes. This effect ends for the target if it takes damage or a creature within 5 feet of it takes an action to wake it. Spellcasting. The dragon casts one of the following spells, requiring no Material components and using Charisma as the spellcasting ability (spell save DC 16): At Will: Detect Magic, Minor Illusion, Scorching Ray, Shapechange (Beast or Humanoid form only, no Temporary Hit Points gained from the spell, and no Concentration or Temporary Hit Points required to maintain the spell), Speak with Animals 1/Day Each: Detect Thoughts, Control Weather</x:t>
        </x:is>
      </x:c>
      <x:c r="AB35" s="2" t="n"/>
      <x:c r="AC35" s="2" t="n"/>
      <x:c r="AD35" s="2" t="inlineStr">
        <x:is>
          <x:t xml:space="preserve">Legendary Action Uses: 3 (4 in Lair). Immediately after another creature’s turn, the dragon can expend a use to take one of the following actions. The dragon regains all expended uses at the start of each of its turns. Blazing Light. The dragon uses Spellcasting to cast Scorching Ray. Pounce. The dragon moves up to half its Speed, and it makes one Rend attack. Scorching Sands. Dexterity Saving Throw: DC 16, one creature the dragon can see within 120 feet. Failure: 27 (6d8) Fire damage, and the target’s Speed is halved until the end of its next turn. Failure or Success: The dragon can’t take this action again until the start of its next turn.</x:t>
        </x:is>
      </x:c>
      <x:c r="AE35" s="2" t="inlineStr">
        <x:is>
          <x:t xml:space="preserve">Includes Spellcasting; see Traits/Actions text</x:t>
        </x:is>
      </x:c>
      <x:c r="AF35" s="2" t="inlineStr">
        <x:is>
          <x:t xml:space="preserve">Imported from SRD 5.2.1 p. 268 Index of Stat Blocks</x:t>
        </x:is>
      </x:c>
      <x:c r="AG35" s="2" t="inlineStr">
        <x:is>
          <x:t xml:space="preserve">https://www.dndbeyond.com/srd</x:t>
        </x:is>
      </x:c>
    </x:row>
    <x:row r="36" ht="18" customHeight="1">
      <x:c r="A36" s="2" t="inlineStr">
        <x:is>
          <x:t xml:space="preserve">Ancient Brass Dragon</x:t>
        </x:is>
      </x:c>
      <x:c r="B36" s="2" t="inlineStr">
        <x:is>
          <x:t xml:space="preserve">SRD 5.2.1</x:t>
        </x:is>
      </x:c>
      <x:c r="C36" s="2" t="inlineStr">
        <x:is>
          <x:t xml:space="preserve">Dragon (Metallic)</x:t>
        </x:is>
      </x:c>
      <x:c r="D36" s="2" t="inlineStr">
        <x:is>
          <x:t xml:space="preserve">Gargantuan</x:t>
        </x:is>
      </x:c>
      <x:c r="E36" s="2" t="inlineStr">
        <x:is>
          <x:t xml:space="preserve">Chaotic Good</x:t>
        </x:is>
      </x:c>
      <x:c r="F36" s="2" t="inlineStr">
        <x:is>
          <x:t xml:space="preserve">20</x:t>
        </x:is>
      </x:c>
      <x:c r="G36" s="2" t="inlineStr">
        <x:is>
          <x:t xml:space="preserve">25000</x:t>
        </x:is>
      </x:c>
      <x:c r="H36" s="2" t="inlineStr">
        <x:is>
          <x:t xml:space="preserve">20</x:t>
        </x:is>
      </x:c>
      <x:c r="I36" s="2" t="inlineStr">
        <x:is>
          <x:t xml:space="preserve">332</x:t>
        </x:is>
      </x:c>
      <x:c r="J36" s="2" t="inlineStr">
        <x:is>
          <x:t xml:space="preserve">40 ft., Burrow 40 ft., Fly 80 ft.</x:t>
        </x:is>
      </x:c>
      <x:c r="K36" s="2" t="inlineStr">
        <x:is>
          <x:t xml:space="preserve">6</x:t>
        </x:is>
      </x:c>
      <x:c r="L36" s="2" t="inlineStr">
        <x:is>
          <x:t xml:space="preserve">24</x:t>
        </x:is>
      </x:c>
      <x:c r="M36" s="2" t="inlineStr">
        <x:is>
          <x:t xml:space="preserve">21</x:t>
        </x:is>
      </x:c>
      <x:c r="N36" s="2" t="inlineStr">
        <x:is>
          <x:t xml:space="preserve">14</x:t>
        </x:is>
      </x:c>
      <x:c r="O36" s="2" t="inlineStr">
        <x:is>
          <x:t xml:space="preserve">12</x:t>
        </x:is>
      </x:c>
      <x:c r="P36" s="2" t="inlineStr">
        <x:is>
          <x:t xml:space="preserve">27</x:t>
        </x:is>
      </x:c>
      <x:c r="Q36" s="2" t="inlineStr">
        <x:is>
          <x:t xml:space="preserve">10</x:t>
        </x:is>
      </x:c>
      <x:c r="R36" s="2" t="inlineStr">
        <x:is>
          <x:t xml:space="preserve">25</x:t>
        </x:is>
      </x:c>
      <x:c r="S36" s="2" t="inlineStr">
        <x:is>
          <x:t xml:space="preserve">16</x:t>
        </x:is>
      </x:c>
      <x:c r="T36" s="2" t="inlineStr">
        <x:is>
          <x:t xml:space="preserve">15</x:t>
        </x:is>
      </x:c>
      <x:c r="U36" s="2" t="inlineStr">
        <x:is>
          <x:t xml:space="preserve">22</x:t>
        </x:is>
      </x:c>
      <x:c r="V36" s="2" t="inlineStr">
        <x:is>
          <x:t xml:space="preserve">DEX +6, WIS +8</x:t>
        </x:is>
      </x:c>
      <x:c r="W36" s="2" t="inlineStr">
        <x:is>
          <x:t xml:space="preserve">History +9, Perception +14, Persuasion +12, Stealth +6</x:t>
        </x:is>
      </x:c>
      <x:c r="X36" s="2" t="inlineStr">
        <x:is>
          <x:t xml:space="preserve">Blindsight 60 ft., Darkvision 120 ft.; Passive Perception 24</x:t>
        </x:is>
      </x:c>
      <x:c r="Y36" s="2" t="inlineStr">
        <x:is>
          <x:t xml:space="preserve">Common, Draconic</x:t>
        </x:is>
      </x:c>
      <x:c r="Z36" s="2" t="inlineStr">
        <x:is>
          <x:t xml:space="preserve">Legendary Resistance (4/Day, or 5/Day in Lair). If the dragon fails a saving throw, it can choose to suc- ceed instead.</x:t>
        </x:is>
      </x:c>
      <x:c r="AA36" s="2" t="inlineStr">
        <x:is>
          <x:t xml:space="preserve">Multiattack. The dragon makes three Rend attacks. It can replace one attack with a use of (A) Sleep Breath or (B) Spellcasting to cast Scorching Ray (level 3 version). Rend. Melee Attack Roll: +14, reach 15 ft. Hit: 19 (2d10 + 8) Slashing damage plus 7 (2d6) Fire damage. Fire Breath (Recharge 5-6). Dexterity Saving Throw: DC 21, each creature in a 90-foot-long, 5-foot- wide Line. Failure: 58 (13d8) Fire damage. Success: Half damage. Sleep Breath. Constitution Saving Throw: DC 21, each creature in a 90-foot Cone. Failure: The target has the Incapacitated condition until the end of its next turn, at which point it repeats the save. Second Failure: The tar- get has the Unconscious condition for 10 minutes. This effect ends for the target if it takes damage or a creature within 5 feet of it takes an action to wake it. Spellcasting. The dragon casts one of the following spells, requiring no Material components and using Charisma as the spellcasting ability (spell save DC 20): At Will: Detect Magic, Minor Illusion, Scorching Ray (level 3 version), Shapechange (Beast or Humanoid form only, no Temporary Hit Points gained from the spell, and no Concentration or Temporary Hit Points required to maintain the spell), Speak with Animals 1/Day Each: Control Weather, Detect Thoughts</x:t>
        </x:is>
      </x:c>
      <x:c r="AB36" s="2" t="n"/>
      <x:c r="AC36" s="2" t="n"/>
      <x:c r="AD36" s="2" t="inlineStr">
        <x:is>
          <x:t xml:space="preserve">Legendary Action Uses: 3 (4 in Lair). Immediately after another creature’s turn, the dragon can expend a use to take one of the following actions. The dragon regains all expended uses at the start of each of its turns. Blazing Light. The dragon uses Spellcasting to cast Scorching Ray (level 3 version). Pounce. The dragon moves up to half its Speed, and it makes one Rend attack. Scorching Sands. Dexterity Saving Throw: DC 20, one creature the dragon can see within 120 feet. Failure: 36 (8d8) Fire damage, and the target’s Speed is halved until the end of its next turn. Failure or Success: The dragon can’t take this action again until the start of its next turn. Bronze Dragons</x:t>
        </x:is>
      </x:c>
      <x:c r="AE36" s="2" t="inlineStr">
        <x:is>
          <x:t xml:space="preserve">Includes Spellcasting; see Traits/Actions text</x:t>
        </x:is>
      </x:c>
      <x:c r="AF36" s="2" t="inlineStr">
        <x:is>
          <x:t xml:space="preserve">Imported from SRD 5.2.1 p. 269 Index of Stat Blocks</x:t>
        </x:is>
      </x:c>
      <x:c r="AG36" s="2" t="inlineStr">
        <x:is>
          <x:t xml:space="preserve">https://www.dndbeyond.com/srd</x:t>
        </x:is>
      </x:c>
    </x:row>
    <x:row r="37" ht="18" customHeight="1">
      <x:c r="A37" s="2" t="inlineStr">
        <x:is>
          <x:t xml:space="preserve">Bronze Dragon Wyrmling</x:t>
        </x:is>
      </x:c>
      <x:c r="B37" s="2" t="inlineStr">
        <x:is>
          <x:t xml:space="preserve">SRD 5.2.1</x:t>
        </x:is>
      </x:c>
      <x:c r="C37" s="2" t="inlineStr">
        <x:is>
          <x:t xml:space="preserve">Dragon (Metallic)</x:t>
        </x:is>
      </x:c>
      <x:c r="D37" s="2" t="inlineStr">
        <x:is>
          <x:t xml:space="preserve">Medium</x:t>
        </x:is>
      </x:c>
      <x:c r="E37" s="2" t="inlineStr">
        <x:is>
          <x:t xml:space="preserve">Lawful Good</x:t>
        </x:is>
      </x:c>
      <x:c r="F37" s="2" t="inlineStr">
        <x:is>
          <x:t xml:space="preserve">2</x:t>
        </x:is>
      </x:c>
      <x:c r="G37" s="2" t="inlineStr">
        <x:is>
          <x:t xml:space="preserve">450</x:t>
        </x:is>
      </x:c>
      <x:c r="H37" s="2" t="inlineStr">
        <x:is>
          <x:t xml:space="preserve">15</x:t>
        </x:is>
      </x:c>
      <x:c r="I37" s="2" t="inlineStr">
        <x:is>
          <x:t xml:space="preserve">39</x:t>
        </x:is>
      </x:c>
      <x:c r="J37" s="2" t="inlineStr">
        <x:is>
          <x:t xml:space="preserve">30 ft., Fly 60 ft., Swim 30 ft.</x:t>
        </x:is>
      </x:c>
      <x:c r="K37" s="2" t="inlineStr">
        <x:is>
          <x:t xml:space="preserve">2</x:t>
        </x:is>
      </x:c>
      <x:c r="L37" s="2" t="inlineStr">
        <x:is>
          <x:t xml:space="preserve">14</x:t>
        </x:is>
      </x:c>
      <x:c r="M37" s="2" t="inlineStr">
        <x:is>
          <x:t xml:space="preserve">12</x:t>
        </x:is>
      </x:c>
      <x:c r="N37" s="2" t="inlineStr">
        <x:is>
          <x:t xml:space="preserve">5</x:t>
        </x:is>
      </x:c>
      <x:c r="O37" s="2" t="inlineStr">
        <x:is>
          <x:t xml:space="preserve">2</x:t>
        </x:is>
      </x:c>
      <x:c r="P37" s="2" t="inlineStr">
        <x:is>
          <x:t xml:space="preserve">17</x:t>
        </x:is>
      </x:c>
      <x:c r="Q37" s="2" t="inlineStr">
        <x:is>
          <x:t xml:space="preserve">10</x:t>
        </x:is>
      </x:c>
      <x:c r="R37" s="2" t="inlineStr">
        <x:is>
          <x:t xml:space="preserve">15</x:t>
        </x:is>
      </x:c>
      <x:c r="S37" s="2" t="inlineStr">
        <x:is>
          <x:t xml:space="preserve">12</x:t>
        </x:is>
      </x:c>
      <x:c r="T37" s="2" t="inlineStr">
        <x:is>
          <x:t xml:space="preserve">11</x:t>
        </x:is>
      </x:c>
      <x:c r="U37" s="2" t="inlineStr">
        <x:is>
          <x:t xml:space="preserve">15</x:t>
        </x:is>
      </x:c>
      <x:c r="V37" s="2" t="inlineStr">
        <x:is>
          <x:t xml:space="preserve">DEX +2, WIS +2</x:t>
        </x:is>
      </x:c>
      <x:c r="W37" s="2" t="inlineStr">
        <x:is>
          <x:t xml:space="preserve">Perception +4, Stealth +2</x:t>
        </x:is>
      </x:c>
      <x:c r="X37" s="2" t="inlineStr">
        <x:is>
          <x:t xml:space="preserve">Blindsight 10 ft., Darkvision 60 ft.; Passive Perception 14</x:t>
        </x:is>
      </x:c>
      <x:c r="Y37" s="2" t="inlineStr">
        <x:is>
          <x:t xml:space="preserve">Draconic</x:t>
        </x:is>
      </x:c>
      <x:c r="Z37" s="2" t="inlineStr">
        <x:is>
          <x:t xml:space="preserve">Amphibious. The dragon can breathe air and water.</x:t>
        </x:is>
      </x:c>
      <x:c r="AA37" s="2" t="inlineStr">
        <x:is>
          <x:t xml:space="preserve">Multiattack. The dragon makes two Rend attacks. Rend. Melee Attack Roll: +5, reach 5 ft. Hit: 8 (1d10 + 3) Slashing damage. Lightning Breath (Recharge 5-6). Dexterity Saving Throw: DC 12, each creature in a 40-foot-long, 5-foot- wide Line. Failure: 16 (3d10) Lightning damage. Suc- cess: Half damage. Repulsion Breath. Strength Saving Throw: DC 12, each creature in a 30-foot Cone. Failure: The target is pushed up to 30 feet straight away from the dragon and has the Prone condition.</x:t>
        </x:is>
      </x:c>
      <x:c r="AB37" s="2" t="n"/>
      <x:c r="AC37" s="2" t="n"/>
      <x:c r="AD37" s="2" t="n"/>
      <x:c r="AE37" s="2" t="n"/>
      <x:c r="AF37" s="2" t="inlineStr">
        <x:is>
          <x:t xml:space="preserve">Imported from SRD 5.2.1 p. 269 Index of Stat Blocks</x:t>
        </x:is>
      </x:c>
      <x:c r="AG37" s="2" t="inlineStr">
        <x:is>
          <x:t xml:space="preserve">https://www.dndbeyond.com/srd</x:t>
        </x:is>
      </x:c>
    </x:row>
    <x:row r="38" ht="18" customHeight="1">
      <x:c r="A38" s="2" t="inlineStr">
        <x:is>
          <x:t xml:space="preserve">Young Bronze Dragon</x:t>
        </x:is>
      </x:c>
      <x:c r="B38" s="2" t="inlineStr">
        <x:is>
          <x:t xml:space="preserve">SRD 5.2.1</x:t>
        </x:is>
      </x:c>
      <x:c r="C38" s="2" t="inlineStr">
        <x:is>
          <x:t xml:space="preserve">Dragon (Metallic)</x:t>
        </x:is>
      </x:c>
      <x:c r="D38" s="2" t="inlineStr">
        <x:is>
          <x:t xml:space="preserve">Large</x:t>
        </x:is>
      </x:c>
      <x:c r="E38" s="2" t="inlineStr">
        <x:is>
          <x:t xml:space="preserve">Lawful Good</x:t>
        </x:is>
      </x:c>
      <x:c r="F38" s="2" t="inlineStr">
        <x:is>
          <x:t xml:space="preserve">8</x:t>
        </x:is>
      </x:c>
      <x:c r="G38" s="2" t="inlineStr">
        <x:is>
          <x:t xml:space="preserve">3900</x:t>
        </x:is>
      </x:c>
      <x:c r="H38" s="2" t="inlineStr">
        <x:is>
          <x:t xml:space="preserve">17</x:t>
        </x:is>
      </x:c>
      <x:c r="I38" s="2" t="inlineStr">
        <x:is>
          <x:t xml:space="preserve">142</x:t>
        </x:is>
      </x:c>
      <x:c r="J38" s="2" t="inlineStr">
        <x:is>
          <x:t xml:space="preserve">40 ft., Fly 80 ft., Swim 40 ft.</x:t>
        </x:is>
      </x:c>
      <x:c r="K38" s="2" t="inlineStr">
        <x:is>
          <x:t xml:space="preserve">3</x:t>
        </x:is>
      </x:c>
      <x:c r="L38" s="2" t="inlineStr">
        <x:is>
          <x:t xml:space="preserve">17</x:t>
        </x:is>
      </x:c>
      <x:c r="M38" s="2" t="inlineStr">
        <x:is>
          <x:t xml:space="preserve">15</x:t>
        </x:is>
      </x:c>
      <x:c r="N38" s="2" t="inlineStr">
        <x:is>
          <x:t xml:space="preserve">8</x:t>
        </x:is>
      </x:c>
      <x:c r="O38" s="2" t="inlineStr">
        <x:is>
          <x:t xml:space="preserve">3</x:t>
        </x:is>
      </x:c>
      <x:c r="P38" s="2" t="inlineStr">
        <x:is>
          <x:t xml:space="preserve">21</x:t>
        </x:is>
      </x:c>
      <x:c r="Q38" s="2" t="inlineStr">
        <x:is>
          <x:t xml:space="preserve">10</x:t>
        </x:is>
      </x:c>
      <x:c r="R38" s="2" t="inlineStr">
        <x:is>
          <x:t xml:space="preserve">19</x:t>
        </x:is>
      </x:c>
      <x:c r="S38" s="2" t="inlineStr">
        <x:is>
          <x:t xml:space="preserve">14</x:t>
        </x:is>
      </x:c>
      <x:c r="T38" s="2" t="inlineStr">
        <x:is>
          <x:t xml:space="preserve">13</x:t>
        </x:is>
      </x:c>
      <x:c r="U38" s="2" t="inlineStr">
        <x:is>
          <x:t xml:space="preserve">17</x:t>
        </x:is>
      </x:c>
      <x:c r="V38" s="2" t="inlineStr">
        <x:is>
          <x:t xml:space="preserve">DEX +3, WIS +4</x:t>
        </x:is>
      </x:c>
      <x:c r="W38" s="2" t="inlineStr">
        <x:is>
          <x:t xml:space="preserve">Insight +4, Perception +7, Stealth +3</x:t>
        </x:is>
      </x:c>
      <x:c r="X38" s="2" t="inlineStr">
        <x:is>
          <x:t xml:space="preserve">Blindsight 30 ft., Darkvision 120 ft.; Passive Perception 17</x:t>
        </x:is>
      </x:c>
      <x:c r="Y38" s="2" t="inlineStr">
        <x:is>
          <x:t xml:space="preserve">Common, Draconic</x:t>
        </x:is>
      </x:c>
      <x:c r="Z38" s="2" t="inlineStr">
        <x:is>
          <x:t xml:space="preserve">Amphibious. The dragon can breathe air and water.</x:t>
        </x:is>
      </x:c>
      <x:c r="AA38" s="2" t="inlineStr">
        <x:is>
          <x:t xml:space="preserve">Multiattack. The dragon makes three Rend attacks. It can replace one attack with a use of Repulsion Breath. Rend. Melee Attack Roll: +8, reach 10 ft. Hit: 16 (2d10 + 5) Slashing damage. Lightning Breath (Recharge 5-6). Dexterity Saving Throw: DC 15, each creature in a 60-foot-long, 5-foot- wide Line. Failure: 49 (9d10) Lightning damage. Suc- cess: Half damage. Repulsion Breath. Strength Saving Throw: DC 15, each creature in a 30-foot Cone. Failure: The target is pushed up to 40 feet straight away from the dragon and has the Prone condition.</x:t>
        </x:is>
      </x:c>
      <x:c r="AB38" s="2" t="n"/>
      <x:c r="AC38" s="2" t="n"/>
      <x:c r="AD38" s="2" t="n"/>
      <x:c r="AE38" s="2" t="n"/>
      <x:c r="AF38" s="2" t="inlineStr">
        <x:is>
          <x:t xml:space="preserve">Imported from SRD 5.2.1 p. 270 Index of Stat Blocks</x:t>
        </x:is>
      </x:c>
      <x:c r="AG38" s="2" t="inlineStr">
        <x:is>
          <x:t xml:space="preserve">https://www.dndbeyond.com/srd</x:t>
        </x:is>
      </x:c>
    </x:row>
    <x:row r="39" ht="18" customHeight="1">
      <x:c r="A39" s="2" t="inlineStr">
        <x:is>
          <x:t xml:space="preserve">Adult Bronze Dragon</x:t>
        </x:is>
      </x:c>
      <x:c r="B39" s="2" t="inlineStr">
        <x:is>
          <x:t xml:space="preserve">SRD 5.2.1</x:t>
        </x:is>
      </x:c>
      <x:c r="C39" s="2" t="inlineStr">
        <x:is>
          <x:t xml:space="preserve">Dragon (Metallic)</x:t>
        </x:is>
      </x:c>
      <x:c r="D39" s="2" t="inlineStr">
        <x:is>
          <x:t xml:space="preserve">Huge</x:t>
        </x:is>
      </x:c>
      <x:c r="E39" s="2" t="inlineStr">
        <x:is>
          <x:t xml:space="preserve">Lawful Good</x:t>
        </x:is>
      </x:c>
      <x:c r="F39" s="2" t="inlineStr">
        <x:is>
          <x:t xml:space="preserve">15</x:t>
        </x:is>
      </x:c>
      <x:c r="G39" s="2" t="inlineStr">
        <x:is>
          <x:t xml:space="preserve">13000</x:t>
        </x:is>
      </x:c>
      <x:c r="H39" s="2" t="inlineStr">
        <x:is>
          <x:t xml:space="preserve">18</x:t>
        </x:is>
      </x:c>
      <x:c r="I39" s="2" t="inlineStr">
        <x:is>
          <x:t xml:space="preserve">212</x:t>
        </x:is>
      </x:c>
      <x:c r="J39" s="2" t="inlineStr">
        <x:is>
          <x:t xml:space="preserve">40 ft., Fly 80 ft., Swim 40 ft.</x:t>
        </x:is>
      </x:c>
      <x:c r="K39" s="2" t="inlineStr">
        <x:is>
          <x:t xml:space="preserve">5</x:t>
        </x:is>
      </x:c>
      <x:c r="L39" s="2" t="inlineStr">
        <x:is>
          <x:t xml:space="preserve">22</x:t>
        </x:is>
      </x:c>
      <x:c r="M39" s="2" t="inlineStr">
        <x:is>
          <x:t xml:space="preserve">19</x:t>
        </x:is>
      </x:c>
      <x:c r="N39" s="2" t="inlineStr">
        <x:is>
          <x:t xml:space="preserve">12</x:t>
        </x:is>
      </x:c>
      <x:c r="O39" s="2" t="inlineStr">
        <x:is>
          <x:t xml:space="preserve">10</x:t>
        </x:is>
      </x:c>
      <x:c r="P39" s="2" t="inlineStr">
        <x:is>
          <x:t xml:space="preserve">25</x:t>
        </x:is>
      </x:c>
      <x:c r="Q39" s="2" t="inlineStr">
        <x:is>
          <x:t xml:space="preserve">10</x:t>
        </x:is>
      </x:c>
      <x:c r="R39" s="2" t="inlineStr">
        <x:is>
          <x:t xml:space="preserve">23</x:t>
        </x:is>
      </x:c>
      <x:c r="S39" s="2" t="inlineStr">
        <x:is>
          <x:t xml:space="preserve">16</x:t>
        </x:is>
      </x:c>
      <x:c r="T39" s="2" t="inlineStr">
        <x:is>
          <x:t xml:space="preserve">15</x:t>
        </x:is>
      </x:c>
      <x:c r="U39" s="2" t="inlineStr">
        <x:is>
          <x:t xml:space="preserve">20</x:t>
        </x:is>
      </x:c>
      <x:c r="V39" s="2" t="inlineStr">
        <x:is>
          <x:t xml:space="preserve">DEX +5, WIS +7</x:t>
        </x:is>
      </x:c>
      <x:c r="W39" s="2" t="inlineStr">
        <x:is>
          <x:t xml:space="preserve">Insight +7, Perception +12, Stealth +5</x:t>
        </x:is>
      </x:c>
      <x:c r="X39" s="2" t="inlineStr">
        <x:is>
          <x:t xml:space="preserve">Blindsight 60 ft., Darkvision 120 ft.; Passive Perception 22</x:t>
        </x:is>
      </x:c>
      <x:c r="Y39" s="2" t="inlineStr">
        <x:is>
          <x:t xml:space="preserve">Common, Draconic</x:t>
        </x:is>
      </x:c>
      <x:c r="Z39" s="2" t="inlineStr">
        <x:is>
          <x:t xml:space="preserve">Amphibious. The dragon can breathe air and water. Legendary Resistance (3/Day, or 4/Day in Lair). If the dragon fails a saving throw, it can choose to suc- ceed instead.</x:t>
        </x:is>
      </x:c>
      <x:c r="AA39" s="2" t="inlineStr">
        <x:is>
          <x:t xml:space="preserve">Multiattack. The dragon makes three Rend attacks. It can replace one attack with a use of (A) Repulsion Breath or (B) Spellcasting to cast Guiding Bolt (level 2 version). Rend. Melee Attack Roll: +12, reach 10 ft. Hit: 16 (2d8 + 7) Slashing damage plus 5 (1d10) Lightning damage. Lightning Breath (Recharge 5-6). Dexterity Saving Throw: DC 19, each creature in a 90-foot-long, 5-foot- wide Line. Failure: 55 (10d10) Lightning damage. Suc- cess: Half damage. Repulsion Breath. Strength Saving Throw: DC 19, each creature in a 30-foot Cone. Failure: The target is pushed up to 60 feet straight away from the dragon and has the Prone condition. Spellcasting. The dragon casts one of the following spells, requiring no Material components and using Charisma as the spellcasting ability (spell save DC 17, +10 to hit with spell attacks): At Will: Detect Magic, Guiding Bolt (level 2 version), Shapechange (Beast or Humanoid form only, no Temporary Hit Points gained from the spell, and no Concentration or Temporary Hit Points required to maintain the spell), Speak with Animals, Thaumaturgy 1/Day Each: Detect Thoughts, Water Breathing</x:t>
        </x:is>
      </x:c>
      <x:c r="AB39" s="2" t="n"/>
      <x:c r="AC39" s="2" t="n"/>
      <x:c r="AD39" s="2" t="inlineStr">
        <x:is>
          <x:t xml:space="preserve">Legendary Action Uses: 3 (4 in Lair). Immediately after another creature’s turn, the dragon can expend a use to take one of the following actions. The dragon regains all expended uses at the start of each of its turns. Guiding Light. The dragon uses Spellcasting to cast Guiding Bolt (level 2 version). Pounce. The dragon moves up to half its Speed, and it makes one Rend attack. Thunderclap. Constitution Saving Throw: DC 17, each creature in a 20-foot-radius Sphere centered on a point the dragon can see within 90 feet. Failure: 10 (3d6) Thunder damage, and the target has the Deafened con- dition until the end of its next turn.</x:t>
        </x:is>
      </x:c>
      <x:c r="AE39" s="2" t="inlineStr">
        <x:is>
          <x:t xml:space="preserve">Includes Spellcasting; see Traits/Actions text</x:t>
        </x:is>
      </x:c>
      <x:c r="AF39" s="2" t="inlineStr">
        <x:is>
          <x:t xml:space="preserve">Imported from SRD 5.2.1 p. 270 Index of Stat Blocks</x:t>
        </x:is>
      </x:c>
      <x:c r="AG39" s="2" t="inlineStr">
        <x:is>
          <x:t xml:space="preserve">https://www.dndbeyond.com/srd</x:t>
        </x:is>
      </x:c>
    </x:row>
    <x:row r="40" ht="18" customHeight="1">
      <x:c r="A40" s="2" t="inlineStr">
        <x:is>
          <x:t xml:space="preserve">Ancient Bronze Dragon</x:t>
        </x:is>
      </x:c>
      <x:c r="B40" s="2" t="inlineStr">
        <x:is>
          <x:t xml:space="preserve">SRD 5.2.1</x:t>
        </x:is>
      </x:c>
      <x:c r="C40" s="2" t="inlineStr">
        <x:is>
          <x:t xml:space="preserve">Dragon (Metallic)</x:t>
        </x:is>
      </x:c>
      <x:c r="D40" s="2" t="inlineStr">
        <x:is>
          <x:t xml:space="preserve">Gargantuan</x:t>
        </x:is>
      </x:c>
      <x:c r="E40" s="2" t="inlineStr">
        <x:is>
          <x:t xml:space="preserve">Lawful Good</x:t>
        </x:is>
      </x:c>
      <x:c r="F40" s="2" t="inlineStr">
        <x:is>
          <x:t xml:space="preserve">22</x:t>
        </x:is>
      </x:c>
      <x:c r="G40" s="2" t="inlineStr">
        <x:is>
          <x:t xml:space="preserve">41000</x:t>
        </x:is>
      </x:c>
      <x:c r="H40" s="2" t="inlineStr">
        <x:is>
          <x:t xml:space="preserve">22</x:t>
        </x:is>
      </x:c>
      <x:c r="I40" s="2" t="inlineStr">
        <x:is>
          <x:t xml:space="preserve">444</x:t>
        </x:is>
      </x:c>
      <x:c r="J40" s="2" t="inlineStr">
        <x:is>
          <x:t xml:space="preserve">40 ft., Fly 80 ft., Swim 40 ft.</x:t>
        </x:is>
      </x:c>
      <x:c r="K40" s="2" t="inlineStr">
        <x:is>
          <x:t xml:space="preserve">7</x:t>
        </x:is>
      </x:c>
      <x:c r="L40" s="2" t="inlineStr">
        <x:is>
          <x:t xml:space="preserve">27</x:t>
        </x:is>
      </x:c>
      <x:c r="M40" s="2" t="inlineStr">
        <x:is>
          <x:t xml:space="preserve">23</x:t>
        </x:is>
      </x:c>
      <x:c r="N40" s="2" t="inlineStr">
        <x:is>
          <x:t xml:space="preserve">16</x:t>
        </x:is>
      </x:c>
      <x:c r="O40" s="2" t="inlineStr">
        <x:is>
          <x:t xml:space="preserve">14</x:t>
        </x:is>
      </x:c>
      <x:c r="P40" s="2" t="inlineStr">
        <x:is>
          <x:t xml:space="preserve">29</x:t>
        </x:is>
      </x:c>
      <x:c r="Q40" s="2" t="inlineStr">
        <x:is>
          <x:t xml:space="preserve">10</x:t>
        </x:is>
      </x:c>
      <x:c r="R40" s="2" t="inlineStr">
        <x:is>
          <x:t xml:space="preserve">27</x:t>
        </x:is>
      </x:c>
      <x:c r="S40" s="2" t="inlineStr">
        <x:is>
          <x:t xml:space="preserve">18</x:t>
        </x:is>
      </x:c>
      <x:c r="T40" s="2" t="inlineStr">
        <x:is>
          <x:t xml:space="preserve">17</x:t>
        </x:is>
      </x:c>
      <x:c r="U40" s="2" t="inlineStr">
        <x:is>
          <x:t xml:space="preserve">25</x:t>
        </x:is>
      </x:c>
      <x:c r="V40" s="2" t="inlineStr">
        <x:is>
          <x:t xml:space="preserve">DEX +7, WIS +10</x:t>
        </x:is>
      </x:c>
      <x:c r="W40" s="2" t="inlineStr">
        <x:is>
          <x:t xml:space="preserve">Insight +10, Perception +17, Stealth +7</x:t>
        </x:is>
      </x:c>
      <x:c r="X40" s="2" t="inlineStr">
        <x:is>
          <x:t xml:space="preserve">Blindsight 60 ft., Darkvision 120 ft.; Passive Perception 27</x:t>
        </x:is>
      </x:c>
      <x:c r="Y40" s="2" t="inlineStr">
        <x:is>
          <x:t xml:space="preserve">Common, Draconic</x:t>
        </x:is>
      </x:c>
      <x:c r="Z40" s="2" t="inlineStr">
        <x:is>
          <x:t xml:space="preserve">Amphibious. The dragon can breathe air and water. Legendary Resistance (4/Day, or 5/Day in Lair). If the dragon fails a saving throw, it can choose to suc- ceed instead.</x:t>
        </x:is>
      </x:c>
      <x:c r="AA40" s="2" t="inlineStr">
        <x:is>
          <x:t xml:space="preserve">Multiattack. The dragon makes three Rend attacks. It can replace one attack with a use of (A) Repulsion Breath or (B) Spellcasting to cast Guiding Bolt (level 2 version). Rend. Melee Attack Roll: +16, reach 15 ft. Hit: 18 (2d8 + 9) Slashing damage plus 9 (2d8) Lightning damage. Lightning Breath (Recharge 5-6). Dexterity Saving Throw: DC 23, each creature in a 120-foot-long, 10-foot-wide Line. Failure: 82 (15d10) Lightning dam- age. Success: Half damage. Repulsion Breath. Strength Saving Throw: DC 23, each creature in a 30-foot Cone. Failure: The target is pushed up to 60 feet straight away from the dragon and has the Prone condition. Spellcasting. The dragon casts one of the following spells, requiring no Material components and using Charisma as the spellcasting ability (spell save DC 22, +14 to hit with spell attacks): At Will: Detect Magic, Guiding Bolt (level 2 version), Shapechange (Beast or Humanoid form only, no Temporary Hit Points gained from the spell, and no Concentration or Temporary Hit Points required to maintain the spell), Speak with Animals, Thaumaturgy 1/Day Each: Detect Thoughts, Control Water, Scrying, Water Breathing</x:t>
        </x:is>
      </x:c>
      <x:c r="AB40" s="2" t="n"/>
      <x:c r="AC40" s="2" t="n"/>
      <x:c r="AD40" s="2" t="inlineStr">
        <x:is>
          <x:t xml:space="preserve">Legendary Action Uses: 3 (4 in Lair). Immediately after another creature’s turn, the dragon can expend a use to take one of the following actions. The dragon regains all expended uses at the start of each of its turns. Guiding Light. The dragon uses Spellcasting to cast Guiding Bolt (level 2 version). Pounce. The dragon moves up to half its Speed, and it makes one Rend attack. Thunderclap. Constitution Saving Throw: DC 22, each creature in a 20-foot-radius Sphere centered on a point the dragon can see within 120 feet. Failure: 13 (3d8) Thunder damage, and the target has the Deafened con- dition until the end of its next turn. Bugbears</x:t>
        </x:is>
      </x:c>
      <x:c r="AE40" s="2" t="inlineStr">
        <x:is>
          <x:t xml:space="preserve">Includes Spellcasting; see Traits/Actions text</x:t>
        </x:is>
      </x:c>
      <x:c r="AF40" s="2" t="inlineStr">
        <x:is>
          <x:t xml:space="preserve">Imported from SRD 5.2.1 p. 271 Index of Stat Blocks</x:t>
        </x:is>
      </x:c>
      <x:c r="AG40" s="2" t="inlineStr">
        <x:is>
          <x:t xml:space="preserve">https://www.dndbeyond.com/srd</x:t>
        </x:is>
      </x:c>
    </x:row>
    <x:row r="41" ht="18" customHeight="1">
      <x:c r="A41" s="2" t="inlineStr">
        <x:is>
          <x:t xml:space="preserve">Bugbear Stalker</x:t>
        </x:is>
      </x:c>
      <x:c r="B41" s="2" t="inlineStr">
        <x:is>
          <x:t xml:space="preserve">SRD 5.2.1</x:t>
        </x:is>
      </x:c>
      <x:c r="C41" s="2" t="inlineStr">
        <x:is>
          <x:t xml:space="preserve">Fey (Goblinoid)</x:t>
        </x:is>
      </x:c>
      <x:c r="D41" s="2" t="inlineStr">
        <x:is>
          <x:t xml:space="preserve">Medium</x:t>
        </x:is>
      </x:c>
      <x:c r="E41" s="2" t="inlineStr">
        <x:is>
          <x:t xml:space="preserve">Chaotic Evil</x:t>
        </x:is>
      </x:c>
      <x:c r="F41" s="2" t="inlineStr">
        <x:is>
          <x:t xml:space="preserve">3</x:t>
        </x:is>
      </x:c>
      <x:c r="G41" s="2" t="inlineStr">
        <x:is>
          <x:t xml:space="preserve">700</x:t>
        </x:is>
      </x:c>
      <x:c r="H41" s="2" t="inlineStr">
        <x:is>
          <x:t xml:space="preserve">15</x:t>
        </x:is>
      </x:c>
      <x:c r="I41" s="2" t="inlineStr">
        <x:is>
          <x:t xml:space="preserve">65</x:t>
        </x:is>
      </x:c>
      <x:c r="J41" s="2" t="inlineStr">
        <x:is>
          <x:t xml:space="preserve">30 ft.</x:t>
        </x:is>
      </x:c>
      <x:c r="K41" s="2" t="inlineStr">
        <x:is>
          <x:t xml:space="preserve">2</x:t>
        </x:is>
      </x:c>
      <x:c r="L41" s="2" t="inlineStr">
        <x:is>
          <x:t xml:space="preserve">11</x:t>
        </x:is>
      </x:c>
      <x:c r="M41" s="2" t="inlineStr">
        <x:is>
          <x:t xml:space="preserve">13</x:t>
        </x:is>
      </x:c>
      <x:c r="N41" s="2" t="inlineStr">
        <x:is>
          <x:t xml:space="preserve">5</x:t>
        </x:is>
      </x:c>
      <x:c r="O41" s="2" t="inlineStr">
        <x:is>
          <x:t xml:space="preserve">2</x:t>
        </x:is>
      </x:c>
      <x:c r="P41" s="2" t="inlineStr">
        <x:is>
          <x:t xml:space="preserve">17</x:t>
        </x:is>
      </x:c>
      <x:c r="Q41" s="2" t="inlineStr">
        <x:is>
          <x:t xml:space="preserve">14</x:t>
        </x:is>
      </x:c>
      <x:c r="R41" s="2" t="inlineStr">
        <x:is>
          <x:t xml:space="preserve">14</x:t>
        </x:is>
      </x:c>
      <x:c r="S41" s="2" t="inlineStr">
        <x:is>
          <x:t xml:space="preserve">11</x:t>
        </x:is>
      </x:c>
      <x:c r="T41" s="2" t="inlineStr">
        <x:is>
          <x:t xml:space="preserve">12</x:t>
        </x:is>
      </x:c>
      <x:c r="U41" s="2" t="inlineStr">
        <x:is>
          <x:t xml:space="preserve">11</x:t>
        </x:is>
      </x:c>
      <x:c r="V41" s="2" t="inlineStr">
        <x:is>
          <x:t xml:space="preserve">CON +4, WIS +3</x:t>
        </x:is>
      </x:c>
      <x:c r="W41" s="2" t="inlineStr">
        <x:is>
          <x:t xml:space="preserve">Stealth +6, Survival +3</x:t>
        </x:is>
      </x:c>
      <x:c r="X41" s="2" t="inlineStr">
        <x:is>
          <x:t xml:space="preserve">Darkvision 60 ft.; Passive Perception 11</x:t>
        </x:is>
      </x:c>
      <x:c r="Y41" s="2" t="inlineStr">
        <x:is>
          <x:t xml:space="preserve">Common, Goblin</x:t>
        </x:is>
      </x:c>
      <x:c r="Z41" s="2" t="inlineStr">
        <x:is>
          <x:t xml:space="preserve">Abduct. The bugbear needn’t spend extra movement to move a creature it is grappling.</x:t>
        </x:is>
      </x:c>
      <x:c r="AA41" s="2" t="inlineStr">
        <x:is>
          <x:t xml:space="preserve">Multiattack. The bugbear makes two Javelin or Morn- ingstar attacks. Javelin. Melee or Ranged Attack Roll: +5, reach 10 ft. or range 30/120 ft. Hit: 13 (3d6 + 3) Piercing damage. Morningstar. Melee Attack Roll: +5 (with Advantage if the target is Grappled by the bugbear), reach 10 ft. Hit: 12 (2d8 + 3) Piercing damage.</x:t>
        </x:is>
      </x:c>
      <x:c r="AB41" s="2" t="inlineStr">
        <x:is>
          <x:t xml:space="preserve">Quick Grapple. Dexterity Saving Throw: DC 13, one Medium or smaller creature the bugbear can see within 10 feet. Failure: The target has the Grappled condition (escape DC 13).</x:t>
        </x:is>
      </x:c>
      <x:c r="AC41" s="2" t="n"/>
      <x:c r="AD41" s="2" t="n"/>
      <x:c r="AE41" s="2" t="n"/>
      <x:c r="AF41" s="2" t="inlineStr">
        <x:is>
          <x:t xml:space="preserve">Imported from SRD 5.2.1 p. 271 Index of Stat Blocks</x:t>
        </x:is>
      </x:c>
      <x:c r="AG41" s="2" t="inlineStr">
        <x:is>
          <x:t xml:space="preserve">https://www.dndbeyond.com/srd</x:t>
        </x:is>
      </x:c>
    </x:row>
    <x:row r="42" ht="18" customHeight="1">
      <x:c r="A42" s="2" t="inlineStr">
        <x:is>
          <x:t xml:space="preserve">Bugbear Warrior</x:t>
        </x:is>
      </x:c>
      <x:c r="B42" s="2" t="inlineStr">
        <x:is>
          <x:t xml:space="preserve">SRD 5.2.1</x:t>
        </x:is>
      </x:c>
      <x:c r="C42" s="2" t="inlineStr">
        <x:is>
          <x:t xml:space="preserve">Fey (Goblinoid)</x:t>
        </x:is>
      </x:c>
      <x:c r="D42" s="2" t="inlineStr">
        <x:is>
          <x:t xml:space="preserve">Medium</x:t>
        </x:is>
      </x:c>
      <x:c r="E42" s="2" t="inlineStr">
        <x:is>
          <x:t xml:space="preserve">Chaotic Evil</x:t>
        </x:is>
      </x:c>
      <x:c r="F42" s="2" t="inlineStr">
        <x:is>
          <x:t xml:space="preserve">1</x:t>
        </x:is>
      </x:c>
      <x:c r="G42" s="2" t="inlineStr">
        <x:is>
          <x:t xml:space="preserve">200</x:t>
        </x:is>
      </x:c>
      <x:c r="H42" s="2" t="inlineStr">
        <x:is>
          <x:t xml:space="preserve">14</x:t>
        </x:is>
      </x:c>
      <x:c r="I42" s="2" t="inlineStr">
        <x:is>
          <x:t xml:space="preserve">33</x:t>
        </x:is>
      </x:c>
      <x:c r="J42" s="2" t="inlineStr">
        <x:is>
          <x:t xml:space="preserve">30 ft.</x:t>
        </x:is>
      </x:c>
      <x:c r="K42" s="2" t="inlineStr">
        <x:is>
          <x:t xml:space="preserve">2</x:t>
        </x:is>
      </x:c>
      <x:c r="L42" s="2" t="inlineStr">
        <x:is>
          <x:t xml:space="preserve">10</x:t>
        </x:is>
      </x:c>
      <x:c r="M42" s="2" t="n"/>
      <x:c r="N42" s="2" t="inlineStr">
        <x:is>
          <x:t xml:space="preserve">4</x:t>
        </x:is>
      </x:c>
      <x:c r="O42" s="2" t="inlineStr">
        <x:is>
          <x:t xml:space="preserve">2</x:t>
        </x:is>
      </x:c>
      <x:c r="P42" s="2" t="inlineStr">
        <x:is>
          <x:t xml:space="preserve">15</x:t>
        </x:is>
      </x:c>
      <x:c r="Q42" s="2" t="inlineStr">
        <x:is>
          <x:t xml:space="preserve">14</x:t>
        </x:is>
      </x:c>
      <x:c r="R42" s="2" t="inlineStr">
        <x:is>
          <x:t xml:space="preserve">13</x:t>
        </x:is>
      </x:c>
      <x:c r="S42" s="2" t="inlineStr">
        <x:is>
          <x:t xml:space="preserve">8</x:t>
        </x:is>
      </x:c>
      <x:c r="T42" s="2" t="inlineStr">
        <x:is>
          <x:t xml:space="preserve">11</x:t>
        </x:is>
      </x:c>
      <x:c r="U42" s="2" t="inlineStr">
        <x:is>
          <x:t xml:space="preserve">9</x:t>
        </x:is>
      </x:c>
      <x:c r="V42" s="2" t="n"/>
      <x:c r="W42" s="2" t="inlineStr">
        <x:is>
          <x:t xml:space="preserve">Stealth +6, Survival +2</x:t>
        </x:is>
      </x:c>
      <x:c r="X42" s="2" t="inlineStr">
        <x:is>
          <x:t xml:space="preserve">Darkvision 60 ft.; Passive Perception 10</x:t>
        </x:is>
      </x:c>
      <x:c r="Y42" s="2" t="inlineStr">
        <x:is>
          <x:t xml:space="preserve">Common, Goblin</x:t>
        </x:is>
      </x:c>
      <x:c r="Z42" s="2" t="inlineStr">
        <x:is>
          <x:t xml:space="preserve">Abduct. The bugbear needn’t spend extra movement to move a creature it is grappling.</x:t>
        </x:is>
      </x:c>
      <x:c r="AA42" s="2" t="inlineStr">
        <x:is>
          <x:t xml:space="preserve">Grab. Melee Attack Roll: +4, reach 10 ft. Hit: 9 (2d6 + 2) Bludgeoning damage. If the target is a Medium or smaller creature, it has the Grappled condition (es- cape DC 12). Light Hammer. Melee or Ranged Attack Roll: +4 (with Advantage if the target is Grappled by the bugbear), reach 10 ft. or range 20/60 ft. Hit: 9 (3d4 + 2) Blud- geoning damage. Bulette</x:t>
        </x:is>
      </x:c>
      <x:c r="AB42" s="2" t="n"/>
      <x:c r="AC42" s="2" t="n"/>
      <x:c r="AD42" s="2" t="n"/>
      <x:c r="AE42" s="2" t="n"/>
      <x:c r="AF42" s="2" t="inlineStr">
        <x:is>
          <x:t xml:space="preserve">Imported from SRD 5.2.1 p. 272 Index of Stat Blocks</x:t>
        </x:is>
      </x:c>
      <x:c r="AG42" s="2" t="inlineStr">
        <x:is>
          <x:t xml:space="preserve">https://www.dndbeyond.com/srd</x:t>
        </x:is>
      </x:c>
    </x:row>
    <x:row r="43" ht="18" customHeight="1">
      <x:c r="A43" s="2" t="inlineStr">
        <x:is>
          <x:t xml:space="preserve">Bulette</x:t>
        </x:is>
      </x:c>
      <x:c r="B43" s="2" t="inlineStr">
        <x:is>
          <x:t xml:space="preserve">SRD 5.2.1</x:t>
        </x:is>
      </x:c>
      <x:c r="C43" s="2" t="inlineStr">
        <x:is>
          <x:t xml:space="preserve">Monstrosity</x:t>
        </x:is>
      </x:c>
      <x:c r="D43" s="2" t="inlineStr">
        <x:is>
          <x:t xml:space="preserve">Large</x:t>
        </x:is>
      </x:c>
      <x:c r="E43" s="2" t="inlineStr">
        <x:is>
          <x:t xml:space="preserve">Unaligned</x:t>
        </x:is>
      </x:c>
      <x:c r="F43" s="2" t="inlineStr">
        <x:is>
          <x:t xml:space="preserve">5</x:t>
        </x:is>
      </x:c>
      <x:c r="G43" s="2" t="inlineStr">
        <x:is>
          <x:t xml:space="preserve">1800</x:t>
        </x:is>
      </x:c>
      <x:c r="H43" s="2" t="inlineStr">
        <x:is>
          <x:t xml:space="preserve">17</x:t>
        </x:is>
      </x:c>
      <x:c r="I43" s="2" t="inlineStr">
        <x:is>
          <x:t xml:space="preserve">94</x:t>
        </x:is>
      </x:c>
      <x:c r="J43" s="2" t="inlineStr">
        <x:is>
          <x:t xml:space="preserve">40 ft., Burrow 40 ft.</x:t>
        </x:is>
      </x:c>
      <x:c r="K43" s="2" t="inlineStr">
        <x:is>
          <x:t xml:space="preserve">3</x:t>
        </x:is>
      </x:c>
      <x:c r="L43" s="2" t="inlineStr">
        <x:is>
          <x:t xml:space="preserve">16</x:t>
        </x:is>
      </x:c>
      <x:c r="M43" s="2" t="n"/>
      <x:c r="N43" s="2" t="inlineStr">
        <x:is>
          <x:t xml:space="preserve">7</x:t>
        </x:is>
      </x:c>
      <x:c r="O43" s="2" t="inlineStr">
        <x:is>
          <x:t xml:space="preserve">0</x:t>
        </x:is>
      </x:c>
      <x:c r="P43" s="2" t="inlineStr">
        <x:is>
          <x:t xml:space="preserve">19</x:t>
        </x:is>
      </x:c>
      <x:c r="Q43" s="2" t="inlineStr">
        <x:is>
          <x:t xml:space="preserve">11</x:t>
        </x:is>
      </x:c>
      <x:c r="R43" s="2" t="inlineStr">
        <x:is>
          <x:t xml:space="preserve">21</x:t>
        </x:is>
      </x:c>
      <x:c r="S43" s="2" t="inlineStr">
        <x:is>
          <x:t xml:space="preserve">2</x:t>
        </x:is>
      </x:c>
      <x:c r="T43" s="2" t="inlineStr">
        <x:is>
          <x:t xml:space="preserve">10</x:t>
        </x:is>
      </x:c>
      <x:c r="U43" s="2" t="inlineStr">
        <x:is>
          <x:t xml:space="preserve">5</x:t>
        </x:is>
      </x:c>
      <x:c r="V43" s="2" t="n"/>
      <x:c r="W43" s="2" t="inlineStr">
        <x:is>
          <x:t xml:space="preserve">Perception +6</x:t>
        </x:is>
      </x:c>
      <x:c r="X43" s="2" t="inlineStr">
        <x:is>
          <x:t xml:space="preserve">Darkvision 60 ft., Tremorsense 120 ft.; Passive Perception 16</x:t>
        </x:is>
      </x:c>
      <x:c r="Y43" s="2" t="inlineStr">
        <x:is>
          <x:t xml:space="preserve">None</x:t>
        </x:is>
      </x:c>
      <x:c r="Z43" s="2" t="n"/>
      <x:c r="AA43" s="2" t="inlineStr">
        <x:is>
          <x:t xml:space="preserve">Multiattack. The bulette makes two Bite attacks. Bite. Melee Attack Roll: +7, reach 5 ft. Hit: 17 (2d12 + 4) Piercing damage. Deadly Leap. The bulette spends 5 feet of movement to jump to a space within 15 feet that contains one or more Large or smaller creatures. Dexterity Saving Throw: DC 15, each creature in the bulette’s destina- tion space. Failure: 19 (3d12) Bludgeoning damage, and the target has the Prone condition. Success: Half dam- age, and the target is pushed 5 feet straight away from the bulette.</x:t>
        </x:is>
      </x:c>
      <x:c r="AB43" s="2" t="inlineStr">
        <x:is>
          <x:t xml:space="preserve">Leap. The bulette jumps up to 30 feet by spending 10 feet of movement. Centaur</x:t>
        </x:is>
      </x:c>
      <x:c r="AC43" s="2" t="n"/>
      <x:c r="AD43" s="2" t="n"/>
      <x:c r="AE43" s="2" t="n"/>
      <x:c r="AF43" s="2" t="inlineStr">
        <x:is>
          <x:t xml:space="preserve">Imported from SRD 5.2.1 p. 272 Index of Stat Blocks</x:t>
        </x:is>
      </x:c>
      <x:c r="AG43" s="2" t="inlineStr">
        <x:is>
          <x:t xml:space="preserve">https://www.dndbeyond.com/srd</x:t>
        </x:is>
      </x:c>
    </x:row>
    <x:row r="44" ht="18" customHeight="1">
      <x:c r="A44" s="2" t="inlineStr">
        <x:is>
          <x:t xml:space="preserve">Centaur Trooper</x:t>
        </x:is>
      </x:c>
      <x:c r="B44" s="2" t="inlineStr">
        <x:is>
          <x:t xml:space="preserve">SRD 5.2.1</x:t>
        </x:is>
      </x:c>
      <x:c r="C44" s="2" t="inlineStr">
        <x:is>
          <x:t xml:space="preserve">Fey</x:t>
        </x:is>
      </x:c>
      <x:c r="D44" s="2" t="inlineStr">
        <x:is>
          <x:t xml:space="preserve">Large</x:t>
        </x:is>
      </x:c>
      <x:c r="E44" s="2" t="inlineStr">
        <x:is>
          <x:t xml:space="preserve">Neutral Good</x:t>
        </x:is>
      </x:c>
      <x:c r="F44" s="2" t="inlineStr">
        <x:is>
          <x:t xml:space="preserve">2</x:t>
        </x:is>
      </x:c>
      <x:c r="G44" s="2" t="inlineStr">
        <x:is>
          <x:t xml:space="preserve">450</x:t>
        </x:is>
      </x:c>
      <x:c r="H44" s="2" t="inlineStr">
        <x:is>
          <x:t xml:space="preserve">16</x:t>
        </x:is>
      </x:c>
      <x:c r="I44" s="2" t="inlineStr">
        <x:is>
          <x:t xml:space="preserve">45</x:t>
        </x:is>
      </x:c>
      <x:c r="J44" s="2" t="inlineStr">
        <x:is>
          <x:t xml:space="preserve">50 ft.</x:t>
        </x:is>
      </x:c>
      <x:c r="K44" s="2" t="inlineStr">
        <x:is>
          <x:t xml:space="preserve">2</x:t>
        </x:is>
      </x:c>
      <x:c r="L44" s="2" t="inlineStr">
        <x:is>
          <x:t xml:space="preserve">13</x:t>
        </x:is>
      </x:c>
      <x:c r="M44" s="2" t="inlineStr">
        <x:is>
          <x:t xml:space="preserve">14</x:t>
        </x:is>
      </x:c>
      <x:c r="N44" s="2" t="inlineStr">
        <x:is>
          <x:t xml:space="preserve">6</x:t>
        </x:is>
      </x:c>
      <x:c r="O44" s="2" t="inlineStr">
        <x:is>
          <x:t xml:space="preserve">2</x:t>
        </x:is>
      </x:c>
      <x:c r="P44" s="2" t="inlineStr">
        <x:is>
          <x:t xml:space="preserve">18</x:t>
        </x:is>
      </x:c>
      <x:c r="Q44" s="2" t="inlineStr">
        <x:is>
          <x:t xml:space="preserve">14</x:t>
        </x:is>
      </x:c>
      <x:c r="R44" s="2" t="inlineStr">
        <x:is>
          <x:t xml:space="preserve">14</x:t>
        </x:is>
      </x:c>
      <x:c r="S44" s="2" t="inlineStr">
        <x:is>
          <x:t xml:space="preserve">9</x:t>
        </x:is>
      </x:c>
      <x:c r="T44" s="2" t="inlineStr">
        <x:is>
          <x:t xml:space="preserve">13</x:t>
        </x:is>
      </x:c>
      <x:c r="U44" s="2" t="inlineStr">
        <x:is>
          <x:t xml:space="preserve">11</x:t>
        </x:is>
      </x:c>
      <x:c r="V44" s="2" t="n"/>
      <x:c r="W44" s="2" t="inlineStr">
        <x:is>
          <x:t xml:space="preserve">Athletics +6, Perception +3</x:t>
        </x:is>
      </x:c>
      <x:c r="X44" s="2" t="inlineStr">
        <x:is>
          <x:t xml:space="preserve">Passive Perception 13</x:t>
        </x:is>
      </x:c>
      <x:c r="Y44" s="2" t="inlineStr">
        <x:is>
          <x:t xml:space="preserve">Elvish, Sylvan</x:t>
        </x:is>
      </x:c>
      <x:c r="Z44" s="2" t="n"/>
      <x:c r="AA44" s="2" t="inlineStr">
        <x:is>
          <x:t xml:space="preserve">Multiattack. The centaur makes two attacks, using Pike or Longbow in any combination. Pike. Melee Attack Roll: +6, reach 10 ft. Hit: 9 (1d10 + 4) Piercing damage. Longbow. Ranged Attack Roll: +4, range 150/600 ft. Hit: 6 (1d8 + 2) Piercing damage.</x:t>
        </x:is>
      </x:c>
      <x:c r="AB44" s="2" t="inlineStr">
        <x:is>
          <x:t xml:space="preserve">Trampling Charge (Recharge 5-6). The centaur moves up to its Speed without provoking Opportunity Attacks and can move through the spaces of Medium or smaller creatures. Each creature whose space the centaur en- ters is targeted once by the following effect. Strength Saving Throw: DC 14. Failure: 7 (1d6 + 4) Bludgeoning damage, and the target has the Prone condition. Chain Devil</x:t>
        </x:is>
      </x:c>
      <x:c r="AC44" s="2" t="n"/>
      <x:c r="AD44" s="2" t="n"/>
      <x:c r="AE44" s="2" t="n"/>
      <x:c r="AF44" s="2" t="inlineStr">
        <x:is>
          <x:t xml:space="preserve">Imported from SRD 5.2.1 p. 272 Index of Stat Blocks</x:t>
        </x:is>
      </x:c>
      <x:c r="AG44" s="2" t="inlineStr">
        <x:is>
          <x:t xml:space="preserve">https://www.dndbeyond.com/srd</x:t>
        </x:is>
      </x:c>
    </x:row>
    <x:row r="45" ht="18" customHeight="1">
      <x:c r="A45" s="2" t="inlineStr">
        <x:is>
          <x:t xml:space="preserve">Chain Devil</x:t>
        </x:is>
      </x:c>
      <x:c r="B45" s="2" t="inlineStr">
        <x:is>
          <x:t xml:space="preserve">SRD 5.2.1</x:t>
        </x:is>
      </x:c>
      <x:c r="C45" s="2" t="inlineStr">
        <x:is>
          <x:t xml:space="preserve">Fiend (Devil)</x:t>
        </x:is>
      </x:c>
      <x:c r="D45" s="2" t="inlineStr">
        <x:is>
          <x:t xml:space="preserve">Medium</x:t>
        </x:is>
      </x:c>
      <x:c r="E45" s="2" t="inlineStr">
        <x:is>
          <x:t xml:space="preserve">Lawful Evil</x:t>
        </x:is>
      </x:c>
      <x:c r="F45" s="2" t="inlineStr">
        <x:is>
          <x:t xml:space="preserve">8</x:t>
        </x:is>
      </x:c>
      <x:c r="G45" s="2" t="inlineStr">
        <x:is>
          <x:t xml:space="preserve">3900</x:t>
        </x:is>
      </x:c>
      <x:c r="H45" s="2" t="inlineStr">
        <x:is>
          <x:t xml:space="preserve">15</x:t>
        </x:is>
      </x:c>
      <x:c r="I45" s="2" t="inlineStr">
        <x:is>
          <x:t xml:space="preserve">85</x:t>
        </x:is>
      </x:c>
      <x:c r="J45" s="2" t="inlineStr">
        <x:is>
          <x:t xml:space="preserve">30 ft.</x:t>
        </x:is>
      </x:c>
      <x:c r="K45" s="2" t="inlineStr">
        <x:is>
          <x:t xml:space="preserve">3</x:t>
        </x:is>
      </x:c>
      <x:c r="L45" s="2" t="inlineStr">
        <x:is>
          <x:t xml:space="preserve">11</x:t>
        </x:is>
      </x:c>
      <x:c r="M45" s="2" t="inlineStr">
        <x:is>
          <x:t xml:space="preserve">15</x:t>
        </x:is>
      </x:c>
      <x:c r="N45" s="2" t="inlineStr">
        <x:is>
          <x:t xml:space="preserve">7</x:t>
        </x:is>
      </x:c>
      <x:c r="O45" s="2" t="inlineStr">
        <x:is>
          <x:t xml:space="preserve">5</x:t>
        </x:is>
      </x:c>
      <x:c r="P45" s="2" t="inlineStr">
        <x:is>
          <x:t xml:space="preserve">18</x:t>
        </x:is>
      </x:c>
      <x:c r="Q45" s="2" t="inlineStr">
        <x:is>
          <x:t xml:space="preserve">15</x:t>
        </x:is>
      </x:c>
      <x:c r="R45" s="2" t="inlineStr">
        <x:is>
          <x:t xml:space="preserve">18</x:t>
        </x:is>
      </x:c>
      <x:c r="S45" s="2" t="inlineStr">
        <x:is>
          <x:t xml:space="preserve">11</x:t>
        </x:is>
      </x:c>
      <x:c r="T45" s="2" t="inlineStr">
        <x:is>
          <x:t xml:space="preserve">12</x:t>
        </x:is>
      </x:c>
      <x:c r="U45" s="2" t="inlineStr">
        <x:is>
          <x:t xml:space="preserve">14</x:t>
        </x:is>
      </x:c>
      <x:c r="V45" s="2" t="inlineStr">
        <x:is>
          <x:t xml:space="preserve">CON +7, WIS +4</x:t>
        </x:is>
      </x:c>
      <x:c r="W45" s="2" t="n"/>
      <x:c r="X45" s="2" t="inlineStr">
        <x:is>
          <x:t xml:space="preserve">Darkvision 120 ft. (unimpeded by magical Darkness); Passive Perception 11</x:t>
        </x:is>
      </x:c>
      <x:c r="Y45" s="2" t="inlineStr">
        <x:is>
          <x:t xml:space="preserve">Infernal; telepathy 120 ft.</x:t>
        </x:is>
      </x:c>
      <x:c r="Z45" s="2" t="inlineStr">
        <x:is>
          <x:t xml:space="preserve">Diabolical Restoration. If the devil dies outside the Nine Hells, its body disappears in sulfurous smoke, and it gains a new body instantly, reviving with all its Hit Points somewhere in the Nine Hells. Magic Resistance. The devil has Advantage on saving throws against spells and other magical effects.</x:t>
        </x:is>
      </x:c>
      <x:c r="AA45" s="2" t="inlineStr">
        <x:is>
          <x:t xml:space="preserve">Multiattack. The devil makes two Chain attacks and uses Conjure Infernal Chain. Chain. Melee Attack Roll: +7, reach 10 ft. Hit: 11 (2d6 + 4) Slashing damage. If the target is a Large or smaller creature, it has the Grappled condition (escape DC 14) from one of two chains, and it has the Restrained con- dition until the grapple ends. Conjure Infernal Chain. The devil conjures a fiery chain to bind a creature. Dexterity Saving Throw: DC 15, one creature the devil can see within 60 feet. Failure: 9 (2d4 + 4) Fire damage, and the target has the Restrained condition until the end of the devil’s next turn, at which point the chain disappears. If the target is Large or smaller, the devil moves the target up to 30 feet straight toward itself. Success: The chain disappears.</x:t>
        </x:is>
      </x:c>
      <x:c r="AB45" s="2" t="n"/>
      <x:c r="AC45" s="2" t="inlineStr">
        <x:is>
          <x:t xml:space="preserve">Unnerving Gaze. Trigger: A creature the devil can see starts its turn within 30 feet of the devil and can see the devil. Response—Wisdom Saving Throw: DC 15, the triggering creature. Failure: The target has the Frightened condition until the end of its turn. Success: The target is immune to this devil’s Unnerving Gaze for 24 hours. Chimera</x:t>
        </x:is>
      </x:c>
      <x:c r="AD45" s="2" t="n"/>
      <x:c r="AE45" s="2" t="n"/>
      <x:c r="AF45" s="2" t="inlineStr">
        <x:is>
          <x:t xml:space="preserve">Imported from SRD 5.2.1 p. 272 Index of Stat Blocks</x:t>
        </x:is>
      </x:c>
      <x:c r="AG45" s="2" t="inlineStr">
        <x:is>
          <x:t xml:space="preserve">https://www.dndbeyond.com/srd</x:t>
        </x:is>
      </x:c>
    </x:row>
    <x:row r="46" ht="18" customHeight="1">
      <x:c r="A46" s="2" t="inlineStr">
        <x:is>
          <x:t xml:space="preserve">Chimera</x:t>
        </x:is>
      </x:c>
      <x:c r="B46" s="2" t="inlineStr">
        <x:is>
          <x:t xml:space="preserve">SRD 5.2.1</x:t>
        </x:is>
      </x:c>
      <x:c r="C46" s="2" t="inlineStr">
        <x:is>
          <x:t xml:space="preserve">Monstrosity</x:t>
        </x:is>
      </x:c>
      <x:c r="D46" s="2" t="inlineStr">
        <x:is>
          <x:t xml:space="preserve">Large</x:t>
        </x:is>
      </x:c>
      <x:c r="E46" s="2" t="inlineStr">
        <x:is>
          <x:t xml:space="preserve">Chaotic Evil</x:t>
        </x:is>
      </x:c>
      <x:c r="F46" s="2" t="inlineStr">
        <x:is>
          <x:t xml:space="preserve">6</x:t>
        </x:is>
      </x:c>
      <x:c r="G46" s="2" t="inlineStr">
        <x:is>
          <x:t xml:space="preserve">2300</x:t>
        </x:is>
      </x:c>
      <x:c r="H46" s="2" t="inlineStr">
        <x:is>
          <x:t xml:space="preserve">14</x:t>
        </x:is>
      </x:c>
      <x:c r="I46" s="2" t="inlineStr">
        <x:is>
          <x:t xml:space="preserve">114</x:t>
        </x:is>
      </x:c>
      <x:c r="J46" s="2" t="inlineStr">
        <x:is>
          <x:t xml:space="preserve">30 ft., Fly 60 ft.</x:t>
        </x:is>
      </x:c>
      <x:c r="K46" s="2" t="inlineStr">
        <x:is>
          <x:t xml:space="preserve">3</x:t>
        </x:is>
      </x:c>
      <x:c r="L46" s="2" t="inlineStr">
        <x:is>
          <x:t xml:space="preserve">18</x:t>
        </x:is>
      </x:c>
      <x:c r="M46" s="2" t="inlineStr">
        <x:is>
          <x:t xml:space="preserve">15</x:t>
        </x:is>
      </x:c>
      <x:c r="N46" s="2" t="inlineStr">
        <x:is>
          <x:t xml:space="preserve">7</x:t>
        </x:is>
      </x:c>
      <x:c r="O46" s="2" t="inlineStr">
        <x:is>
          <x:t xml:space="preserve">0</x:t>
        </x:is>
      </x:c>
      <x:c r="P46" s="2" t="inlineStr">
        <x:is>
          <x:t xml:space="preserve">19</x:t>
        </x:is>
      </x:c>
      <x:c r="Q46" s="2" t="inlineStr">
        <x:is>
          <x:t xml:space="preserve">11</x:t>
        </x:is>
      </x:c>
      <x:c r="R46" s="2" t="inlineStr">
        <x:is>
          <x:t xml:space="preserve">19</x:t>
        </x:is>
      </x:c>
      <x:c r="S46" s="2" t="inlineStr">
        <x:is>
          <x:t xml:space="preserve">3</x:t>
        </x:is>
      </x:c>
      <x:c r="T46" s="2" t="inlineStr">
        <x:is>
          <x:t xml:space="preserve">14</x:t>
        </x:is>
      </x:c>
      <x:c r="U46" s="2" t="inlineStr">
        <x:is>
          <x:t xml:space="preserve">10</x:t>
        </x:is>
      </x:c>
      <x:c r="V46" s="2" t="n"/>
      <x:c r="W46" s="2" t="inlineStr">
        <x:is>
          <x:t xml:space="preserve">Perception +8</x:t>
        </x:is>
      </x:c>
      <x:c r="X46" s="2" t="inlineStr">
        <x:is>
          <x:t xml:space="preserve">Darkvision 60 ft.; Passive Perception 18</x:t>
        </x:is>
      </x:c>
      <x:c r="Y46" s="2" t="inlineStr">
        <x:is>
          <x:t xml:space="preserve">Understands Draconic but can’t speak</x:t>
        </x:is>
      </x:c>
      <x:c r="Z46" s="2" t="n"/>
      <x:c r="AA46" s="2" t="inlineStr">
        <x:is>
          <x:t xml:space="preserve">Multiattack. The chimera makes one Ram attack, one Bite attack, and one Claw attack. It can replace the Claw attack with a use of Fire Breath if available. Bite. Melee Attack Roll: +7, reach 5 ft. Hit: 11 (2d6 + 4) Piercing damage, or 18 (4d6 + 4) Piercing damage if the chimera had Advantage on the attack roll. Claw. Melee Attack Roll: +7, reach 5 ft. Hit: 7 (1d6 + 4) Slashing damage. Ram. Melee Attack Roll: +7, reach 5 ft. Hit: 10 (1d12 + 4) Bludgeoning damage. If the target is a Medium or smaller creature, it has the Prone condition. Fire Breath (Recharge 5-6). Dexterity Saving Throw: DC 15, each creature in a 15-foot Cone. Failure: 31 (7d8) Fire damage. Success: Half damage. Chuul</x:t>
        </x:is>
      </x:c>
      <x:c r="AB46" s="2" t="n"/>
      <x:c r="AC46" s="2" t="n"/>
      <x:c r="AD46" s="2" t="n"/>
      <x:c r="AE46" s="2" t="n"/>
      <x:c r="AF46" s="2" t="inlineStr">
        <x:is>
          <x:t xml:space="preserve">Imported from SRD 5.2.1 p. 273 Index of Stat Blocks</x:t>
        </x:is>
      </x:c>
      <x:c r="AG46" s="2" t="inlineStr">
        <x:is>
          <x:t xml:space="preserve">https://www.dndbeyond.com/srd</x:t>
        </x:is>
      </x:c>
    </x:row>
    <x:row r="47" ht="18" customHeight="1">
      <x:c r="A47" s="2" t="inlineStr">
        <x:is>
          <x:t xml:space="preserve">Chuul</x:t>
        </x:is>
      </x:c>
      <x:c r="B47" s="2" t="inlineStr">
        <x:is>
          <x:t xml:space="preserve">SRD 5.2.1</x:t>
        </x:is>
      </x:c>
      <x:c r="C47" s="2" t="inlineStr">
        <x:is>
          <x:t xml:space="preserve">Aberration</x:t>
        </x:is>
      </x:c>
      <x:c r="D47" s="2" t="inlineStr">
        <x:is>
          <x:t xml:space="preserve">Large</x:t>
        </x:is>
      </x:c>
      <x:c r="E47" s="2" t="inlineStr">
        <x:is>
          <x:t xml:space="preserve">Chaotic Evil</x:t>
        </x:is>
      </x:c>
      <x:c r="F47" s="2" t="inlineStr">
        <x:is>
          <x:t xml:space="preserve">4</x:t>
        </x:is>
      </x:c>
      <x:c r="G47" s="2" t="inlineStr">
        <x:is>
          <x:t xml:space="preserve">1100</x:t>
        </x:is>
      </x:c>
      <x:c r="H47" s="2" t="inlineStr">
        <x:is>
          <x:t xml:space="preserve">16</x:t>
        </x:is>
      </x:c>
      <x:c r="I47" s="2" t="inlineStr">
        <x:is>
          <x:t xml:space="preserve">76</x:t>
        </x:is>
      </x:c>
      <x:c r="J47" s="2" t="inlineStr">
        <x:is>
          <x:t xml:space="preserve">30 ft., Swim 30 ft.</x:t>
        </x:is>
      </x:c>
      <x:c r="K47" s="2" t="inlineStr">
        <x:is>
          <x:t xml:space="preserve">2</x:t>
        </x:is>
      </x:c>
      <x:c r="L47" s="2" t="inlineStr">
        <x:is>
          <x:t xml:space="preserve">14</x:t>
        </x:is>
      </x:c>
      <x:c r="M47" s="2" t="inlineStr">
        <x:is>
          <x:t xml:space="preserve">13</x:t>
        </x:is>
      </x:c>
      <x:c r="N47" s="2" t="inlineStr">
        <x:is>
          <x:t xml:space="preserve">6</x:t>
        </x:is>
      </x:c>
      <x:c r="O47" s="2" t="inlineStr">
        <x:is>
          <x:t xml:space="preserve">0</x:t>
        </x:is>
      </x:c>
      <x:c r="P47" s="2" t="inlineStr">
        <x:is>
          <x:t xml:space="preserve">19</x:t>
        </x:is>
      </x:c>
      <x:c r="Q47" s="2" t="inlineStr">
        <x:is>
          <x:t xml:space="preserve">10</x:t>
        </x:is>
      </x:c>
      <x:c r="R47" s="2" t="inlineStr">
        <x:is>
          <x:t xml:space="preserve">16</x:t>
        </x:is>
      </x:c>
      <x:c r="S47" s="2" t="inlineStr">
        <x:is>
          <x:t xml:space="preserve">5</x:t>
        </x:is>
      </x:c>
      <x:c r="T47" s="2" t="inlineStr">
        <x:is>
          <x:t xml:space="preserve">11</x:t>
        </x:is>
      </x:c>
      <x:c r="U47" s="2" t="inlineStr">
        <x:is>
          <x:t xml:space="preserve">5</x:t>
        </x:is>
      </x:c>
      <x:c r="V47" s="2" t="n"/>
      <x:c r="W47" s="2" t="inlineStr">
        <x:is>
          <x:t xml:space="preserve">Perception +4</x:t>
        </x:is>
      </x:c>
      <x:c r="X47" s="2" t="inlineStr">
        <x:is>
          <x:t xml:space="preserve">Darkvision 60 ft.; Passive Perception 14</x:t>
        </x:is>
      </x:c>
      <x:c r="Y47" s="2" t="inlineStr">
        <x:is>
          <x:t xml:space="preserve">Understands Deep Speech but can’t speak</x:t>
        </x:is>
      </x:c>
      <x:c r="Z47" s="2" t="inlineStr">
        <x:is>
          <x:t xml:space="preserve">Amphibious. The chuul can breathe air and water. Sense Magic. The chuul senses magic within 120 feet of itself. This trait otherwise works like the Detect Magic spell but isn’t itself magical.</x:t>
        </x:is>
      </x:c>
      <x:c r="AA47" s="2" t="inlineStr">
        <x:is>
          <x:t xml:space="preserve">Multiattack. The chuul makes two Pincer attacks and uses Paralyzing Tentacles. Pincer. Melee Attack Roll: +6, reach 10 ft. Hit: 9 (1d10 + 4) Bludgeoning damage. If the target is a Large or smaller creature, it has the Grappled condition (escape DC 14) from one of two pincers. Paralyzing Tentacles. Constitution Saving Throw: DC 13, one creature Grappled by the chuul. Failure: The target has the Poisoned condition and repeats the save at the end of each of its turns, ending the effect on itself on a success. After 1 minute, it succeeds automatically. While Poisoned, the target has the Paralyzed condition. Clay Golem</x:t>
        </x:is>
      </x:c>
      <x:c r="AB47" s="2" t="n"/>
      <x:c r="AC47" s="2" t="n"/>
      <x:c r="AD47" s="2" t="n"/>
      <x:c r="AE47" s="2" t="n"/>
      <x:c r="AF47" s="2" t="inlineStr">
        <x:is>
          <x:t xml:space="preserve">Imported from SRD 5.2.1 p. 273 Index of Stat Blocks</x:t>
        </x:is>
      </x:c>
      <x:c r="AG47" s="2" t="inlineStr">
        <x:is>
          <x:t xml:space="preserve">https://www.dndbeyond.com/srd</x:t>
        </x:is>
      </x:c>
    </x:row>
    <x:row r="48" ht="18" customHeight="1">
      <x:c r="A48" s="2" t="inlineStr">
        <x:is>
          <x:t xml:space="preserve">Clay Golem</x:t>
        </x:is>
      </x:c>
      <x:c r="B48" s="2" t="inlineStr">
        <x:is>
          <x:t xml:space="preserve">SRD 5.2.1</x:t>
        </x:is>
      </x:c>
      <x:c r="C48" s="2" t="inlineStr">
        <x:is>
          <x:t xml:space="preserve">Construct</x:t>
        </x:is>
      </x:c>
      <x:c r="D48" s="2" t="inlineStr">
        <x:is>
          <x:t xml:space="preserve">Large</x:t>
        </x:is>
      </x:c>
      <x:c r="E48" s="2" t="inlineStr">
        <x:is>
          <x:t xml:space="preserve">Unaligned</x:t>
        </x:is>
      </x:c>
      <x:c r="F48" s="2" t="inlineStr">
        <x:is>
          <x:t xml:space="preserve">9</x:t>
        </x:is>
      </x:c>
      <x:c r="G48" s="2" t="inlineStr">
        <x:is>
          <x:t xml:space="preserve">5000</x:t>
        </x:is>
      </x:c>
      <x:c r="H48" s="2" t="inlineStr">
        <x:is>
          <x:t xml:space="preserve">14</x:t>
        </x:is>
      </x:c>
      <x:c r="I48" s="2" t="inlineStr">
        <x:is>
          <x:t xml:space="preserve">123</x:t>
        </x:is>
      </x:c>
      <x:c r="J48" s="2" t="inlineStr">
        <x:is>
          <x:t xml:space="preserve">30 ft.</x:t>
        </x:is>
      </x:c>
      <x:c r="K48" s="2" t="inlineStr">
        <x:is>
          <x:t xml:space="preserve">4</x:t>
        </x:is>
      </x:c>
      <x:c r="L48" s="2" t="inlineStr">
        <x:is>
          <x:t xml:space="preserve">9</x:t>
        </x:is>
      </x:c>
      <x:c r="M48" s="2" t="n"/>
      <x:c r="N48" s="2" t="inlineStr">
        <x:is>
          <x:t xml:space="preserve">9</x:t>
        </x:is>
      </x:c>
      <x:c r="O48" s="2" t="inlineStr">
        <x:is>
          <x:t xml:space="preserve">3</x:t>
        </x:is>
      </x:c>
      <x:c r="P48" s="2" t="inlineStr">
        <x:is>
          <x:t xml:space="preserve">20</x:t>
        </x:is>
      </x:c>
      <x:c r="Q48" s="2" t="inlineStr">
        <x:is>
          <x:t xml:space="preserve">9</x:t>
        </x:is>
      </x:c>
      <x:c r="R48" s="2" t="inlineStr">
        <x:is>
          <x:t xml:space="preserve">18</x:t>
        </x:is>
      </x:c>
      <x:c r="S48" s="2" t="inlineStr">
        <x:is>
          <x:t xml:space="preserve">3</x:t>
        </x:is>
      </x:c>
      <x:c r="T48" s="2" t="inlineStr">
        <x:is>
          <x:t xml:space="preserve">8</x:t>
        </x:is>
      </x:c>
      <x:c r="U48" s="2" t="inlineStr">
        <x:is>
          <x:t xml:space="preserve">1</x:t>
        </x:is>
      </x:c>
      <x:c r="V48" s="2" t="n"/>
      <x:c r="W48" s="2" t="n"/>
      <x:c r="X48" s="2" t="inlineStr">
        <x:is>
          <x:t xml:space="preserve">Darkvision 60 ft.; Passive Perception 9</x:t>
        </x:is>
      </x:c>
      <x:c r="Y48" s="2" t="inlineStr">
        <x:is>
          <x:t xml:space="preserve">Common plus one other language</x:t>
        </x:is>
      </x:c>
      <x:c r="Z48" s="2" t="inlineStr">
        <x:is>
          <x:t xml:space="preserve">Acid Absorption. Whenever the golem is subjected to Acid damage, it takes no damage and instead regains a number of Hit Points equal to the Acid damage dealt. Berserk. Whenever the golem starts its turn Bloodied, roll 1d6. On a 6, the golem goes berserk. On each of its turns while berserk, the golem attacks the nearest creature it can see. If no creature is near enough to move to and attack, the golem attacks an object. Once the golem goes berserk, it continues to be berserk until it is destroyed or it is no longer Bloodied. Immutable Form. The golem can’t shape-shift. Magic Resistance. The golem has Advantage on saving throws against spells and other magical effects.</x:t>
        </x:is>
      </x:c>
      <x:c r="AA48" s="2" t="inlineStr">
        <x:is>
          <x:t xml:space="preserve">Multiattack. The golem makes two Slam attacks, or it makes three Slam attacks if it used Hasten this turn. Slam. Melee Attack Roll: +9, reach 5 ft. Hit: 10 (1d10 + 5) Bludgeoning damage plus 6 (1d12) Acid damage, and the target’s Hit Point maximum decreases by an amount equal to the Acid damage taken.</x:t>
        </x:is>
      </x:c>
      <x:c r="AB48" s="2" t="inlineStr">
        <x:is>
          <x:t xml:space="preserve">Hasten (Recharge 5-6). The golem takes the Dash and Disengage actions. Cloaker</x:t>
        </x:is>
      </x:c>
      <x:c r="AC48" s="2" t="n"/>
      <x:c r="AD48" s="2" t="n"/>
      <x:c r="AE48" s="2" t="n"/>
      <x:c r="AF48" s="2" t="inlineStr">
        <x:is>
          <x:t xml:space="preserve">Imported from SRD 5.2.1 p. 274 Index of Stat Blocks</x:t>
        </x:is>
      </x:c>
      <x:c r="AG48" s="2" t="inlineStr">
        <x:is>
          <x:t xml:space="preserve">https://www.dndbeyond.com/srd</x:t>
        </x:is>
      </x:c>
    </x:row>
    <x:row r="49" ht="18" customHeight="1">
      <x:c r="A49" s="2" t="inlineStr">
        <x:is>
          <x:t xml:space="preserve">Cloaker</x:t>
        </x:is>
      </x:c>
      <x:c r="B49" s="2" t="inlineStr">
        <x:is>
          <x:t xml:space="preserve">SRD 5.2.1</x:t>
        </x:is>
      </x:c>
      <x:c r="C49" s="2" t="inlineStr">
        <x:is>
          <x:t xml:space="preserve">Aberration</x:t>
        </x:is>
      </x:c>
      <x:c r="D49" s="2" t="inlineStr">
        <x:is>
          <x:t xml:space="preserve">Large</x:t>
        </x:is>
      </x:c>
      <x:c r="E49" s="2" t="inlineStr">
        <x:is>
          <x:t xml:space="preserve">Chaotic Neutral</x:t>
        </x:is>
      </x:c>
      <x:c r="F49" s="2" t="inlineStr">
        <x:is>
          <x:t xml:space="preserve">8</x:t>
        </x:is>
      </x:c>
      <x:c r="G49" s="2" t="inlineStr">
        <x:is>
          <x:t xml:space="preserve">3900</x:t>
        </x:is>
      </x:c>
      <x:c r="H49" s="2" t="inlineStr">
        <x:is>
          <x:t xml:space="preserve">14</x:t>
        </x:is>
      </x:c>
      <x:c r="I49" s="2" t="inlineStr">
        <x:is>
          <x:t xml:space="preserve">91</x:t>
        </x:is>
      </x:c>
      <x:c r="J49" s="2" t="inlineStr">
        <x:is>
          <x:t xml:space="preserve">10 ft., Fly 40 ft.</x:t>
        </x:is>
      </x:c>
      <x:c r="K49" s="2" t="inlineStr">
        <x:is>
          <x:t xml:space="preserve">3</x:t>
        </x:is>
      </x:c>
      <x:c r="L49" s="2" t="inlineStr">
        <x:is>
          <x:t xml:space="preserve">12</x:t>
        </x:is>
      </x:c>
      <x:c r="M49" s="2" t="inlineStr">
        <x:is>
          <x:t xml:space="preserve">13</x:t>
        </x:is>
      </x:c>
      <x:c r="N49" s="2" t="inlineStr">
        <x:is>
          <x:t xml:space="preserve">6</x:t>
        </x:is>
      </x:c>
      <x:c r="O49" s="2" t="inlineStr">
        <x:is>
          <x:t xml:space="preserve">5</x:t>
        </x:is>
      </x:c>
      <x:c r="P49" s="2" t="inlineStr">
        <x:is>
          <x:t xml:space="preserve">17</x:t>
        </x:is>
      </x:c>
      <x:c r="Q49" s="2" t="inlineStr">
        <x:is>
          <x:t xml:space="preserve">15</x:t>
        </x:is>
      </x:c>
      <x:c r="R49" s="2" t="inlineStr">
        <x:is>
          <x:t xml:space="preserve">12</x:t>
        </x:is>
      </x:c>
      <x:c r="S49" s="2" t="inlineStr">
        <x:is>
          <x:t xml:space="preserve">13</x:t>
        </x:is>
      </x:c>
      <x:c r="T49" s="2" t="inlineStr">
        <x:is>
          <x:t xml:space="preserve">14</x:t>
        </x:is>
      </x:c>
      <x:c r="U49" s="2" t="inlineStr">
        <x:is>
          <x:t xml:space="preserve">7</x:t>
        </x:is>
      </x:c>
      <x:c r="V49" s="2" t="n"/>
      <x:c r="W49" s="2" t="inlineStr">
        <x:is>
          <x:t xml:space="preserve">Stealth +5</x:t>
        </x:is>
      </x:c>
      <x:c r="X49" s="2" t="inlineStr">
        <x:is>
          <x:t xml:space="preserve">Darkvision 120 ft.; Passive Perception 12</x:t>
        </x:is>
      </x:c>
      <x:c r="Y49" s="2" t="inlineStr">
        <x:is>
          <x:t xml:space="preserve">Deep Speech, Undercommon</x:t>
        </x:is>
      </x:c>
      <x:c r="Z49" s="2" t="inlineStr">
        <x:is>
          <x:t xml:space="preserve">Light Sensitivity. While in Bright Light, the cloaker has Disadvantage on attack rolls.</x:t>
        </x:is>
      </x:c>
      <x:c r="AA49" s="2" t="inlineStr">
        <x:is>
          <x:t xml:space="preserve">Multiattack. The cloaker makes one Attach attack and two Tail attacks. Attach. Melee Attack Roll: +6, reach 5 ft. Hit: 13 (3d6 + 3) Piercing damage. If the target is a Large or smaller creature, the cloaker attaches to it. While the cloaker is attached, the target has the Blinded condition, and the cloaker can’t make Attach attacks against other tar- gets. In addition, the cloaker halves the damage it takes (round down), and the target takes the same amount of damage. The cloaker can detach itself by spending 5 feet of movement. The target or a creature within 5 feet of it can take an action to try to detach the cloaker, doing so by succeeding on a DC 14 Strength (Athletics) check. Tail. Melee Attack Roll: +6, reach 10 ft. Hit: 8 (1d10 + 3) Slashing damage.</x:t>
        </x:is>
      </x:c>
      <x:c r="AB49" s="2" t="inlineStr">
        <x:is>
          <x:t xml:space="preserve">Moan. Wisdom Saving Throw: DC 13, each creature in a 60-foot Emanation originating from the cloaker. Failure: The target has the Frightened condition until the end of the cloaker’s next turn. Success: The target is immune to this cloaker’s Moan for the next 24 hours. Phantasms (Recharge after a Short or Long Rest). The cloaker casts the Mirror Image spell, requiring no spell components and using Wisdom as the spellcasting abil- ity. The spell ends early if the cloaker starts or ends its turn in Bright Light. Cloud Giant</x:t>
        </x:is>
      </x:c>
      <x:c r="AC49" s="2" t="n"/>
      <x:c r="AD49" s="2" t="n"/>
      <x:c r="AE49" s="2" t="n"/>
      <x:c r="AF49" s="2" t="inlineStr">
        <x:is>
          <x:t xml:space="preserve">Imported from SRD 5.2.1 p. 274 Index of Stat Blocks</x:t>
        </x:is>
      </x:c>
      <x:c r="AG49" s="2" t="inlineStr">
        <x:is>
          <x:t xml:space="preserve">https://www.dndbeyond.com/srd</x:t>
        </x:is>
      </x:c>
    </x:row>
    <x:row r="50" ht="18" customHeight="1">
      <x:c r="A50" s="2" t="inlineStr">
        <x:is>
          <x:t xml:space="preserve">Cloud Giant</x:t>
        </x:is>
      </x:c>
      <x:c r="B50" s="2" t="inlineStr">
        <x:is>
          <x:t xml:space="preserve">SRD 5.2.1</x:t>
        </x:is>
      </x:c>
      <x:c r="C50" s="2" t="inlineStr">
        <x:is>
          <x:t xml:space="preserve">Giant</x:t>
        </x:is>
      </x:c>
      <x:c r="D50" s="2" t="inlineStr">
        <x:is>
          <x:t xml:space="preserve">Huge</x:t>
        </x:is>
      </x:c>
      <x:c r="E50" s="2" t="inlineStr">
        <x:is>
          <x:t xml:space="preserve">Neutral</x:t>
        </x:is>
      </x:c>
      <x:c r="F50" s="2" t="inlineStr">
        <x:is>
          <x:t xml:space="preserve">9</x:t>
        </x:is>
      </x:c>
      <x:c r="G50" s="2" t="inlineStr">
        <x:is>
          <x:t xml:space="preserve">5000</x:t>
        </x:is>
      </x:c>
      <x:c r="H50" s="2" t="inlineStr">
        <x:is>
          <x:t xml:space="preserve">14</x:t>
        </x:is>
      </x:c>
      <x:c r="I50" s="2" t="inlineStr">
        <x:is>
          <x:t xml:space="preserve">200</x:t>
        </x:is>
      </x:c>
      <x:c r="J50" s="2" t="inlineStr">
        <x:is>
          <x:t xml:space="preserve">40 ft., Fly 20 ft. (hover)</x:t>
        </x:is>
      </x:c>
      <x:c r="K50" s="2" t="inlineStr">
        <x:is>
          <x:t xml:space="preserve">4</x:t>
        </x:is>
      </x:c>
      <x:c r="L50" s="2" t="inlineStr">
        <x:is>
          <x:t xml:space="preserve">21</x:t>
        </x:is>
      </x:c>
      <x:c r="M50" s="2" t="n"/>
      <x:c r="N50" s="2" t="inlineStr">
        <x:is>
          <x:t xml:space="preserve">12</x:t>
        </x:is>
      </x:c>
      <x:c r="O50" s="2" t="inlineStr">
        <x:is>
          <x:t xml:space="preserve">4</x:t>
        </x:is>
      </x:c>
      <x:c r="P50" s="2" t="inlineStr">
        <x:is>
          <x:t xml:space="preserve">27</x:t>
        </x:is>
      </x:c>
      <x:c r="Q50" s="2" t="inlineStr">
        <x:is>
          <x:t xml:space="preserve">10</x:t>
        </x:is>
      </x:c>
      <x:c r="R50" s="2" t="inlineStr">
        <x:is>
          <x:t xml:space="preserve">22</x:t>
        </x:is>
      </x:c>
      <x:c r="S50" s="2" t="inlineStr">
        <x:is>
          <x:t xml:space="preserve">12</x:t>
        </x:is>
      </x:c>
      <x:c r="T50" s="2" t="inlineStr">
        <x:is>
          <x:t xml:space="preserve">16</x:t>
        </x:is>
      </x:c>
      <x:c r="U50" s="2" t="inlineStr">
        <x:is>
          <x:t xml:space="preserve">16</x:t>
        </x:is>
      </x:c>
      <x:c r="V50" s="2" t="inlineStr">
        <x:is>
          <x:t xml:space="preserve">CON +10, WIS +7</x:t>
        </x:is>
      </x:c>
      <x:c r="W50" s="2" t="inlineStr">
        <x:is>
          <x:t xml:space="preserve">Insight +7, Perception +11</x:t>
        </x:is>
      </x:c>
      <x:c r="X50" s="2" t="inlineStr">
        <x:is>
          <x:t xml:space="preserve">Passive Perception 21</x:t>
        </x:is>
      </x:c>
      <x:c r="Y50" s="2" t="inlineStr">
        <x:is>
          <x:t xml:space="preserve">Common, Giant</x:t>
        </x:is>
      </x:c>
      <x:c r="Z50" s="2" t="n"/>
      <x:c r="AA50" s="2" t="inlineStr">
        <x:is>
          <x:t xml:space="preserve">Multiattack. The giant makes two attacks, using Thun- derous Mace or Thundercloud in any combination. It can replace one attack with a use of Spellcasting to cast Fog Cloud. Thunderous Mace. Melee Attack Roll: +12, reach 10 ft. Hit: 21 (3d8 + 8) Bludgeoning damage plus 7 (2d6) Thunder damage. Thundercloud. Ranged Attack Roll: +12, range 240 ft. Hit: 18 (3d6 + 8) Thunder damage, and the target has the Incapacitated condition until the end of its next turn. Spellcasting. The giant casts one of the following spells, requiring no Material components and using Charisma as the spellcasting ability (spell save DC 15): At Will: Detect Magic, Fog Cloud, Light 1/Day Each: Control Weather, Gaseous Form, Telekinesis</x:t>
        </x:is>
      </x:c>
      <x:c r="AB50" s="2" t="inlineStr">
        <x:is>
          <x:t xml:space="preserve">Misty Step. The giant casts the Misty Step spell, using the same spellcasting ability as Spellcasting. Cockatrice</x:t>
        </x:is>
      </x:c>
      <x:c r="AC50" s="2" t="n"/>
      <x:c r="AD50" s="2" t="n"/>
      <x:c r="AE50" s="2" t="inlineStr">
        <x:is>
          <x:t xml:space="preserve">Includes Spellcasting; see Traits/Actions text</x:t>
        </x:is>
      </x:c>
      <x:c r="AF50" s="2" t="inlineStr">
        <x:is>
          <x:t xml:space="preserve">Imported from SRD 5.2.1 p. 275 Index of Stat Blocks</x:t>
        </x:is>
      </x:c>
      <x:c r="AG50" s="2" t="inlineStr">
        <x:is>
          <x:t xml:space="preserve">https://www.dndbeyond.com/srd</x:t>
        </x:is>
      </x:c>
    </x:row>
    <x:row r="51" ht="18" customHeight="1">
      <x:c r="A51" s="2" t="inlineStr">
        <x:is>
          <x:t xml:space="preserve">Cockatrice</x:t>
        </x:is>
      </x:c>
      <x:c r="B51" s="2" t="inlineStr">
        <x:is>
          <x:t xml:space="preserve">SRD 5.2.1</x:t>
        </x:is>
      </x:c>
      <x:c r="C51" s="2" t="inlineStr">
        <x:is>
          <x:t xml:space="preserve">Monstrosity</x:t>
        </x:is>
      </x:c>
      <x:c r="D51" s="2" t="inlineStr">
        <x:is>
          <x:t xml:space="preserve">Small</x:t>
        </x:is>
      </x:c>
      <x:c r="E51" s="2" t="inlineStr">
        <x:is>
          <x:t xml:space="preserve">Unaligned</x:t>
        </x:is>
      </x:c>
      <x:c r="F51" s="2" t="inlineStr">
        <x:is>
          <x:t xml:space="preserve">1/2</x:t>
        </x:is>
      </x:c>
      <x:c r="G51" s="2" t="inlineStr">
        <x:is>
          <x:t xml:space="preserve">100</x:t>
        </x:is>
      </x:c>
      <x:c r="H51" s="2" t="inlineStr">
        <x:is>
          <x:t xml:space="preserve">11</x:t>
        </x:is>
      </x:c>
      <x:c r="I51" s="2" t="inlineStr">
        <x:is>
          <x:t xml:space="preserve">22</x:t>
        </x:is>
      </x:c>
      <x:c r="J51" s="2" t="inlineStr">
        <x:is>
          <x:t xml:space="preserve">20 ft., Fly 40 ft.</x:t>
        </x:is>
      </x:c>
      <x:c r="K51" s="2" t="inlineStr">
        <x:is>
          <x:t xml:space="preserve">2</x:t>
        </x:is>
      </x:c>
      <x:c r="L51" s="2" t="inlineStr">
        <x:is>
          <x:t xml:space="preserve">11</x:t>
        </x:is>
      </x:c>
      <x:c r="M51" s="2" t="inlineStr">
        <x:is>
          <x:t xml:space="preserve">11</x:t>
        </x:is>
      </x:c>
      <x:c r="N51" s="2" t="inlineStr">
        <x:is>
          <x:t xml:space="preserve">3</x:t>
        </x:is>
      </x:c>
      <x:c r="O51" s="2" t="inlineStr">
        <x:is>
          <x:t xml:space="preserve">1</x:t>
        </x:is>
      </x:c>
      <x:c r="P51" s="2" t="inlineStr">
        <x:is>
          <x:t xml:space="preserve">6</x:t>
        </x:is>
      </x:c>
      <x:c r="Q51" s="2" t="inlineStr">
        <x:is>
          <x:t xml:space="preserve">12</x:t>
        </x:is>
      </x:c>
      <x:c r="R51" s="2" t="inlineStr">
        <x:is>
          <x:t xml:space="preserve">12</x:t>
        </x:is>
      </x:c>
      <x:c r="S51" s="2" t="inlineStr">
        <x:is>
          <x:t xml:space="preserve">2</x:t>
        </x:is>
      </x:c>
      <x:c r="T51" s="2" t="inlineStr">
        <x:is>
          <x:t xml:space="preserve">13</x:t>
        </x:is>
      </x:c>
      <x:c r="U51" s="2" t="inlineStr">
        <x:is>
          <x:t xml:space="preserve">5</x:t>
        </x:is>
      </x:c>
      <x:c r="V51" s="2" t="n"/>
      <x:c r="W51" s="2" t="n"/>
      <x:c r="X51" s="2" t="inlineStr">
        <x:is>
          <x:t xml:space="preserve">Darkvision 60 ft.; Passive Perception 11</x:t>
        </x:is>
      </x:c>
      <x:c r="Y51" s="2" t="inlineStr">
        <x:is>
          <x:t xml:space="preserve">None</x:t>
        </x:is>
      </x:c>
      <x:c r="Z51" s="2" t="n"/>
      <x:c r="AA51" s="2" t="inlineStr">
        <x:is>
          <x:t xml:space="preserve">Petrifying Bite. Melee Attack Roll: +3, reach 5 ft. Hit: 3 (1d4 + 1) Piercing damage. If the target is a creature, it is subjected to the following effect. Constitution Saving Throw: DC 11. First Failure: The target has the Restrained condition. The target repeats the save at the end of its next turn if it is still Restrained, ending the effect on itself on a success. Second Failure: The target has the Petrified condition, instead of the Restrained condition, for 24 hours. Commoner</x:t>
        </x:is>
      </x:c>
      <x:c r="AB51" s="2" t="n"/>
      <x:c r="AC51" s="2" t="n"/>
      <x:c r="AD51" s="2" t="n"/>
      <x:c r="AE51" s="2" t="n"/>
      <x:c r="AF51" s="2" t="inlineStr">
        <x:is>
          <x:t xml:space="preserve">Imported from SRD 5.2.1 p. 275 Index of Stat Blocks</x:t>
        </x:is>
      </x:c>
      <x:c r="AG51" s="2" t="inlineStr">
        <x:is>
          <x:t xml:space="preserve">https://www.dndbeyond.com/srd</x:t>
        </x:is>
      </x:c>
    </x:row>
    <x:row r="52" ht="18" customHeight="1">
      <x:c r="A52" s="2" t="inlineStr">
        <x:is>
          <x:t xml:space="preserve">Commoner</x:t>
        </x:is>
      </x:c>
      <x:c r="B52" s="2" t="inlineStr">
        <x:is>
          <x:t xml:space="preserve">SRD 5.2.1</x:t>
        </x:is>
      </x:c>
      <x:c r="C52" s="2" t="inlineStr">
        <x:is>
          <x:t xml:space="preserve">Humanoid</x:t>
        </x:is>
      </x:c>
      <x:c r="D52" s="2" t="inlineStr">
        <x:is>
          <x:t xml:space="preserve">Medium or Small</x:t>
        </x:is>
      </x:c>
      <x:c r="E52" s="2" t="inlineStr">
        <x:is>
          <x:t xml:space="preserve">Neutral</x:t>
        </x:is>
      </x:c>
      <x:c r="F52" s="2" t="inlineStr">
        <x:is>
          <x:t xml:space="preserve">0</x:t>
        </x:is>
      </x:c>
      <x:c r="G52" s="2" t="inlineStr">
        <x:is>
          <x:t xml:space="preserve">10</x:t>
        </x:is>
      </x:c>
      <x:c r="H52" s="2" t="inlineStr">
        <x:is>
          <x:t xml:space="preserve">10</x:t>
        </x:is>
      </x:c>
      <x:c r="I52" s="2" t="inlineStr">
        <x:is>
          <x:t xml:space="preserve">4</x:t>
        </x:is>
      </x:c>
      <x:c r="J52" s="2" t="inlineStr">
        <x:is>
          <x:t xml:space="preserve">30 ft.</x:t>
        </x:is>
      </x:c>
      <x:c r="K52" s="2" t="inlineStr">
        <x:is>
          <x:t xml:space="preserve">2</x:t>
        </x:is>
      </x:c>
      <x:c r="L52" s="2" t="inlineStr">
        <x:is>
          <x:t xml:space="preserve">10</x:t>
        </x:is>
      </x:c>
      <x:c r="M52" s="2" t="n"/>
      <x:c r="N52" s="2" t="inlineStr">
        <x:is>
          <x:t xml:space="preserve">2</x:t>
        </x:is>
      </x:c>
      <x:c r="O52" s="2" t="inlineStr">
        <x:is>
          <x:t xml:space="preserve">0</x:t>
        </x:is>
      </x:c>
      <x:c r="P52" s="2" t="inlineStr">
        <x:is>
          <x:t xml:space="preserve">10</x:t>
        </x:is>
      </x:c>
      <x:c r="Q52" s="2" t="inlineStr">
        <x:is>
          <x:t xml:space="preserve">10</x:t>
        </x:is>
      </x:c>
      <x:c r="R52" s="2" t="inlineStr">
        <x:is>
          <x:t xml:space="preserve">10</x:t>
        </x:is>
      </x:c>
      <x:c r="S52" s="2" t="inlineStr">
        <x:is>
          <x:t xml:space="preserve">10</x:t>
        </x:is>
      </x:c>
      <x:c r="T52" s="2" t="inlineStr">
        <x:is>
          <x:t xml:space="preserve">10</x:t>
        </x:is>
      </x:c>
      <x:c r="U52" s="2" t="inlineStr">
        <x:is>
          <x:t xml:space="preserve">10</x:t>
        </x:is>
      </x:c>
      <x:c r="V52" s="2" t="n"/>
      <x:c r="W52" s="2" t="n"/>
      <x:c r="X52" s="2" t="inlineStr">
        <x:is>
          <x:t xml:space="preserve">Passive Perception 10</x:t>
        </x:is>
      </x:c>
      <x:c r="Y52" s="2" t="inlineStr">
        <x:is>
          <x:t xml:space="preserve">Common</x:t>
        </x:is>
      </x:c>
      <x:c r="Z52" s="2" t="inlineStr">
        <x:is>
          <x:t xml:space="preserve">Training. The commoner has proficiency in one skill of the GM’s choice and has Advantage whenever it makes an ability check using that skill.</x:t>
        </x:is>
      </x:c>
      <x:c r="AA52" s="2" t="inlineStr">
        <x:is>
          <x:t xml:space="preserve">Club. Melee Attack Roll: +2, reach 5 ft. Hit: 2 (1d4) Bludgeoning damage. Copper Dragons</x:t>
        </x:is>
      </x:c>
      <x:c r="AB52" s="2" t="n"/>
      <x:c r="AC52" s="2" t="n"/>
      <x:c r="AD52" s="2" t="n"/>
      <x:c r="AE52" s="2" t="n"/>
      <x:c r="AF52" s="2" t="inlineStr">
        <x:is>
          <x:t xml:space="preserve">Imported from SRD 5.2.1 p. 275 Index of Stat Blocks</x:t>
        </x:is>
      </x:c>
      <x:c r="AG52" s="2" t="inlineStr">
        <x:is>
          <x:t xml:space="preserve">https://www.dndbeyond.com/srd</x:t>
        </x:is>
      </x:c>
    </x:row>
    <x:row r="53" ht="18" customHeight="1">
      <x:c r="A53" s="2" t="inlineStr">
        <x:is>
          <x:t xml:space="preserve">Copper Dragon Wyrmling</x:t>
        </x:is>
      </x:c>
      <x:c r="B53" s="2" t="inlineStr">
        <x:is>
          <x:t xml:space="preserve">SRD 5.2.1</x:t>
        </x:is>
      </x:c>
      <x:c r="C53" s="2" t="inlineStr">
        <x:is>
          <x:t xml:space="preserve">Dragon (Metallic)</x:t>
        </x:is>
      </x:c>
      <x:c r="D53" s="2" t="inlineStr">
        <x:is>
          <x:t xml:space="preserve">Medium</x:t>
        </x:is>
      </x:c>
      <x:c r="E53" s="2" t="inlineStr">
        <x:is>
          <x:t xml:space="preserve">Chaotic Good</x:t>
        </x:is>
      </x:c>
      <x:c r="F53" s="2" t="inlineStr">
        <x:is>
          <x:t xml:space="preserve">1</x:t>
        </x:is>
      </x:c>
      <x:c r="G53" s="2" t="inlineStr">
        <x:is>
          <x:t xml:space="preserve">200</x:t>
        </x:is>
      </x:c>
      <x:c r="H53" s="2" t="inlineStr">
        <x:is>
          <x:t xml:space="preserve">16</x:t>
        </x:is>
      </x:c>
      <x:c r="I53" s="2" t="inlineStr">
        <x:is>
          <x:t xml:space="preserve">22</x:t>
        </x:is>
      </x:c>
      <x:c r="J53" s="2" t="inlineStr">
        <x:is>
          <x:t xml:space="preserve">30 ft., Climb 30 ft., Fly 60 ft.</x:t>
        </x:is>
      </x:c>
      <x:c r="K53" s="2" t="inlineStr">
        <x:is>
          <x:t xml:space="preserve">2</x:t>
        </x:is>
      </x:c>
      <x:c r="L53" s="2" t="inlineStr">
        <x:is>
          <x:t xml:space="preserve">14</x:t>
        </x:is>
      </x:c>
      <x:c r="M53" s="2" t="inlineStr">
        <x:is>
          <x:t xml:space="preserve">11</x:t>
        </x:is>
      </x:c>
      <x:c r="N53" s="2" t="inlineStr">
        <x:is>
          <x:t xml:space="preserve">4</x:t>
        </x:is>
      </x:c>
      <x:c r="O53" s="2" t="inlineStr">
        <x:is>
          <x:t xml:space="preserve">3</x:t>
        </x:is>
      </x:c>
      <x:c r="P53" s="2" t="inlineStr">
        <x:is>
          <x:t xml:space="preserve">15</x:t>
        </x:is>
      </x:c>
      <x:c r="Q53" s="2" t="inlineStr">
        <x:is>
          <x:t xml:space="preserve">12</x:t>
        </x:is>
      </x:c>
      <x:c r="R53" s="2" t="inlineStr">
        <x:is>
          <x:t xml:space="preserve">13</x:t>
        </x:is>
      </x:c>
      <x:c r="S53" s="2" t="inlineStr">
        <x:is>
          <x:t xml:space="preserve">14</x:t>
        </x:is>
      </x:c>
      <x:c r="T53" s="2" t="inlineStr">
        <x:is>
          <x:t xml:space="preserve">11</x:t>
        </x:is>
      </x:c>
      <x:c r="U53" s="2" t="inlineStr">
        <x:is>
          <x:t xml:space="preserve">13</x:t>
        </x:is>
      </x:c>
      <x:c r="V53" s="2" t="inlineStr">
        <x:is>
          <x:t xml:space="preserve">DEX +3, WIS +2</x:t>
        </x:is>
      </x:c>
      <x:c r="W53" s="2" t="inlineStr">
        <x:is>
          <x:t xml:space="preserve">Perception +4, Stealth +3</x:t>
        </x:is>
      </x:c>
      <x:c r="X53" s="2" t="inlineStr">
        <x:is>
          <x:t xml:space="preserve">Blindsight 10 ft., Darkvision 60 ft.; Passive Perception 14</x:t>
        </x:is>
      </x:c>
      <x:c r="Y53" s="2" t="inlineStr">
        <x:is>
          <x:t xml:space="preserve">Draconic</x:t>
        </x:is>
      </x:c>
      <x:c r="Z53" s="2" t="n"/>
      <x:c r="AA53" s="2" t="inlineStr">
        <x:is>
          <x:t xml:space="preserve">Rend. Melee Attack Roll: +4, reach 5 ft. Hit: 7 (1d10 + 2) Slashing damage. Acid Breath (Recharge 5-6). Dexterity Saving Throw: DC 11, each creature in a 20-foot-long, 5-foot- wide Line. Failure: 18 (4d8) Acid damage. Success: Half damage. Slowing Breath. Constitution Saving Throw: DC 11, each creature in a 15-foot Cone. Failure: The target can’t take Reactions; its Speed is halved; and it can take either an action or a Bonus Action on its turn, not both. This effect lasts until the end of its next turn.</x:t>
        </x:is>
      </x:c>
      <x:c r="AB53" s="2" t="n"/>
      <x:c r="AC53" s="2" t="n"/>
      <x:c r="AD53" s="2" t="n"/>
      <x:c r="AE53" s="2" t="n"/>
      <x:c r="AF53" s="2" t="inlineStr">
        <x:is>
          <x:t xml:space="preserve">Imported from SRD 5.2.1 p. 275 Index of Stat Blocks</x:t>
        </x:is>
      </x:c>
      <x:c r="AG53" s="2" t="inlineStr">
        <x:is>
          <x:t xml:space="preserve">https://www.dndbeyond.com/srd</x:t>
        </x:is>
      </x:c>
    </x:row>
    <x:row r="54" ht="18" customHeight="1">
      <x:c r="A54" s="2" t="inlineStr">
        <x:is>
          <x:t xml:space="preserve">Young Copper Dragon</x:t>
        </x:is>
      </x:c>
      <x:c r="B54" s="2" t="inlineStr">
        <x:is>
          <x:t xml:space="preserve">SRD 5.2.1</x:t>
        </x:is>
      </x:c>
      <x:c r="C54" s="2" t="inlineStr">
        <x:is>
          <x:t xml:space="preserve">Dragon (Metallic)</x:t>
        </x:is>
      </x:c>
      <x:c r="D54" s="2" t="inlineStr">
        <x:is>
          <x:t xml:space="preserve">Large</x:t>
        </x:is>
      </x:c>
      <x:c r="E54" s="2" t="inlineStr">
        <x:is>
          <x:t xml:space="preserve">Chaotic Good</x:t>
        </x:is>
      </x:c>
      <x:c r="F54" s="2" t="inlineStr">
        <x:is>
          <x:t xml:space="preserve">7</x:t>
        </x:is>
      </x:c>
      <x:c r="G54" s="2" t="inlineStr">
        <x:is>
          <x:t xml:space="preserve">2900</x:t>
        </x:is>
      </x:c>
      <x:c r="H54" s="2" t="inlineStr">
        <x:is>
          <x:t xml:space="preserve">17</x:t>
        </x:is>
      </x:c>
      <x:c r="I54" s="2" t="inlineStr">
        <x:is>
          <x:t xml:space="preserve">119</x:t>
        </x:is>
      </x:c>
      <x:c r="J54" s="2" t="inlineStr">
        <x:is>
          <x:t xml:space="preserve">40 ft., Climb 40 ft., Fly 80 ft.</x:t>
        </x:is>
      </x:c>
      <x:c r="K54" s="2" t="inlineStr">
        <x:is>
          <x:t xml:space="preserve">3</x:t>
        </x:is>
      </x:c>
      <x:c r="L54" s="2" t="inlineStr">
        <x:is>
          <x:t xml:space="preserve">17</x:t>
        </x:is>
      </x:c>
      <x:c r="M54" s="2" t="inlineStr">
        <x:is>
          <x:t xml:space="preserve">14</x:t>
        </x:is>
      </x:c>
      <x:c r="N54" s="2" t="inlineStr">
        <x:is>
          <x:t xml:space="preserve">7</x:t>
        </x:is>
      </x:c>
      <x:c r="O54" s="2" t="inlineStr">
        <x:is>
          <x:t xml:space="preserve">4</x:t>
        </x:is>
      </x:c>
      <x:c r="P54" s="2" t="inlineStr">
        <x:is>
          <x:t xml:space="preserve">19</x:t>
        </x:is>
      </x:c>
      <x:c r="Q54" s="2" t="inlineStr">
        <x:is>
          <x:t xml:space="preserve">12</x:t>
        </x:is>
      </x:c>
      <x:c r="R54" s="2" t="inlineStr">
        <x:is>
          <x:t xml:space="preserve">17</x:t>
        </x:is>
      </x:c>
      <x:c r="S54" s="2" t="inlineStr">
        <x:is>
          <x:t xml:space="preserve">16</x:t>
        </x:is>
      </x:c>
      <x:c r="T54" s="2" t="inlineStr">
        <x:is>
          <x:t xml:space="preserve">13</x:t>
        </x:is>
      </x:c>
      <x:c r="U54" s="2" t="inlineStr">
        <x:is>
          <x:t xml:space="preserve">15</x:t>
        </x:is>
      </x:c>
      <x:c r="V54" s="2" t="inlineStr">
        <x:is>
          <x:t xml:space="preserve">DEX +4, WIS +4</x:t>
        </x:is>
      </x:c>
      <x:c r="W54" s="2" t="inlineStr">
        <x:is>
          <x:t xml:space="preserve">Deception +5, Perception +7, Stealth +4</x:t>
        </x:is>
      </x:c>
      <x:c r="X54" s="2" t="inlineStr">
        <x:is>
          <x:t xml:space="preserve">Blindsight 30 ft., Darkvision 120 ft.; Passive Perception 17</x:t>
        </x:is>
      </x:c>
      <x:c r="Y54" s="2" t="inlineStr">
        <x:is>
          <x:t xml:space="preserve">Common, Draconic</x:t>
        </x:is>
      </x:c>
      <x:c r="Z54" s="2" t="n"/>
      <x:c r="AA54" s="2" t="inlineStr">
        <x:is>
          <x:t xml:space="preserve">Multiattack. The dragon makes three Rend attacks. It can replace one attack with a use of Slowing Breath. Rend. Melee Attack Roll: +7, reach 10 ft. Hit: 15 (2d10 + 4) Slashing damage. Acid Breath (Recharge 5-6). Dexterity Saving Throw: DC 14, each creature in a 40-foot-long, 5-foot- wide Line. Failure: 40 (9d8) Acid damage. Success: Half damage. Slowing Breath. Constitution Saving Throw: DC 14, each creature in a 30-foot Cone. Failure: The target can’t take Reactions; its Speed is halved; and it can take either an action or a Bonus Action on its turn, not both. This effect lasts until the end of its next turn.</x:t>
        </x:is>
      </x:c>
      <x:c r="AB54" s="2" t="n"/>
      <x:c r="AC54" s="2" t="n"/>
      <x:c r="AD54" s="2" t="n"/>
      <x:c r="AE54" s="2" t="n"/>
      <x:c r="AF54" s="2" t="inlineStr">
        <x:is>
          <x:t xml:space="preserve">Imported from SRD 5.2.1 p. 276 Index of Stat Blocks</x:t>
        </x:is>
      </x:c>
      <x:c r="AG54" s="2" t="inlineStr">
        <x:is>
          <x:t xml:space="preserve">https://www.dndbeyond.com/srd</x:t>
        </x:is>
      </x:c>
    </x:row>
    <x:row r="55" ht="18" customHeight="1">
      <x:c r="A55" s="2" t="inlineStr">
        <x:is>
          <x:t xml:space="preserve">Adult Copper Dragon</x:t>
        </x:is>
      </x:c>
      <x:c r="B55" s="2" t="inlineStr">
        <x:is>
          <x:t xml:space="preserve">SRD 5.2.1</x:t>
        </x:is>
      </x:c>
      <x:c r="C55" s="2" t="inlineStr">
        <x:is>
          <x:t xml:space="preserve">Dragon (Metallic)</x:t>
        </x:is>
      </x:c>
      <x:c r="D55" s="2" t="inlineStr">
        <x:is>
          <x:t xml:space="preserve">Huge</x:t>
        </x:is>
      </x:c>
      <x:c r="E55" s="2" t="inlineStr">
        <x:is>
          <x:t xml:space="preserve">Chaotic Good</x:t>
        </x:is>
      </x:c>
      <x:c r="F55" s="2" t="inlineStr">
        <x:is>
          <x:t xml:space="preserve">14</x:t>
        </x:is>
      </x:c>
      <x:c r="G55" s="2" t="inlineStr">
        <x:is>
          <x:t xml:space="preserve">11500</x:t>
        </x:is>
      </x:c>
      <x:c r="H55" s="2" t="inlineStr">
        <x:is>
          <x:t xml:space="preserve">18</x:t>
        </x:is>
      </x:c>
      <x:c r="I55" s="2" t="inlineStr">
        <x:is>
          <x:t xml:space="preserve">184</x:t>
        </x:is>
      </x:c>
      <x:c r="J55" s="2" t="inlineStr">
        <x:is>
          <x:t xml:space="preserve">40 ft., Climb 40 ft., Fly 80 ft.</x:t>
        </x:is>
      </x:c>
      <x:c r="K55" s="2" t="inlineStr">
        <x:is>
          <x:t xml:space="preserve">5</x:t>
        </x:is>
      </x:c>
      <x:c r="L55" s="2" t="inlineStr">
        <x:is>
          <x:t xml:space="preserve">22</x:t>
        </x:is>
      </x:c>
      <x:c r="M55" s="2" t="inlineStr">
        <x:is>
          <x:t xml:space="preserve">18</x:t>
        </x:is>
      </x:c>
      <x:c r="N55" s="2" t="inlineStr">
        <x:is>
          <x:t xml:space="preserve">11</x:t>
        </x:is>
      </x:c>
      <x:c r="O55" s="2" t="inlineStr">
        <x:is>
          <x:t xml:space="preserve">11</x:t>
        </x:is>
      </x:c>
      <x:c r="P55" s="2" t="inlineStr">
        <x:is>
          <x:t xml:space="preserve">23</x:t>
        </x:is>
      </x:c>
      <x:c r="Q55" s="2" t="inlineStr">
        <x:is>
          <x:t xml:space="preserve">12</x:t>
        </x:is>
      </x:c>
      <x:c r="R55" s="2" t="inlineStr">
        <x:is>
          <x:t xml:space="preserve">21</x:t>
        </x:is>
      </x:c>
      <x:c r="S55" s="2" t="inlineStr">
        <x:is>
          <x:t xml:space="preserve">18</x:t>
        </x:is>
      </x:c>
      <x:c r="T55" s="2" t="inlineStr">
        <x:is>
          <x:t xml:space="preserve">15</x:t>
        </x:is>
      </x:c>
      <x:c r="U55" s="2" t="inlineStr">
        <x:is>
          <x:t xml:space="preserve">18</x:t>
        </x:is>
      </x:c>
      <x:c r="V55" s="2" t="inlineStr">
        <x:is>
          <x:t xml:space="preserve">DEX +6, WIS +7</x:t>
        </x:is>
      </x:c>
      <x:c r="W55" s="2" t="inlineStr">
        <x:is>
          <x:t xml:space="preserve">Deception +9, Perception +12, Stealth +6</x:t>
        </x:is>
      </x:c>
      <x:c r="X55" s="2" t="inlineStr">
        <x:is>
          <x:t xml:space="preserve">Blindsight 60 ft., Darkvision 120 ft.; Passive Perception 22</x:t>
        </x:is>
      </x:c>
      <x:c r="Y55" s="2" t="inlineStr">
        <x:is>
          <x:t xml:space="preserve">Common, Draconic</x:t>
        </x:is>
      </x:c>
      <x:c r="Z55" s="2" t="inlineStr">
        <x:is>
          <x:t xml:space="preserve">Legendary Resistance (3/Day, or 4/Day in Lair). If the dragon fails a saving throw, it can choose to suc- ceed instead.</x:t>
        </x:is>
      </x:c>
      <x:c r="AA55" s="2" t="inlineStr">
        <x:is>
          <x:t xml:space="preserve">Multiattack. The dragon makes three Rend attacks. It can replace one attack with a use of (A) Slowing Breath or (B) Spellcasting to cast Mind Spike (level 4 version). Rend. Melee Attack Roll: +11, reach 10 ft. Hit: 17 (2d10 + 6) Slashing damage plus 4 (1d8) Acid damage. Acid Breath (Recharge 5-6). Dexterity Saving Throw: DC 18, each creature in an 60-foot-long, 5-foot- wide Line. Failure: 54 (12d8) Acid damage. Success: Half damage. Slowing Breath. Constitution Saving Throw: DC 18, each creature in a 60-foot Cone. Failure: The target can’t take Reactions; its Speed is halved; and it can take either an action or a Bonus Action on its turn, not both. This effect lasts until the end of its next turn. Spellcasting. The dragon casts one of the following spells, requiring no Material components and using Charisma as the spellcasting ability (spell save DC 17): At Will: Detect Magic, Mind Spike (level 4 version), Minor Illusion, Shapechange (Beast or Humanoid form only, no Temporary Hit Points gained from the spell, and no Concentration or Temporary Hit Points required to maintain the spell) 1/Day Each: Greater Restoration, Major Image</x:t>
        </x:is>
      </x:c>
      <x:c r="AB55" s="2" t="n"/>
      <x:c r="AC55" s="2" t="n"/>
      <x:c r="AD55" s="2" t="inlineStr">
        <x:is>
          <x:t xml:space="preserve">Legendary Action Uses: 3 (4 in Lair). Immediately after another creature’s turn, the dragon can expend a use to take one of the following actions. The dragon regains all expended uses at the start of each of its turns. Giggling Magic. Charisma Saving Throw: DC 17, one creature the dragon can see within 90 feet. Failure: 24 (7d6) Psychic damage. Until the end of its next turn, the target rolls 1d6 whenever it makes an ability check or attack roll and subtracts the number rolled from the D20 Test. Failure or Success: The dragon can’t take this action again until the start of its next turn. Mind Jolt. The dragon uses Spellcasting to cast Mind Spike (level 4 version). The dragon can’t take this action again until the start of its next turn. Pounce. The dragon moves up to half its Speed, and it makes one Rend attack.</x:t>
        </x:is>
      </x:c>
      <x:c r="AE55" s="2" t="inlineStr">
        <x:is>
          <x:t xml:space="preserve">Includes Spellcasting; see Traits/Actions text</x:t>
        </x:is>
      </x:c>
      <x:c r="AF55" s="2" t="inlineStr">
        <x:is>
          <x:t xml:space="preserve">Imported from SRD 5.2.1 p. 276 Index of Stat Blocks</x:t>
        </x:is>
      </x:c>
      <x:c r="AG55" s="2" t="inlineStr">
        <x:is>
          <x:t xml:space="preserve">https://www.dndbeyond.com/srd</x:t>
        </x:is>
      </x:c>
    </x:row>
    <x:row r="56" ht="18" customHeight="1">
      <x:c r="A56" s="2" t="inlineStr">
        <x:is>
          <x:t xml:space="preserve">Ancient Copper Dragon</x:t>
        </x:is>
      </x:c>
      <x:c r="B56" s="2" t="inlineStr">
        <x:is>
          <x:t xml:space="preserve">SRD 5.2.1</x:t>
        </x:is>
      </x:c>
      <x:c r="C56" s="2" t="inlineStr">
        <x:is>
          <x:t xml:space="preserve">Dragon (Metallic)</x:t>
        </x:is>
      </x:c>
      <x:c r="D56" s="2" t="inlineStr">
        <x:is>
          <x:t xml:space="preserve">Gargantuan</x:t>
        </x:is>
      </x:c>
      <x:c r="E56" s="2" t="inlineStr">
        <x:is>
          <x:t xml:space="preserve">Chaotic Good</x:t>
        </x:is>
      </x:c>
      <x:c r="F56" s="2" t="inlineStr">
        <x:is>
          <x:t xml:space="preserve">21</x:t>
        </x:is>
      </x:c>
      <x:c r="G56" s="2" t="inlineStr">
        <x:is>
          <x:t xml:space="preserve">33000</x:t>
        </x:is>
      </x:c>
      <x:c r="H56" s="2" t="inlineStr">
        <x:is>
          <x:t xml:space="preserve">21</x:t>
        </x:is>
      </x:c>
      <x:c r="I56" s="2" t="inlineStr">
        <x:is>
          <x:t xml:space="preserve">367</x:t>
        </x:is>
      </x:c>
      <x:c r="J56" s="2" t="inlineStr">
        <x:is>
          <x:t xml:space="preserve">40 ft., Climb 40 ft., Fly 80 ft.</x:t>
        </x:is>
      </x:c>
      <x:c r="K56" s="2" t="inlineStr">
        <x:is>
          <x:t xml:space="preserve">7</x:t>
        </x:is>
      </x:c>
      <x:c r="L56" s="2" t="inlineStr">
        <x:is>
          <x:t xml:space="preserve">27</x:t>
        </x:is>
      </x:c>
      <x:c r="M56" s="2" t="inlineStr">
        <x:is>
          <x:t xml:space="preserve">22</x:t>
        </x:is>
      </x:c>
      <x:c r="N56" s="2" t="inlineStr">
        <x:is>
          <x:t xml:space="preserve">15</x:t>
        </x:is>
      </x:c>
      <x:c r="O56" s="2" t="inlineStr">
        <x:is>
          <x:t xml:space="preserve">15</x:t>
        </x:is>
      </x:c>
      <x:c r="P56" s="2" t="inlineStr">
        <x:is>
          <x:t xml:space="preserve">27</x:t>
        </x:is>
      </x:c>
      <x:c r="Q56" s="2" t="inlineStr">
        <x:is>
          <x:t xml:space="preserve">12</x:t>
        </x:is>
      </x:c>
      <x:c r="R56" s="2" t="inlineStr">
        <x:is>
          <x:t xml:space="preserve">25</x:t>
        </x:is>
      </x:c>
      <x:c r="S56" s="2" t="inlineStr">
        <x:is>
          <x:t xml:space="preserve">20</x:t>
        </x:is>
      </x:c>
      <x:c r="T56" s="2" t="inlineStr">
        <x:is>
          <x:t xml:space="preserve">17</x:t>
        </x:is>
      </x:c>
      <x:c r="U56" s="2" t="inlineStr">
        <x:is>
          <x:t xml:space="preserve">22</x:t>
        </x:is>
      </x:c>
      <x:c r="V56" s="2" t="inlineStr">
        <x:is>
          <x:t xml:space="preserve">DEX +8, WIS +10</x:t>
        </x:is>
      </x:c>
      <x:c r="W56" s="2" t="inlineStr">
        <x:is>
          <x:t xml:space="preserve">Deception +13, Perception +17, Stealth +8</x:t>
        </x:is>
      </x:c>
      <x:c r="X56" s="2" t="inlineStr">
        <x:is>
          <x:t xml:space="preserve">Blindsight 60 ft., Darkvision 120 ft.; Passive Perception 27</x:t>
        </x:is>
      </x:c>
      <x:c r="Y56" s="2" t="inlineStr">
        <x:is>
          <x:t xml:space="preserve">Common, Draconic</x:t>
        </x:is>
      </x:c>
      <x:c r="Z56" s="2" t="inlineStr">
        <x:is>
          <x:t xml:space="preserve">Legendary Resistance (4/Day, or 5/Day in Lair). If the dragon fails a saving throw, it can choose to suc- ceed instead.</x:t>
        </x:is>
      </x:c>
      <x:c r="AA56" s="2" t="inlineStr">
        <x:is>
          <x:t xml:space="preserve">Multiattack. The dragon makes three Rend attacks. It can replace one attack with a use of (A) Slowing Breath or (B) Spellcasting to cast Mind Spike (level 5 version). Rend. Melee Attack Roll: +15, reach 15 ft. Hit: 19 (2d10 + 8) Slashing damage plus 9 (2d8) Acid damage. Acid Breath (Recharge 5-6). Dexterity Saving Throw: DC 22, each creature in an 90-foot-long, 10-foot- wide Line. Failure: 63 (14d8) Acid damage. Success: Half damage. Slowing Breath. Constitution Saving Throw: DC 22, each creature in a 90-foot Cone. Failure: The target can’t take Reactions; its Speed is halved; and it can take either an action or a Bonus Action on its turn, not both. This effect lasts until the end of its next turn. Spellcasting. The dragon casts one of the following spells, requiring no Material components and using Charisma as the spellcasting ability (spell save DC 21): At Will: Detect Magic, Mind Spike (level 5 version), Minor Illusion, Shapechange (Beast or Humanoid form only, no Temporary Hit Points gained from the spell, and no Concentration or Temporary Hit Points required to maintain the spell) 1/Day Each: Greater Restoration, Major Image, Project Image</x:t>
        </x:is>
      </x:c>
      <x:c r="AB56" s="2" t="n"/>
      <x:c r="AC56" s="2" t="n"/>
      <x:c r="AD56" s="2" t="inlineStr">
        <x:is>
          <x:t xml:space="preserve">Legendary Action Uses: 3 (4 in Lair). Immediately after another creature’s turn, the dragon can expend a use to take one of the following actions. The dragon regains all expended uses at the start of each of its turns. Giggling Magic. Charisma Saving Throw: DC 21, one creature the dragon can see within 120 feet. Failure: 31 (9d6) Psychic damage. Until the end of its next turn, the target rolls 1d8 whenever it makes an ability check or attack roll and subtracts the number rolled from the D20 Test. Failure or Success: The dragon can’t take this action again until the start of its next turn. Mind Jolt. The dragon uses Spellcasting to cast Mind Spike (level 5 version). The dragon can’t take this action again until the start of its next turn. Pounce. The dragon moves up to half its Speed, and it makes one Rend attack. Couatl</x:t>
        </x:is>
      </x:c>
      <x:c r="AE56" s="2" t="inlineStr">
        <x:is>
          <x:t xml:space="preserve">Includes Spellcasting; see Traits/Actions text</x:t>
        </x:is>
      </x:c>
      <x:c r="AF56" s="2" t="inlineStr">
        <x:is>
          <x:t xml:space="preserve">Imported from SRD 5.2.1 p. 277 Index of Stat Blocks</x:t>
        </x:is>
      </x:c>
      <x:c r="AG56" s="2" t="inlineStr">
        <x:is>
          <x:t xml:space="preserve">https://www.dndbeyond.com/srd</x:t>
        </x:is>
      </x:c>
    </x:row>
    <x:row r="57" ht="18" customHeight="1">
      <x:c r="A57" s="2" t="inlineStr">
        <x:is>
          <x:t xml:space="preserve">Couatl</x:t>
        </x:is>
      </x:c>
      <x:c r="B57" s="2" t="inlineStr">
        <x:is>
          <x:t xml:space="preserve">SRD 5.2.1</x:t>
        </x:is>
      </x:c>
      <x:c r="C57" s="2" t="inlineStr">
        <x:is>
          <x:t xml:space="preserve">Celestial</x:t>
        </x:is>
      </x:c>
      <x:c r="D57" s="2" t="inlineStr">
        <x:is>
          <x:t xml:space="preserve">Medium</x:t>
        </x:is>
      </x:c>
      <x:c r="E57" s="2" t="inlineStr">
        <x:is>
          <x:t xml:space="preserve">Lawful Good</x:t>
        </x:is>
      </x:c>
      <x:c r="F57" s="2" t="inlineStr">
        <x:is>
          <x:t xml:space="preserve">4</x:t>
        </x:is>
      </x:c>
      <x:c r="G57" s="2" t="inlineStr">
        <x:is>
          <x:t xml:space="preserve">1100</x:t>
        </x:is>
      </x:c>
      <x:c r="H57" s="2" t="inlineStr">
        <x:is>
          <x:t xml:space="preserve">19</x:t>
        </x:is>
      </x:c>
      <x:c r="I57" s="2" t="inlineStr">
        <x:is>
          <x:t xml:space="preserve">60</x:t>
        </x:is>
      </x:c>
      <x:c r="J57" s="2" t="inlineStr">
        <x:is>
          <x:t xml:space="preserve">30 ft., Fly 90 ft.</x:t>
        </x:is>
      </x:c>
      <x:c r="K57" s="2" t="inlineStr">
        <x:is>
          <x:t xml:space="preserve">2</x:t>
        </x:is>
      </x:c>
      <x:c r="L57" s="2" t="inlineStr">
        <x:is>
          <x:t xml:space="preserve">15</x:t>
        </x:is>
      </x:c>
      <x:c r="M57" s="2" t="inlineStr">
        <x:is>
          <x:t xml:space="preserve">15</x:t>
        </x:is>
      </x:c>
      <x:c r="N57" s="2" t="inlineStr">
        <x:is>
          <x:t xml:space="preserve">7</x:t>
        </x:is>
      </x:c>
      <x:c r="O57" s="2" t="inlineStr">
        <x:is>
          <x:t xml:space="preserve">5</x:t>
        </x:is>
      </x:c>
      <x:c r="P57" s="2" t="inlineStr">
        <x:is>
          <x:t xml:space="preserve">16</x:t>
        </x:is>
      </x:c>
      <x:c r="Q57" s="2" t="inlineStr">
        <x:is>
          <x:t xml:space="preserve">20</x:t>
        </x:is>
      </x:c>
      <x:c r="R57" s="2" t="inlineStr">
        <x:is>
          <x:t xml:space="preserve">17</x:t>
        </x:is>
      </x:c>
      <x:c r="S57" s="2" t="inlineStr">
        <x:is>
          <x:t xml:space="preserve">18</x:t>
        </x:is>
      </x:c>
      <x:c r="T57" s="2" t="inlineStr">
        <x:is>
          <x:t xml:space="preserve">20</x:t>
        </x:is>
      </x:c>
      <x:c r="U57" s="2" t="inlineStr">
        <x:is>
          <x:t xml:space="preserve">18</x:t>
        </x:is>
      </x:c>
      <x:c r="V57" s="2" t="inlineStr">
        <x:is>
          <x:t xml:space="preserve">CON +5, WIS +7</x:t>
        </x:is>
      </x:c>
      <x:c r="W57" s="2" t="n"/>
      <x:c r="X57" s="2" t="inlineStr">
        <x:is>
          <x:t xml:space="preserve">Truesight 120 ft.; Passive Perception 15</x:t>
        </x:is>
      </x:c>
      <x:c r="Y57" s="2" t="inlineStr">
        <x:is>
          <x:t xml:space="preserve">All; telepathy 120 ft.</x:t>
        </x:is>
      </x:c>
      <x:c r="Z57" s="2" t="inlineStr">
        <x:is>
          <x:t xml:space="preserve">Shielded Mind. The couatl’s thoughts can’t be read by any means, and other creatures can communicate with it telepathically only if it allows them.</x:t>
        </x:is>
      </x:c>
      <x:c r="AA57" s="2" t="inlineStr">
        <x:is>
          <x:t xml:space="preserve">Bite. Melee Attack Roll: +7, reach 5 ft. Hit: 11 (1d12 + 5) Piercing damage, and the target has the Poisoned condition until the end of the couatl’s next turn. Constrict. Strength Saving Throw: DC 15, one Medium or smaller creature the couatl can see within 5 feet. Failure: 8 (1d6 + 5) Bludgeoning damage. The target has the Grappled condition (escape DC 13), and it has the Restrained condition until the grapple ends. Spellcasting. The couatl casts one of the following spells, requiring no spell components and using Wis- dom as the spellcasting ability (spell save DC 15): At Will: Detect Evil and Good, Detect Magic, Detect Thoughts, Shapechange (Beast or Humanoid form only, no Temporary Hit Points gained from the spell, and no Concentration or Temporary Hit Points re- quired to maintain the spell) 1/Day Each: Create Food and Water, Dream, Greater Restoration, Scrying, Sleep</x:t>
        </x:is>
      </x:c>
      <x:c r="AB57" s="2" t="inlineStr">
        <x:is>
          <x:t xml:space="preserve">Divine Aid (2/Day). The couatl casts Bless, Lesser Res- toration, or Sanctuary, requiring no spell components and using the same spellcasting ability as Spellcasting. Crawling Claw</x:t>
        </x:is>
      </x:c>
      <x:c r="AC57" s="2" t="n"/>
      <x:c r="AD57" s="2" t="n"/>
      <x:c r="AE57" s="2" t="inlineStr">
        <x:is>
          <x:t xml:space="preserve">Includes Spellcasting; see Traits/Actions text</x:t>
        </x:is>
      </x:c>
      <x:c r="AF57" s="2" t="inlineStr">
        <x:is>
          <x:t xml:space="preserve">Imported from SRD 5.2.1 p. 277 Index of Stat Blocks</x:t>
        </x:is>
      </x:c>
      <x:c r="AG57" s="2" t="inlineStr">
        <x:is>
          <x:t xml:space="preserve">https://www.dndbeyond.com/srd</x:t>
        </x:is>
      </x:c>
    </x:row>
    <x:row r="58" ht="18" customHeight="1">
      <x:c r="A58" s="2" t="inlineStr">
        <x:is>
          <x:t xml:space="preserve">Swarm of Crawling Claws</x:t>
        </x:is>
      </x:c>
      <x:c r="B58" s="2" t="inlineStr">
        <x:is>
          <x:t xml:space="preserve">SRD 5.2.1</x:t>
        </x:is>
      </x:c>
      <x:c r="C58" s="2" t="inlineStr">
        <x:is>
          <x:t xml:space="preserve">Swarm of Tiny Undead</x:t>
        </x:is>
      </x:c>
      <x:c r="D58" s="2" t="inlineStr">
        <x:is>
          <x:t xml:space="preserve">Medium</x:t>
        </x:is>
      </x:c>
      <x:c r="E58" s="2" t="inlineStr">
        <x:is>
          <x:t xml:space="preserve">Neutral Evil</x:t>
        </x:is>
      </x:c>
      <x:c r="F58" s="2" t="inlineStr">
        <x:is>
          <x:t xml:space="preserve">3</x:t>
        </x:is>
      </x:c>
      <x:c r="G58" s="2" t="inlineStr">
        <x:is>
          <x:t xml:space="preserve">700</x:t>
        </x:is>
      </x:c>
      <x:c r="H58" s="2" t="inlineStr">
        <x:is>
          <x:t xml:space="preserve">12</x:t>
        </x:is>
      </x:c>
      <x:c r="I58" s="2" t="inlineStr">
        <x:is>
          <x:t xml:space="preserve">49</x:t>
        </x:is>
      </x:c>
      <x:c r="J58" s="2" t="inlineStr">
        <x:is>
          <x:t xml:space="preserve">30 ft., Climb 30 ft.</x:t>
        </x:is>
      </x:c>
      <x:c r="K58" s="2" t="inlineStr">
        <x:is>
          <x:t xml:space="preserve">2</x:t>
        </x:is>
      </x:c>
      <x:c r="L58" s="2" t="inlineStr">
        <x:is>
          <x:t xml:space="preserve">10</x:t>
        </x:is>
      </x:c>
      <x:c r="M58" s="2" t="n"/>
      <x:c r="N58" s="2" t="inlineStr">
        <x:is>
          <x:t xml:space="preserve">4</x:t>
        </x:is>
      </x:c>
      <x:c r="O58" s="2" t="inlineStr">
        <x:is>
          <x:t xml:space="preserve">2</x:t>
        </x:is>
      </x:c>
      <x:c r="P58" s="2" t="inlineStr">
        <x:is>
          <x:t xml:space="preserve">14</x:t>
        </x:is>
      </x:c>
      <x:c r="Q58" s="2" t="inlineStr">
        <x:is>
          <x:t xml:space="preserve">14</x:t>
        </x:is>
      </x:c>
      <x:c r="R58" s="2" t="inlineStr">
        <x:is>
          <x:t xml:space="preserve">11</x:t>
        </x:is>
      </x:c>
      <x:c r="S58" s="2" t="inlineStr">
        <x:is>
          <x:t xml:space="preserve">5</x:t>
        </x:is>
      </x:c>
      <x:c r="T58" s="2" t="inlineStr">
        <x:is>
          <x:t xml:space="preserve">10</x:t>
        </x:is>
      </x:c>
      <x:c r="U58" s="2" t="inlineStr">
        <x:is>
          <x:t xml:space="preserve">4</x:t>
        </x:is>
      </x:c>
      <x:c r="V58" s="2" t="n"/>
      <x:c r="W58" s="2" t="n"/>
      <x:c r="X58" s="2" t="inlineStr">
        <x:is>
          <x:t xml:space="preserve">Blindsight 30 ft.; Passive Perception 10</x:t>
        </x:is>
      </x:c>
      <x:c r="Y58" s="2" t="inlineStr">
        <x:is>
          <x:t xml:space="preserve">Understands Common but can’t speak</x:t>
        </x:is>
      </x:c>
      <x:c r="Z58" s="2" t="inlineStr">
        <x:is>
          <x:t xml:space="preserve">Swarm. The swarm can occupy another creature’s space and vice versa, and the swarm can move through any opening large enough for a Tiny creature. The swarm can’t regain Hit Points or gain Temporary Hit Points.</x:t>
        </x:is>
      </x:c>
      <x:c r="AA58" s="2" t="inlineStr">
        <x:is>
          <x:t xml:space="preserve">Swarm of Grasping Hands. Melee Attack Roll: +4, reach 5 ft. Hit: 20 (4d8 + 2) Necrotic damage, or 11 (2d8 + 2) Necrotic damage if the swarm is Bloodied. If the target is a Medium or smaller creature, it has the Prone condition. Cultists</x:t>
        </x:is>
      </x:c>
      <x:c r="AB58" s="2" t="n"/>
      <x:c r="AC58" s="2" t="n"/>
      <x:c r="AD58" s="2" t="n"/>
      <x:c r="AE58" s="2" t="n"/>
      <x:c r="AF58" s="2" t="inlineStr">
        <x:is>
          <x:t xml:space="preserve">Imported from SRD 5.2.1 p. 278 Index of Stat Blocks</x:t>
        </x:is>
      </x:c>
      <x:c r="AG58" s="2" t="inlineStr">
        <x:is>
          <x:t xml:space="preserve">https://www.dndbeyond.com/srd</x:t>
        </x:is>
      </x:c>
    </x:row>
    <x:row r="59" ht="18" customHeight="1">
      <x:c r="A59" s="2" t="inlineStr">
        <x:is>
          <x:t xml:space="preserve">Cultist</x:t>
        </x:is>
      </x:c>
      <x:c r="B59" s="2" t="inlineStr">
        <x:is>
          <x:t xml:space="preserve">SRD 5.2.1</x:t>
        </x:is>
      </x:c>
      <x:c r="C59" s="2" t="inlineStr">
        <x:is>
          <x:t xml:space="preserve">Humanoid</x:t>
        </x:is>
      </x:c>
      <x:c r="D59" s="2" t="inlineStr">
        <x:is>
          <x:t xml:space="preserve">Medium or Small</x:t>
        </x:is>
      </x:c>
      <x:c r="E59" s="2" t="inlineStr">
        <x:is>
          <x:t xml:space="preserve">Neutral</x:t>
        </x:is>
      </x:c>
      <x:c r="F59" s="2" t="inlineStr">
        <x:is>
          <x:t xml:space="preserve">1/8</x:t>
        </x:is>
      </x:c>
      <x:c r="G59" s="2" t="inlineStr">
        <x:is>
          <x:t xml:space="preserve">25</x:t>
        </x:is>
      </x:c>
      <x:c r="H59" s="2" t="inlineStr">
        <x:is>
          <x:t xml:space="preserve">12</x:t>
        </x:is>
      </x:c>
      <x:c r="I59" s="2" t="inlineStr">
        <x:is>
          <x:t xml:space="preserve">9</x:t>
        </x:is>
      </x:c>
      <x:c r="J59" s="2" t="inlineStr">
        <x:is>
          <x:t xml:space="preserve">30 ft.</x:t>
        </x:is>
      </x:c>
      <x:c r="K59" s="2" t="inlineStr">
        <x:is>
          <x:t xml:space="preserve">2</x:t>
        </x:is>
      </x:c>
      <x:c r="L59" s="2" t="inlineStr">
        <x:is>
          <x:t xml:space="preserve">10</x:t>
        </x:is>
      </x:c>
      <x:c r="M59" s="2" t="n"/>
      <x:c r="N59" s="2" t="inlineStr">
        <x:is>
          <x:t xml:space="preserve">3</x:t>
        </x:is>
      </x:c>
      <x:c r="O59" s="2" t="inlineStr">
        <x:is>
          <x:t xml:space="preserve">1</x:t>
        </x:is>
      </x:c>
      <x:c r="P59" s="2" t="inlineStr">
        <x:is>
          <x:t xml:space="preserve">11</x:t>
        </x:is>
      </x:c>
      <x:c r="Q59" s="2" t="inlineStr">
        <x:is>
          <x:t xml:space="preserve">12</x:t>
        </x:is>
      </x:c>
      <x:c r="R59" s="2" t="inlineStr">
        <x:is>
          <x:t xml:space="preserve">10</x:t>
        </x:is>
      </x:c>
      <x:c r="S59" s="2" t="inlineStr">
        <x:is>
          <x:t xml:space="preserve">10</x:t>
        </x:is>
      </x:c>
      <x:c r="T59" s="2" t="inlineStr">
        <x:is>
          <x:t xml:space="preserve">11</x:t>
        </x:is>
      </x:c>
      <x:c r="U59" s="2" t="inlineStr">
        <x:is>
          <x:t xml:space="preserve">10</x:t>
        </x:is>
      </x:c>
      <x:c r="V59" s="2" t="inlineStr">
        <x:is>
          <x:t xml:space="preserve">WIS +2</x:t>
        </x:is>
      </x:c>
      <x:c r="W59" s="2" t="inlineStr">
        <x:is>
          <x:t xml:space="preserve">Deception +2, Religion +2</x:t>
        </x:is>
      </x:c>
      <x:c r="X59" s="2" t="inlineStr">
        <x:is>
          <x:t xml:space="preserve">Passive Perception 10</x:t>
        </x:is>
      </x:c>
      <x:c r="Y59" s="2" t="inlineStr">
        <x:is>
          <x:t xml:space="preserve">Common</x:t>
        </x:is>
      </x:c>
      <x:c r="Z59" s="2" t="n"/>
      <x:c r="AA59" s="2" t="inlineStr">
        <x:is>
          <x:t xml:space="preserve">Ritual Sickle. Melee Attack Roll: +3, reach 5 ft. Hit: 3 (1d4 + 1) Slashing damage plus 1 Necrotic damage.</x:t>
        </x:is>
      </x:c>
      <x:c r="AB59" s="2" t="n"/>
      <x:c r="AC59" s="2" t="n"/>
      <x:c r="AD59" s="2" t="n"/>
      <x:c r="AE59" s="2" t="n"/>
      <x:c r="AF59" s="2" t="inlineStr">
        <x:is>
          <x:t xml:space="preserve">Imported from SRD 5.2.1 p. 278 Index of Stat Blocks</x:t>
        </x:is>
      </x:c>
      <x:c r="AG59" s="2" t="inlineStr">
        <x:is>
          <x:t xml:space="preserve">https://www.dndbeyond.com/srd</x:t>
        </x:is>
      </x:c>
    </x:row>
    <x:row r="60" ht="18" customHeight="1">
      <x:c r="A60" s="2" t="inlineStr">
        <x:is>
          <x:t xml:space="preserve">Cultist Fanatic</x:t>
        </x:is>
      </x:c>
      <x:c r="B60" s="2" t="inlineStr">
        <x:is>
          <x:t xml:space="preserve">SRD 5.2.1</x:t>
        </x:is>
      </x:c>
      <x:c r="C60" s="2" t="inlineStr">
        <x:is>
          <x:t xml:space="preserve">Humanoid</x:t>
        </x:is>
      </x:c>
      <x:c r="D60" s="2" t="inlineStr">
        <x:is>
          <x:t xml:space="preserve">Medium or Small</x:t>
        </x:is>
      </x:c>
      <x:c r="E60" s="2" t="inlineStr">
        <x:is>
          <x:t xml:space="preserve">Neutral</x:t>
        </x:is>
      </x:c>
      <x:c r="F60" s="2" t="inlineStr">
        <x:is>
          <x:t xml:space="preserve">2</x:t>
        </x:is>
      </x:c>
      <x:c r="G60" s="2" t="inlineStr">
        <x:is>
          <x:t xml:space="preserve">450</x:t>
        </x:is>
      </x:c>
      <x:c r="H60" s="2" t="inlineStr">
        <x:is>
          <x:t xml:space="preserve">13</x:t>
        </x:is>
      </x:c>
      <x:c r="I60" s="2" t="inlineStr">
        <x:is>
          <x:t xml:space="preserve">44</x:t>
        </x:is>
      </x:c>
      <x:c r="J60" s="2" t="inlineStr">
        <x:is>
          <x:t xml:space="preserve">30 ft.</x:t>
        </x:is>
      </x:c>
      <x:c r="K60" s="2" t="inlineStr">
        <x:is>
          <x:t xml:space="preserve">2</x:t>
        </x:is>
      </x:c>
      <x:c r="L60" s="2" t="inlineStr">
        <x:is>
          <x:t xml:space="preserve">12</x:t>
        </x:is>
      </x:c>
      <x:c r="M60" s="2" t="n"/>
      <x:c r="N60" s="2" t="inlineStr">
        <x:is>
          <x:t xml:space="preserve">4</x:t>
        </x:is>
      </x:c>
      <x:c r="O60" s="2" t="inlineStr">
        <x:is>
          <x:t xml:space="preserve">2</x:t>
        </x:is>
      </x:c>
      <x:c r="P60" s="2" t="inlineStr">
        <x:is>
          <x:t xml:space="preserve">11</x:t>
        </x:is>
      </x:c>
      <x:c r="Q60" s="2" t="inlineStr">
        <x:is>
          <x:t xml:space="preserve">14</x:t>
        </x:is>
      </x:c>
      <x:c r="R60" s="2" t="inlineStr">
        <x:is>
          <x:t xml:space="preserve">12</x:t>
        </x:is>
      </x:c>
      <x:c r="S60" s="2" t="inlineStr">
        <x:is>
          <x:t xml:space="preserve">10</x:t>
        </x:is>
      </x:c>
      <x:c r="T60" s="2" t="inlineStr">
        <x:is>
          <x:t xml:space="preserve">14</x:t>
        </x:is>
      </x:c>
      <x:c r="U60" s="2" t="inlineStr">
        <x:is>
          <x:t xml:space="preserve">13</x:t>
        </x:is>
      </x:c>
      <x:c r="V60" s="2" t="inlineStr">
        <x:is>
          <x:t xml:space="preserve">WIS +4</x:t>
        </x:is>
      </x:c>
      <x:c r="W60" s="2" t="inlineStr">
        <x:is>
          <x:t xml:space="preserve">Deception +3, Persuasion +3, Religion +2</x:t>
        </x:is>
      </x:c>
      <x:c r="X60" s="2" t="inlineStr">
        <x:is>
          <x:t xml:space="preserve">Passive Perception 12</x:t>
        </x:is>
      </x:c>
      <x:c r="Y60" s="2" t="inlineStr">
        <x:is>
          <x:t xml:space="preserve">Common</x:t>
        </x:is>
      </x:c>
      <x:c r="Z60" s="2" t="n"/>
      <x:c r="AA60" s="2" t="inlineStr">
        <x:is>
          <x:t xml:space="preserve">Pact Blade. Melee Attack Roll: +4, reach 5 ft. Hit: 6 (1d8 + 2) Slashing damage plus 7 (2d6) Ne- crotic damage. Spellcasting. The cultist casts one of the following spells, using Wisdom as the spellcasting ability (spell save DC 12, +4 to hit with spell attacks): At Will: Light, Thaumaturgy 2/Day: Command 1/Day: Hold Person</x:t>
        </x:is>
      </x:c>
      <x:c r="AB60" s="2" t="inlineStr">
        <x:is>
          <x:t xml:space="preserve">Spiritual Weapon (2/Day). The cultist casts the Spiritual Weapon spell, using the same spellcasting ability as Spellcasting. Darkmantle</x:t>
        </x:is>
      </x:c>
      <x:c r="AC60" s="2" t="n"/>
      <x:c r="AD60" s="2" t="n"/>
      <x:c r="AE60" s="2" t="inlineStr">
        <x:is>
          <x:t xml:space="preserve">Includes Spellcasting; see Traits/Actions text</x:t>
        </x:is>
      </x:c>
      <x:c r="AF60" s="2" t="inlineStr">
        <x:is>
          <x:t xml:space="preserve">Imported from SRD 5.2.1 p. 278 Index of Stat Blocks</x:t>
        </x:is>
      </x:c>
      <x:c r="AG60" s="2" t="inlineStr">
        <x:is>
          <x:t xml:space="preserve">https://www.dndbeyond.com/srd</x:t>
        </x:is>
      </x:c>
    </x:row>
    <x:row r="61" ht="18" customHeight="1">
      <x:c r="A61" s="2" t="inlineStr">
        <x:is>
          <x:t xml:space="preserve">Darkmantle</x:t>
        </x:is>
      </x:c>
      <x:c r="B61" s="2" t="inlineStr">
        <x:is>
          <x:t xml:space="preserve">SRD 5.2.1</x:t>
        </x:is>
      </x:c>
      <x:c r="C61" s="2" t="inlineStr">
        <x:is>
          <x:t xml:space="preserve">Aberration</x:t>
        </x:is>
      </x:c>
      <x:c r="D61" s="2" t="inlineStr">
        <x:is>
          <x:t xml:space="preserve">Small</x:t>
        </x:is>
      </x:c>
      <x:c r="E61" s="2" t="inlineStr">
        <x:is>
          <x:t xml:space="preserve">Unaligned</x:t>
        </x:is>
      </x:c>
      <x:c r="F61" s="2" t="inlineStr">
        <x:is>
          <x:t xml:space="preserve">1/2</x:t>
        </x:is>
      </x:c>
      <x:c r="G61" s="2" t="inlineStr">
        <x:is>
          <x:t xml:space="preserve">100</x:t>
        </x:is>
      </x:c>
      <x:c r="H61" s="2" t="inlineStr">
        <x:is>
          <x:t xml:space="preserve">11</x:t>
        </x:is>
      </x:c>
      <x:c r="I61" s="2" t="inlineStr">
        <x:is>
          <x:t xml:space="preserve">22</x:t>
        </x:is>
      </x:c>
      <x:c r="J61" s="2" t="inlineStr">
        <x:is>
          <x:t xml:space="preserve">10 ft., Fly 30 ft.</x:t>
        </x:is>
      </x:c>
      <x:c r="K61" s="2" t="inlineStr">
        <x:is>
          <x:t xml:space="preserve">2</x:t>
        </x:is>
      </x:c>
      <x:c r="L61" s="2" t="inlineStr">
        <x:is>
          <x:t xml:space="preserve">10</x:t>
        </x:is>
      </x:c>
      <x:c r="M61" s="2" t="n"/>
      <x:c r="N61" s="2" t="inlineStr">
        <x:is>
          <x:t xml:space="preserve">5</x:t>
        </x:is>
      </x:c>
      <x:c r="O61" s="2" t="inlineStr">
        <x:is>
          <x:t xml:space="preserve">3</x:t>
        </x:is>
      </x:c>
      <x:c r="P61" s="2" t="inlineStr">
        <x:is>
          <x:t xml:space="preserve">16</x:t>
        </x:is>
      </x:c>
      <x:c r="Q61" s="2" t="inlineStr">
        <x:is>
          <x:t xml:space="preserve">12</x:t>
        </x:is>
      </x:c>
      <x:c r="R61" s="2" t="inlineStr">
        <x:is>
          <x:t xml:space="preserve">13</x:t>
        </x:is>
      </x:c>
      <x:c r="S61" s="2" t="inlineStr">
        <x:is>
          <x:t xml:space="preserve">2</x:t>
        </x:is>
      </x:c>
      <x:c r="T61" s="2" t="inlineStr">
        <x:is>
          <x:t xml:space="preserve">10</x:t>
        </x:is>
      </x:c>
      <x:c r="U61" s="2" t="inlineStr">
        <x:is>
          <x:t xml:space="preserve">5</x:t>
        </x:is>
      </x:c>
      <x:c r="V61" s="2" t="n"/>
      <x:c r="W61" s="2" t="inlineStr">
        <x:is>
          <x:t xml:space="preserve">Stealth +3</x:t>
        </x:is>
      </x:c>
      <x:c r="X61" s="2" t="inlineStr">
        <x:is>
          <x:t xml:space="preserve">Blindsight 60 ft.; Passive Perception 10</x:t>
        </x:is>
      </x:c>
      <x:c r="Y61" s="2" t="inlineStr">
        <x:is>
          <x:t xml:space="preserve">None</x:t>
        </x:is>
      </x:c>
      <x:c r="Z61" s="2" t="n"/>
      <x:c r="AA61" s="2" t="inlineStr">
        <x:is>
          <x:t xml:space="preserve">Crush. Melee Attack Roll: +5, reach 5 ft. Hit: 6 (1d6 + 3) Bludgeoning damage, and the darkmantle attaches to the target. If the target is a Medium or smaller crea- ture and the darkmantle had Advantage on the attack roll, it covers the target, which has the Blinded condi- tion and is suffocating while the darkmantle is attached in this way. While attached to a target, the darkmantle can attack only the target but has Advantage on its attack rolls. Its Speed becomes 0, it can’t benefit from any bonus to its Speed, and it moves with the target. A creature can take an action to try to detach the darkmantle from itself, doing so with a successful DC 13 Strength (Athletics) check. On its turn, the darkman- tle can detach itself by using 5 feet of movement. Darkness Aura (1/Day). Magical Darkness fills a 15-foot Emanation originating from the darkmantle. This effect lasts while the darkmantle maintains Concentration on it, up to 10 minutes. Darkvision can’t penetrate this area, and no light can illuminate it. Death Dog</x:t>
        </x:is>
      </x:c>
      <x:c r="AB61" s="2" t="n"/>
      <x:c r="AC61" s="2" t="n"/>
      <x:c r="AD61" s="2" t="n"/>
      <x:c r="AE61" s="2" t="n"/>
      <x:c r="AF61" s="2" t="inlineStr">
        <x:is>
          <x:t xml:space="preserve">Imported from SRD 5.2.1 p. 278 Index of Stat Blocks</x:t>
        </x:is>
      </x:c>
      <x:c r="AG61" s="2" t="inlineStr">
        <x:is>
          <x:t xml:space="preserve">https://www.dndbeyond.com/srd</x:t>
        </x:is>
      </x:c>
    </x:row>
    <x:row r="62" ht="18" customHeight="1">
      <x:c r="A62" s="2" t="inlineStr">
        <x:is>
          <x:t xml:space="preserve">Death Dog</x:t>
        </x:is>
      </x:c>
      <x:c r="B62" s="2" t="inlineStr">
        <x:is>
          <x:t xml:space="preserve">SRD 5.2.1</x:t>
        </x:is>
      </x:c>
      <x:c r="C62" s="2" t="inlineStr">
        <x:is>
          <x:t xml:space="preserve">Monstrosity</x:t>
        </x:is>
      </x:c>
      <x:c r="D62" s="2" t="inlineStr">
        <x:is>
          <x:t xml:space="preserve">Medium</x:t>
        </x:is>
      </x:c>
      <x:c r="E62" s="2" t="inlineStr">
        <x:is>
          <x:t xml:space="preserve">Neutral Evil</x:t>
        </x:is>
      </x:c>
      <x:c r="F62" s="2" t="inlineStr">
        <x:is>
          <x:t xml:space="preserve">1</x:t>
        </x:is>
      </x:c>
      <x:c r="G62" s="2" t="inlineStr">
        <x:is>
          <x:t xml:space="preserve">200</x:t>
        </x:is>
      </x:c>
      <x:c r="H62" s="2" t="inlineStr">
        <x:is>
          <x:t xml:space="preserve">12</x:t>
        </x:is>
      </x:c>
      <x:c r="I62" s="2" t="inlineStr">
        <x:is>
          <x:t xml:space="preserve">39</x:t>
        </x:is>
      </x:c>
      <x:c r="J62" s="2" t="inlineStr">
        <x:is>
          <x:t xml:space="preserve">40 ft.</x:t>
        </x:is>
      </x:c>
      <x:c r="K62" s="2" t="inlineStr">
        <x:is>
          <x:t xml:space="preserve">2</x:t>
        </x:is>
      </x:c>
      <x:c r="L62" s="2" t="inlineStr">
        <x:is>
          <x:t xml:space="preserve">15</x:t>
        </x:is>
      </x:c>
      <x:c r="M62" s="2" t="n"/>
      <x:c r="N62" s="2" t="inlineStr">
        <x:is>
          <x:t xml:space="preserve">4</x:t>
        </x:is>
      </x:c>
      <x:c r="O62" s="2" t="inlineStr">
        <x:is>
          <x:t xml:space="preserve">2</x:t>
        </x:is>
      </x:c>
      <x:c r="P62" s="2" t="inlineStr">
        <x:is>
          <x:t xml:space="preserve">15</x:t>
        </x:is>
      </x:c>
      <x:c r="Q62" s="2" t="inlineStr">
        <x:is>
          <x:t xml:space="preserve">14</x:t>
        </x:is>
      </x:c>
      <x:c r="R62" s="2" t="inlineStr">
        <x:is>
          <x:t xml:space="preserve">14</x:t>
        </x:is>
      </x:c>
      <x:c r="S62" s="2" t="inlineStr">
        <x:is>
          <x:t xml:space="preserve">3</x:t>
        </x:is>
      </x:c>
      <x:c r="T62" s="2" t="inlineStr">
        <x:is>
          <x:t xml:space="preserve">13</x:t>
        </x:is>
      </x:c>
      <x:c r="U62" s="2" t="inlineStr">
        <x:is>
          <x:t xml:space="preserve">6</x:t>
        </x:is>
      </x:c>
      <x:c r="V62" s="2" t="n"/>
      <x:c r="W62" s="2" t="inlineStr">
        <x:is>
          <x:t xml:space="preserve">Perception +5, Stealth +4</x:t>
        </x:is>
      </x:c>
      <x:c r="X62" s="2" t="inlineStr">
        <x:is>
          <x:t xml:space="preserve">Darkvision 120 ft.; Passive Perception 15</x:t>
        </x:is>
      </x:c>
      <x:c r="Y62" s="2" t="inlineStr">
        <x:is>
          <x:t xml:space="preserve">None</x:t>
        </x:is>
      </x:c>
      <x:c r="Z62" s="2" t="n"/>
      <x:c r="AA62" s="2" t="inlineStr">
        <x:is>
          <x:t xml:space="preserve">Multiattack. The death dog makes two Bite attacks. Bite. Melee Attack Roll: +4, reach 5 ft. Hit: 4 (1d4 + 2) Piercing damage. If the target is a creature, it is subjected to the following effect. Constitution Saving Throw: DC 12. First Failure: The target has the Poisoned condition. While Poisoned, the target’s Hit Point max- imum doesn’t return to normal when finishing a Long Rest, and it repeats the save every 24 hours that elapse, ending the effect on itself on a success. Subsequent Failures: The Poisoned target’s Hit Point maximum de- creases by 5 (1d10). Deva</x:t>
        </x:is>
      </x:c>
      <x:c r="AB62" s="2" t="n"/>
      <x:c r="AC62" s="2" t="n"/>
      <x:c r="AD62" s="2" t="n"/>
      <x:c r="AE62" s="2" t="n"/>
      <x:c r="AF62" s="2" t="inlineStr">
        <x:is>
          <x:t xml:space="preserve">Imported from SRD 5.2.1 p. 279 Index of Stat Blocks</x:t>
        </x:is>
      </x:c>
      <x:c r="AG62" s="2" t="inlineStr">
        <x:is>
          <x:t xml:space="preserve">https://www.dndbeyond.com/srd</x:t>
        </x:is>
      </x:c>
    </x:row>
    <x:row r="63" ht="18" customHeight="1">
      <x:c r="A63" s="2" t="inlineStr">
        <x:is>
          <x:t xml:space="preserve">Deva</x:t>
        </x:is>
      </x:c>
      <x:c r="B63" s="2" t="inlineStr">
        <x:is>
          <x:t xml:space="preserve">SRD 5.2.1</x:t>
        </x:is>
      </x:c>
      <x:c r="C63" s="2" t="inlineStr">
        <x:is>
          <x:t xml:space="preserve">Celestial (Angel)</x:t>
        </x:is>
      </x:c>
      <x:c r="D63" s="2" t="inlineStr">
        <x:is>
          <x:t xml:space="preserve">Medium</x:t>
        </x:is>
      </x:c>
      <x:c r="E63" s="2" t="inlineStr">
        <x:is>
          <x:t xml:space="preserve">Lawful Good</x:t>
        </x:is>
      </x:c>
      <x:c r="F63" s="2" t="inlineStr">
        <x:is>
          <x:t xml:space="preserve">10</x:t>
        </x:is>
      </x:c>
      <x:c r="G63" s="2" t="inlineStr">
        <x:is>
          <x:t xml:space="preserve">5900</x:t>
        </x:is>
      </x:c>
      <x:c r="H63" s="2" t="inlineStr">
        <x:is>
          <x:t xml:space="preserve">17</x:t>
        </x:is>
      </x:c>
      <x:c r="I63" s="2" t="inlineStr">
        <x:is>
          <x:t xml:space="preserve">229</x:t>
        </x:is>
      </x:c>
      <x:c r="J63" s="2" t="inlineStr">
        <x:is>
          <x:t xml:space="preserve">30 ft., Fly 90 ft. (hover)</x:t>
        </x:is>
      </x:c>
      <x:c r="K63" s="2" t="inlineStr">
        <x:is>
          <x:t xml:space="preserve">4</x:t>
        </x:is>
      </x:c>
      <x:c r="L63" s="2" t="inlineStr">
        <x:is>
          <x:t xml:space="preserve">19</x:t>
        </x:is>
      </x:c>
      <x:c r="M63" s="2" t="n"/>
      <x:c r="N63" s="2" t="inlineStr">
        <x:is>
          <x:t xml:space="preserve">8</x:t>
        </x:is>
      </x:c>
      <x:c r="O63" s="2" t="inlineStr">
        <x:is>
          <x:t xml:space="preserve">4</x:t>
        </x:is>
      </x:c>
      <x:c r="P63" s="2" t="inlineStr">
        <x:is>
          <x:t xml:space="preserve">18</x:t>
        </x:is>
      </x:c>
      <x:c r="Q63" s="2" t="inlineStr">
        <x:is>
          <x:t xml:space="preserve">18</x:t>
        </x:is>
      </x:c>
      <x:c r="R63" s="2" t="inlineStr">
        <x:is>
          <x:t xml:space="preserve">18</x:t>
        </x:is>
      </x:c>
      <x:c r="S63" s="2" t="inlineStr">
        <x:is>
          <x:t xml:space="preserve">17</x:t>
        </x:is>
      </x:c>
      <x:c r="T63" s="2" t="inlineStr">
        <x:is>
          <x:t xml:space="preserve">20</x:t>
        </x:is>
      </x:c>
      <x:c r="U63" s="2" t="inlineStr">
        <x:is>
          <x:t xml:space="preserve">20</x:t>
        </x:is>
      </x:c>
      <x:c r="V63" s="2" t="inlineStr">
        <x:is>
          <x:t xml:space="preserve">WIS +9, CHA +9</x:t>
        </x:is>
      </x:c>
      <x:c r="W63" s="2" t="inlineStr">
        <x:is>
          <x:t xml:space="preserve">Insight +9, Perception +9</x:t>
        </x:is>
      </x:c>
      <x:c r="X63" s="2" t="inlineStr">
        <x:is>
          <x:t xml:space="preserve">Darkvision 120 ft.; Passive Perception 19</x:t>
        </x:is>
      </x:c>
      <x:c r="Y63" s="2" t="inlineStr">
        <x:is>
          <x:t xml:space="preserve">All; telepathy 120 ft.</x:t>
        </x:is>
      </x:c>
      <x:c r="Z63" s="2" t="inlineStr">
        <x:is>
          <x:t xml:space="preserve">Exalted Restoration. If the deva dies outside Mount Celestia, its body disappears, and it gains a new body instantly, reviving with all its Hit Points somewhere in Mount Celestia. Magic Resistance. The deva has Advantage on saving throws against spells and other magical effects.</x:t>
        </x:is>
      </x:c>
      <x:c r="AA63" s="2" t="inlineStr">
        <x:is>
          <x:t xml:space="preserve">Multiattack. The deva makes two Holy Mace attacks. Holy Mace. Melee Attack Roll: +8, reach 5 ft. Hit: 7 (1d6 + 4) Bludgeoning damage plus 18 (4d8) Radi- ant damage. Spellcasting. The deva casts one of the following spells, requiring no Material components and using Charisma as the spellcasting ability (spell save DC 17): At Will: Detect Evil and Good, Shapechange (Beast or Humanoid form only, no Temporary Hit Points gained from the spell, and no Concentration or Temporary Hit Points required to maintain the spell) 1/Day Each: Commune, Raise Dead</x:t>
        </x:is>
      </x:c>
      <x:c r="AB63" s="2" t="inlineStr">
        <x:is>
          <x:t xml:space="preserve">Divine Aid (2/Day). The deva casts Cure Wounds, Lesser Restoration, or Remove Curse, using the same spellcasting ability as Spellcasting. Djinni</x:t>
        </x:is>
      </x:c>
      <x:c r="AC63" s="2" t="n"/>
      <x:c r="AD63" s="2" t="n"/>
      <x:c r="AE63" s="2" t="inlineStr">
        <x:is>
          <x:t xml:space="preserve">Includes Spellcasting; see Traits/Actions text</x:t>
        </x:is>
      </x:c>
      <x:c r="AF63" s="2" t="inlineStr">
        <x:is>
          <x:t xml:space="preserve">Imported from SRD 5.2.1 p. 279 Index of Stat Blocks</x:t>
        </x:is>
      </x:c>
      <x:c r="AG63" s="2" t="inlineStr">
        <x:is>
          <x:t xml:space="preserve">https://www.dndbeyond.com/srd</x:t>
        </x:is>
      </x:c>
    </x:row>
    <x:row r="64" ht="18" customHeight="1">
      <x:c r="A64" s="2" t="inlineStr">
        <x:is>
          <x:t xml:space="preserve">Djinni</x:t>
        </x:is>
      </x:c>
      <x:c r="B64" s="2" t="inlineStr">
        <x:is>
          <x:t xml:space="preserve">SRD 5.2.1</x:t>
        </x:is>
      </x:c>
      <x:c r="C64" s="2" t="inlineStr">
        <x:is>
          <x:t xml:space="preserve">Elemental (Genie)</x:t>
        </x:is>
      </x:c>
      <x:c r="D64" s="2" t="inlineStr">
        <x:is>
          <x:t xml:space="preserve">Large</x:t>
        </x:is>
      </x:c>
      <x:c r="E64" s="2" t="inlineStr">
        <x:is>
          <x:t xml:space="preserve">Neutral</x:t>
        </x:is>
      </x:c>
      <x:c r="F64" s="2" t="inlineStr">
        <x:is>
          <x:t xml:space="preserve">11</x:t>
        </x:is>
      </x:c>
      <x:c r="G64" s="2" t="inlineStr">
        <x:is>
          <x:t xml:space="preserve">7200</x:t>
        </x:is>
      </x:c>
      <x:c r="H64" s="2" t="inlineStr">
        <x:is>
          <x:t xml:space="preserve">17</x:t>
        </x:is>
      </x:c>
      <x:c r="I64" s="2" t="inlineStr">
        <x:is>
          <x:t xml:space="preserve">218</x:t>
        </x:is>
      </x:c>
      <x:c r="J64" s="2" t="inlineStr">
        <x:is>
          <x:t xml:space="preserve">30 ft., Fly 90 ft. (hover)</x:t>
        </x:is>
      </x:c>
      <x:c r="K64" s="2" t="inlineStr">
        <x:is>
          <x:t xml:space="preserve">4</x:t>
        </x:is>
      </x:c>
      <x:c r="L64" s="2" t="inlineStr">
        <x:is>
          <x:t xml:space="preserve">13</x:t>
        </x:is>
      </x:c>
      <x:c r="M64" s="2" t="inlineStr">
        <x:is>
          <x:t xml:space="preserve">17</x:t>
        </x:is>
      </x:c>
      <x:c r="N64" s="2" t="inlineStr">
        <x:is>
          <x:t xml:space="preserve">9</x:t>
        </x:is>
      </x:c>
      <x:c r="O64" s="2" t="inlineStr">
        <x:is>
          <x:t xml:space="preserve">2</x:t>
        </x:is>
      </x:c>
      <x:c r="P64" s="2" t="inlineStr">
        <x:is>
          <x:t xml:space="preserve">21</x:t>
        </x:is>
      </x:c>
      <x:c r="Q64" s="2" t="inlineStr">
        <x:is>
          <x:t xml:space="preserve">15</x:t>
        </x:is>
      </x:c>
      <x:c r="R64" s="2" t="inlineStr">
        <x:is>
          <x:t xml:space="preserve">22</x:t>
        </x:is>
      </x:c>
      <x:c r="S64" s="2" t="inlineStr">
        <x:is>
          <x:t xml:space="preserve">15</x:t>
        </x:is>
      </x:c>
      <x:c r="T64" s="2" t="inlineStr">
        <x:is>
          <x:t xml:space="preserve">16</x:t>
        </x:is>
      </x:c>
      <x:c r="U64" s="2" t="inlineStr">
        <x:is>
          <x:t xml:space="preserve">20</x:t>
        </x:is>
      </x:c>
      <x:c r="V64" s="2" t="inlineStr">
        <x:is>
          <x:t xml:space="preserve">DEX +6, WIS +7</x:t>
        </x:is>
      </x:c>
      <x:c r="W64" s="2" t="n"/>
      <x:c r="X64" s="2" t="inlineStr">
        <x:is>
          <x:t xml:space="preserve">Darkvision 120 ft.; Passive Perception 13</x:t>
        </x:is>
      </x:c>
      <x:c r="Y64" s="2" t="inlineStr">
        <x:is>
          <x:t xml:space="preserve">Primordial (Auran)</x:t>
        </x:is>
      </x:c>
      <x:c r="Z64" s="2" t="inlineStr">
        <x:is>
          <x:t xml:space="preserve">Elemental Restoration. If the djinni dies outside the Elemental Plane of Air, its body dissolves into mist, and it gains a new body in 1d4 days, reviving with all its Hit Points somewhere on the Plane of Air. Magic Resistance. The djinni has Advantage on saving throws against spells and other magical effects. Wishes. The djinni has a 30 percent chance of knowing the Wish spell. If the djinni knows it, the djinni can cast it only on behalf of a non-genie creature who commu- nicates a wish in a way the djinni can understand. If the djinni casts the spell for the creature, the djinni suffers none of the spell’s stress. Once the djinni has cast it three times, the djinni can’t do so again for 365 days.</x:t>
        </x:is>
      </x:c>
      <x:c r="AA64" s="2" t="inlineStr">
        <x:is>
          <x:t xml:space="preserve">Multiattack. The djinni makes three attacks, using Storm Blade or Storm Bolt in any combination. Storm Blade. Melee Attack Roll: +9, reach 5 feet. Hit: 12 (2d6 + 5) Slashing damage plus 7 (2d6) Light- ning damage. Storm Bolt. Ranged Attack Roll: +9, range 120 feet. Hit: 13 (3d8) Thunder damage. If the target is a Large or smaller creature, it has the Prone condition. Create Whirlwind. The djinni conjures a whirlwind at a point it can see within 120 feet. The whirlwind fills a 20-foot-radius, 60-foot-high Cylinder centered on that point. The whirlwind lasts until the djinni’s Concentra- tion on it ends. The djinni can move the whirlwind up to 20 feet at the start of each of its turns. Whenever the whirlwind enters a creature’s space or a creature enters the whirlwind, that creature is sub- jected to the following effect. Strength Saving Throw: DC 17 (a creature makes this save only once per turn, and the djinni is unaffected). Failure: While in the whirlwind, the target has the Restrained condition and moves with the whirlwind. At the start of each of its turns, the Restrained target takes 21 (6d6) Thunder damage. At the end of each of its turns, the target re- peats the save, ending the effect on itself on a success. Spellcasting. The djinni casts one of the following spells, requiring no Material components and using Charisma as the spellcasting ability (spell save DC 17): At Will: Detect Evil and Good, Detect Magic 2/Day Each: Create Food and Water (can create wine instead of water), Tongues, Wind Walk 1/Day Each: Creation, Gaseous Form, Invisibility, Major Image, Plane Shift Doppelganger</x:t>
        </x:is>
      </x:c>
      <x:c r="AB64" s="2" t="n"/>
      <x:c r="AC64" s="2" t="n"/>
      <x:c r="AD64" s="2" t="n"/>
      <x:c r="AE64" s="2" t="inlineStr">
        <x:is>
          <x:t xml:space="preserve">Includes Spellcasting; see Traits/Actions text</x:t>
        </x:is>
      </x:c>
      <x:c r="AF64" s="2" t="inlineStr">
        <x:is>
          <x:t xml:space="preserve">Imported from SRD 5.2.1 p. 280 Index of Stat Blocks</x:t>
        </x:is>
      </x:c>
      <x:c r="AG64" s="2" t="inlineStr">
        <x:is>
          <x:t xml:space="preserve">https://www.dndbeyond.com/srd</x:t>
        </x:is>
      </x:c>
    </x:row>
    <x:row r="65" ht="18" customHeight="1">
      <x:c r="A65" s="2" t="inlineStr">
        <x:is>
          <x:t xml:space="preserve">Doppelganger</x:t>
        </x:is>
      </x:c>
      <x:c r="B65" s="2" t="inlineStr">
        <x:is>
          <x:t xml:space="preserve">SRD 5.2.1</x:t>
        </x:is>
      </x:c>
      <x:c r="C65" s="2" t="inlineStr">
        <x:is>
          <x:t xml:space="preserve">Monstrosity</x:t>
        </x:is>
      </x:c>
      <x:c r="D65" s="2" t="inlineStr">
        <x:is>
          <x:t xml:space="preserve">Medium</x:t>
        </x:is>
      </x:c>
      <x:c r="E65" s="2" t="inlineStr">
        <x:is>
          <x:t xml:space="preserve">Neutral</x:t>
        </x:is>
      </x:c>
      <x:c r="F65" s="2" t="inlineStr">
        <x:is>
          <x:t xml:space="preserve">3</x:t>
        </x:is>
      </x:c>
      <x:c r="G65" s="2" t="inlineStr">
        <x:is>
          <x:t xml:space="preserve">700</x:t>
        </x:is>
      </x:c>
      <x:c r="H65" s="2" t="inlineStr">
        <x:is>
          <x:t xml:space="preserve">14</x:t>
        </x:is>
      </x:c>
      <x:c r="I65" s="2" t="inlineStr">
        <x:is>
          <x:t xml:space="preserve">52</x:t>
        </x:is>
      </x:c>
      <x:c r="J65" s="2" t="inlineStr">
        <x:is>
          <x:t xml:space="preserve">30 ft.</x:t>
        </x:is>
      </x:c>
      <x:c r="K65" s="2" t="inlineStr">
        <x:is>
          <x:t xml:space="preserve">2</x:t>
        </x:is>
      </x:c>
      <x:c r="L65" s="2" t="inlineStr">
        <x:is>
          <x:t xml:space="preserve">11</x:t>
        </x:is>
      </x:c>
      <x:c r="M65" s="2" t="inlineStr">
        <x:is>
          <x:t xml:space="preserve">12</x:t>
        </x:is>
      </x:c>
      <x:c r="N65" s="2" t="inlineStr">
        <x:is>
          <x:t xml:space="preserve">6</x:t>
        </x:is>
      </x:c>
      <x:c r="O65" s="2" t="inlineStr">
        <x:is>
          <x:t xml:space="preserve">4</x:t>
        </x:is>
      </x:c>
      <x:c r="P65" s="2" t="inlineStr">
        <x:is>
          <x:t xml:space="preserve">11</x:t>
        </x:is>
      </x:c>
      <x:c r="Q65" s="2" t="inlineStr">
        <x:is>
          <x:t xml:space="preserve">18</x:t>
        </x:is>
      </x:c>
      <x:c r="R65" s="2" t="inlineStr">
        <x:is>
          <x:t xml:space="preserve">14</x:t>
        </x:is>
      </x:c>
      <x:c r="S65" s="2" t="inlineStr">
        <x:is>
          <x:t xml:space="preserve">11</x:t>
        </x:is>
      </x:c>
      <x:c r="T65" s="2" t="inlineStr">
        <x:is>
          <x:t xml:space="preserve">12</x:t>
        </x:is>
      </x:c>
      <x:c r="U65" s="2" t="inlineStr">
        <x:is>
          <x:t xml:space="preserve">14</x:t>
        </x:is>
      </x:c>
      <x:c r="V65" s="2" t="n"/>
      <x:c r="W65" s="2" t="inlineStr">
        <x:is>
          <x:t xml:space="preserve">Deception +6, Insight +3</x:t>
        </x:is>
      </x:c>
      <x:c r="X65" s="2" t="inlineStr">
        <x:is>
          <x:t xml:space="preserve">Darkvision 60 ft.; Passive Perception 11</x:t>
        </x:is>
      </x:c>
      <x:c r="Y65" s="2" t="inlineStr">
        <x:is>
          <x:t xml:space="preserve">Common plus three other languages</x:t>
        </x:is>
      </x:c>
      <x:c r="Z65" s="2" t="n"/>
      <x:c r="AA65" s="2" t="inlineStr">
        <x:is>
          <x:t xml:space="preserve">Multiattack. The doppelganger makes two Slam attacks and uses Unsettling Visage if available. Slam. Melee Attack Roll: +6 (with Advantage during the first round of each combat), reach 5 ft. Hit: 11 (2d6 + 4) Bludgeoning damage. Read Thoughts. The doppelganger casts Detect Thoughts, requiring no spell components and using Charisma as the spellcasting ability (spell save DC 12). Unsettling Visage (Recharge 6). Wisdom Saving Throw: DC 12, each creature in a 15-foot Emanation originating from the doppelganger that can see the doppelganger. Failure: The target has the Frightened condition and re- peats the save at the end of each of its turns, ending the effect on itself on a success. After 1 minute, it succeeds automatically.</x:t>
        </x:is>
      </x:c>
      <x:c r="AB65" s="2" t="inlineStr">
        <x:is>
          <x:t xml:space="preserve">Shape-Shift. The doppelganger shape-shifts into a Me- dium or Small Humanoid, or it returns to its true form. Its game statistics, other than its size, are the same in each form. Any equipment it is wearing or carrying isn’t transformed. Dragon Turtle</x:t>
        </x:is>
      </x:c>
      <x:c r="AC65" s="2" t="n"/>
      <x:c r="AD65" s="2" t="n"/>
      <x:c r="AE65" s="2" t="n"/>
      <x:c r="AF65" s="2" t="inlineStr">
        <x:is>
          <x:t xml:space="preserve">Imported from SRD 5.2.1 p. 280 Index of Stat Blocks</x:t>
        </x:is>
      </x:c>
      <x:c r="AG65" s="2" t="inlineStr">
        <x:is>
          <x:t xml:space="preserve">https://www.dndbeyond.com/srd</x:t>
        </x:is>
      </x:c>
    </x:row>
    <x:row r="66" ht="18" customHeight="1">
      <x:c r="A66" s="2" t="inlineStr">
        <x:is>
          <x:t xml:space="preserve">Dragon Turtle</x:t>
        </x:is>
      </x:c>
      <x:c r="B66" s="2" t="inlineStr">
        <x:is>
          <x:t xml:space="preserve">SRD 5.2.1</x:t>
        </x:is>
      </x:c>
      <x:c r="C66" s="2" t="inlineStr">
        <x:is>
          <x:t xml:space="preserve">Dragon</x:t>
        </x:is>
      </x:c>
      <x:c r="D66" s="2" t="inlineStr">
        <x:is>
          <x:t xml:space="preserve">Gargantuan</x:t>
        </x:is>
      </x:c>
      <x:c r="E66" s="2" t="inlineStr">
        <x:is>
          <x:t xml:space="preserve">Neutral</x:t>
        </x:is>
      </x:c>
      <x:c r="F66" s="2" t="inlineStr">
        <x:is>
          <x:t xml:space="preserve">17</x:t>
        </x:is>
      </x:c>
      <x:c r="G66" s="2" t="inlineStr">
        <x:is>
          <x:t xml:space="preserve">18000</x:t>
        </x:is>
      </x:c>
      <x:c r="H66" s="2" t="inlineStr">
        <x:is>
          <x:t xml:space="preserve">20</x:t>
        </x:is>
      </x:c>
      <x:c r="I66" s="2" t="inlineStr">
        <x:is>
          <x:t xml:space="preserve">356</x:t>
        </x:is>
      </x:c>
      <x:c r="J66" s="2" t="inlineStr">
        <x:is>
          <x:t xml:space="preserve">20 ft., Swim 50 ft.</x:t>
        </x:is>
      </x:c>
      <x:c r="K66" s="2" t="inlineStr">
        <x:is>
          <x:t xml:space="preserve">6</x:t>
        </x:is>
      </x:c>
      <x:c r="L66" s="2" t="inlineStr">
        <x:is>
          <x:t xml:space="preserve">11</x:t>
        </x:is>
      </x:c>
      <x:c r="M66" s="2" t="n"/>
      <x:c r="N66" s="2" t="inlineStr">
        <x:is>
          <x:t xml:space="preserve">13</x:t>
        </x:is>
      </x:c>
      <x:c r="O66" s="2" t="inlineStr">
        <x:is>
          <x:t xml:space="preserve">6</x:t>
        </x:is>
      </x:c>
      <x:c r="P66" s="2" t="inlineStr">
        <x:is>
          <x:t xml:space="preserve">25</x:t>
        </x:is>
      </x:c>
      <x:c r="Q66" s="2" t="inlineStr">
        <x:is>
          <x:t xml:space="preserve">10</x:t>
        </x:is>
      </x:c>
      <x:c r="R66" s="2" t="inlineStr">
        <x:is>
          <x:t xml:space="preserve">20</x:t>
        </x:is>
      </x:c>
      <x:c r="S66" s="2" t="inlineStr">
        <x:is>
          <x:t xml:space="preserve">10</x:t>
        </x:is>
      </x:c>
      <x:c r="T66" s="2" t="inlineStr">
        <x:is>
          <x:t xml:space="preserve">12</x:t>
        </x:is>
      </x:c>
      <x:c r="U66" s="2" t="inlineStr">
        <x:is>
          <x:t xml:space="preserve">12</x:t>
        </x:is>
      </x:c>
      <x:c r="V66" s="2" t="inlineStr">
        <x:is>
          <x:t xml:space="preserve">CON +11, WIS +7</x:t>
        </x:is>
      </x:c>
      <x:c r="W66" s="2" t="n"/>
      <x:c r="X66" s="2" t="inlineStr">
        <x:is>
          <x:t xml:space="preserve">Darkvision 120 ft.; Passive Perception 11</x:t>
        </x:is>
      </x:c>
      <x:c r="Y66" s="2" t="inlineStr">
        <x:is>
          <x:t xml:space="preserve">Draconic, Primordial (Aquan)</x:t>
        </x:is>
      </x:c>
      <x:c r="Z66" s="2" t="inlineStr">
        <x:is>
          <x:t xml:space="preserve">Amphibious. The dragon can breathe air and water.</x:t>
        </x:is>
      </x:c>
      <x:c r="AA66" s="2" t="inlineStr">
        <x:is>
          <x:t xml:space="preserve">Multiattack. The dragon makes three Bite attacks. It can replace one attack with a Tail attack. Bite. Melee Attack Roll: +13, reach 15 ft. Hit: 23 (3d10 + 7) Piercing damage plus 7 (2d6) Fire damage. Being underwater doesn’t grant Resistance to this Fire damage. Tail. Melee Attack Roll: +13, reach 15 ft. Hit: 18 (2d10 + 7) Bludgeoning damage. If the target is a Huge or smaller creature, it has the Prone condition. Steam Breath (Recharge 5-6). Constitution Saving Throw: DC 19, each creature in a 60-foot Cone. Failure: 56 (16d6) Fire damage. Success: Half damage. Failure or Success: Being underwater doesn’t grant Resistance to this Fire damage. Dretch</x:t>
        </x:is>
      </x:c>
      <x:c r="AB66" s="2" t="n"/>
      <x:c r="AC66" s="2" t="n"/>
      <x:c r="AD66" s="2" t="n"/>
      <x:c r="AE66" s="2" t="n"/>
      <x:c r="AF66" s="2" t="inlineStr">
        <x:is>
          <x:t xml:space="preserve">Imported from SRD 5.2.1 p. 281 Index of Stat Blocks</x:t>
        </x:is>
      </x:c>
      <x:c r="AG66" s="2" t="inlineStr">
        <x:is>
          <x:t xml:space="preserve">https://www.dndbeyond.com/srd</x:t>
        </x:is>
      </x:c>
    </x:row>
    <x:row r="67" ht="18" customHeight="1">
      <x:c r="A67" s="2" t="inlineStr">
        <x:is>
          <x:t xml:space="preserve">Dretch</x:t>
        </x:is>
      </x:c>
      <x:c r="B67" s="2" t="inlineStr">
        <x:is>
          <x:t xml:space="preserve">SRD 5.2.1</x:t>
        </x:is>
      </x:c>
      <x:c r="C67" s="2" t="inlineStr">
        <x:is>
          <x:t xml:space="preserve">Fiend (Demon)</x:t>
        </x:is>
      </x:c>
      <x:c r="D67" s="2" t="inlineStr">
        <x:is>
          <x:t xml:space="preserve">Small</x:t>
        </x:is>
      </x:c>
      <x:c r="E67" s="2" t="inlineStr">
        <x:is>
          <x:t xml:space="preserve">Chaotic Evil</x:t>
        </x:is>
      </x:c>
      <x:c r="F67" s="2" t="inlineStr">
        <x:is>
          <x:t xml:space="preserve">1/4</x:t>
        </x:is>
      </x:c>
      <x:c r="G67" s="2" t="inlineStr">
        <x:is>
          <x:t xml:space="preserve">50</x:t>
        </x:is>
      </x:c>
      <x:c r="H67" s="2" t="inlineStr">
        <x:is>
          <x:t xml:space="preserve">11</x:t>
        </x:is>
      </x:c>
      <x:c r="I67" s="2" t="inlineStr">
        <x:is>
          <x:t xml:space="preserve">18</x:t>
        </x:is>
      </x:c>
      <x:c r="J67" s="2" t="inlineStr">
        <x:is>
          <x:t xml:space="preserve">20 ft.</x:t>
        </x:is>
      </x:c>
      <x:c r="K67" s="2" t="inlineStr">
        <x:is>
          <x:t xml:space="preserve">2</x:t>
        </x:is>
      </x:c>
      <x:c r="L67" s="2" t="inlineStr">
        <x:is>
          <x:t xml:space="preserve">9</x:t>
        </x:is>
      </x:c>
      <x:c r="M67" s="2" t="inlineStr">
        <x:is>
          <x:t xml:space="preserve">11</x:t>
        </x:is>
      </x:c>
      <x:c r="N67" s="2" t="inlineStr">
        <x:is>
          <x:t xml:space="preserve">3</x:t>
        </x:is>
      </x:c>
      <x:c r="O67" s="2" t="inlineStr">
        <x:is>
          <x:t xml:space="preserve">0</x:t>
        </x:is>
      </x:c>
      <x:c r="P67" s="2" t="inlineStr">
        <x:is>
          <x:t xml:space="preserve">12</x:t>
        </x:is>
      </x:c>
      <x:c r="Q67" s="2" t="inlineStr">
        <x:is>
          <x:t xml:space="preserve">11</x:t>
        </x:is>
      </x:c>
      <x:c r="R67" s="2" t="inlineStr">
        <x:is>
          <x:t xml:space="preserve">12</x:t>
        </x:is>
      </x:c>
      <x:c r="S67" s="2" t="inlineStr">
        <x:is>
          <x:t xml:space="preserve">5</x:t>
        </x:is>
      </x:c>
      <x:c r="T67" s="2" t="inlineStr">
        <x:is>
          <x:t xml:space="preserve">8</x:t>
        </x:is>
      </x:c>
      <x:c r="U67" s="2" t="inlineStr">
        <x:is>
          <x:t xml:space="preserve">3</x:t>
        </x:is>
      </x:c>
      <x:c r="V67" s="2" t="n"/>
      <x:c r="W67" s="2" t="n"/>
      <x:c r="X67" s="2" t="inlineStr">
        <x:is>
          <x:t xml:space="preserve">Darkvision 60 ft.; Passive Perception 9</x:t>
        </x:is>
      </x:c>
      <x:c r="Y67" s="2" t="inlineStr">
        <x:is>
          <x:t xml:space="preserve">Abyssal; telepathy 60 ft. (works only with creatures that understand Abyssal)</x:t>
        </x:is>
      </x:c>
      <x:c r="Z67" s="2" t="n"/>
      <x:c r="AA67" s="2" t="inlineStr">
        <x:is>
          <x:t xml:space="preserve">Rend. Melee Attack Roll: +3, reach 5 ft. Hit: 4 (1d6 + 1) Slashing damage. Fetid Cloud (1/Day). Constitution Saving Throw: DC 11, each creature in a 10-foot Emanation originating from the dretch. Failure: The target has the Poisoned condi- tion until the end of its next turn. While Poisoned, the creature can take either an action or a Bonus Action on its turn, not both, and it can’t take Reactions. Drider</x:t>
        </x:is>
      </x:c>
      <x:c r="AB67" s="2" t="n"/>
      <x:c r="AC67" s="2" t="n"/>
      <x:c r="AD67" s="2" t="n"/>
      <x:c r="AE67" s="2" t="n"/>
      <x:c r="AF67" s="2" t="inlineStr">
        <x:is>
          <x:t xml:space="preserve">Imported from SRD 5.2.1 p. 281 Index of Stat Blocks</x:t>
        </x:is>
      </x:c>
      <x:c r="AG67" s="2" t="inlineStr">
        <x:is>
          <x:t xml:space="preserve">https://www.dndbeyond.com/srd</x:t>
        </x:is>
      </x:c>
    </x:row>
    <x:row r="68" ht="18" customHeight="1">
      <x:c r="A68" s="2" t="inlineStr">
        <x:is>
          <x:t xml:space="preserve">Drider</x:t>
        </x:is>
      </x:c>
      <x:c r="B68" s="2" t="inlineStr">
        <x:is>
          <x:t xml:space="preserve">SRD 5.2.1</x:t>
        </x:is>
      </x:c>
      <x:c r="C68" s="2" t="inlineStr">
        <x:is>
          <x:t xml:space="preserve">Monstrosity</x:t>
        </x:is>
      </x:c>
      <x:c r="D68" s="2" t="inlineStr">
        <x:is>
          <x:t xml:space="preserve">Large</x:t>
        </x:is>
      </x:c>
      <x:c r="E68" s="2" t="inlineStr">
        <x:is>
          <x:t xml:space="preserve">Chaotic Evil</x:t>
        </x:is>
      </x:c>
      <x:c r="F68" s="2" t="inlineStr">
        <x:is>
          <x:t xml:space="preserve">6</x:t>
        </x:is>
      </x:c>
      <x:c r="G68" s="2" t="inlineStr">
        <x:is>
          <x:t xml:space="preserve">2300</x:t>
        </x:is>
      </x:c>
      <x:c r="H68" s="2" t="inlineStr">
        <x:is>
          <x:t xml:space="preserve">19</x:t>
        </x:is>
      </x:c>
      <x:c r="I68" s="2" t="inlineStr">
        <x:is>
          <x:t xml:space="preserve">123</x:t>
        </x:is>
      </x:c>
      <x:c r="J68" s="2" t="inlineStr">
        <x:is>
          <x:t xml:space="preserve">30 ft., Climb 30 ft.</x:t>
        </x:is>
      </x:c>
      <x:c r="K68" s="2" t="inlineStr">
        <x:is>
          <x:t xml:space="preserve">3</x:t>
        </x:is>
      </x:c>
      <x:c r="L68" s="2" t="inlineStr">
        <x:is>
          <x:t xml:space="preserve">16</x:t>
        </x:is>
      </x:c>
      <x:c r="M68" s="2" t="n"/>
      <x:c r="N68" s="2" t="inlineStr">
        <x:is>
          <x:t xml:space="preserve">7</x:t>
        </x:is>
      </x:c>
      <x:c r="O68" s="2" t="inlineStr">
        <x:is>
          <x:t xml:space="preserve">4</x:t>
        </x:is>
      </x:c>
      <x:c r="P68" s="2" t="inlineStr">
        <x:is>
          <x:t xml:space="preserve">16</x:t>
        </x:is>
      </x:c>
      <x:c r="Q68" s="2" t="inlineStr">
        <x:is>
          <x:t xml:space="preserve">19</x:t>
        </x:is>
      </x:c>
      <x:c r="R68" s="2" t="inlineStr">
        <x:is>
          <x:t xml:space="preserve">18</x:t>
        </x:is>
      </x:c>
      <x:c r="S68" s="2" t="inlineStr">
        <x:is>
          <x:t xml:space="preserve">13</x:t>
        </x:is>
      </x:c>
      <x:c r="T68" s="2" t="inlineStr">
        <x:is>
          <x:t xml:space="preserve">16</x:t>
        </x:is>
      </x:c>
      <x:c r="U68" s="2" t="inlineStr">
        <x:is>
          <x:t xml:space="preserve">12</x:t>
        </x:is>
      </x:c>
      <x:c r="V68" s="2" t="n"/>
      <x:c r="W68" s="2" t="inlineStr">
        <x:is>
          <x:t xml:space="preserve">Perception +6, Stealth +10</x:t>
        </x:is>
      </x:c>
      <x:c r="X68" s="2" t="inlineStr">
        <x:is>
          <x:t xml:space="preserve">Darkvision 120 ft.; Passive Perception 16</x:t>
        </x:is>
      </x:c>
      <x:c r="Y68" s="2" t="inlineStr">
        <x:is>
          <x:t xml:space="preserve">Elvish, Undercommon</x:t>
        </x:is>
      </x:c>
      <x:c r="Z68" s="2" t="inlineStr">
        <x:is>
          <x:t xml:space="preserve">Spider Climb. The drider can climb difficult surfaces, including along ceilings, without needing to make an ability check. Sunlight Sensitivity. While in sunlight, the drider has Disadvantage on ability checks and attack rolls. Web Walker. The drider ignores movement restrictions caused by webs, and the drider knows the location of any other creature in contact with the same web.</x:t>
        </x:is>
      </x:c>
      <x:c r="AA68" s="2" t="inlineStr">
        <x:is>
          <x:t xml:space="preserve">Multiattack. The drider makes three attacks, using Foreleg or Poison Burst in any combination. Foreleg. Melee Attack Roll: +7, reach 10 ft. Hit: 13 (2d8 + 4) Piercing damage. Poison Burst. Ranged Attack Roll: +6, range 120 ft. Hit: 13 (3d6 + 3) Poison damage.</x:t>
        </x:is>
      </x:c>
      <x:c r="AB68" s="2" t="inlineStr">
        <x:is>
          <x:t xml:space="preserve">Magic of the Spider Queen (Recharge 5-6). The drider casts Darkness, Faerie Fire, or Web, requiring no Mate- rial components and using Wisdom as the spellcasting ability (spell save DC 14). Druid</x:t>
        </x:is>
      </x:c>
      <x:c r="AC68" s="2" t="n"/>
      <x:c r="AD68" s="2" t="n"/>
      <x:c r="AE68" s="2" t="n"/>
      <x:c r="AF68" s="2" t="inlineStr">
        <x:is>
          <x:t xml:space="preserve">Imported from SRD 5.2.1 p. 281 Index of Stat Blocks</x:t>
        </x:is>
      </x:c>
      <x:c r="AG68" s="2" t="inlineStr">
        <x:is>
          <x:t xml:space="preserve">https://www.dndbeyond.com/srd</x:t>
        </x:is>
      </x:c>
    </x:row>
    <x:row r="69" ht="18" customHeight="1">
      <x:c r="A69" s="2" t="inlineStr">
        <x:is>
          <x:t xml:space="preserve">Druid</x:t>
        </x:is>
      </x:c>
      <x:c r="B69" s="2" t="inlineStr">
        <x:is>
          <x:t xml:space="preserve">SRD 5.2.1</x:t>
        </x:is>
      </x:c>
      <x:c r="C69" s="2" t="inlineStr">
        <x:is>
          <x:t xml:space="preserve">Humanoid (Druid)</x:t>
        </x:is>
      </x:c>
      <x:c r="D69" s="2" t="inlineStr">
        <x:is>
          <x:t xml:space="preserve">Medium or Small</x:t>
        </x:is>
      </x:c>
      <x:c r="E69" s="2" t="inlineStr">
        <x:is>
          <x:t xml:space="preserve">Neutral</x:t>
        </x:is>
      </x:c>
      <x:c r="F69" s="2" t="inlineStr">
        <x:is>
          <x:t xml:space="preserve">2</x:t>
        </x:is>
      </x:c>
      <x:c r="G69" s="2" t="inlineStr">
        <x:is>
          <x:t xml:space="preserve">450</x:t>
        </x:is>
      </x:c>
      <x:c r="H69" s="2" t="inlineStr">
        <x:is>
          <x:t xml:space="preserve">13</x:t>
        </x:is>
      </x:c>
      <x:c r="I69" s="2" t="inlineStr">
        <x:is>
          <x:t xml:space="preserve">44</x:t>
        </x:is>
      </x:c>
      <x:c r="J69" s="2" t="inlineStr">
        <x:is>
          <x:t xml:space="preserve">30 ft.</x:t>
        </x:is>
      </x:c>
      <x:c r="K69" s="2" t="inlineStr">
        <x:is>
          <x:t xml:space="preserve">2</x:t>
        </x:is>
      </x:c>
      <x:c r="L69" s="2" t="inlineStr">
        <x:is>
          <x:t xml:space="preserve">15</x:t>
        </x:is>
      </x:c>
      <x:c r="M69" s="2" t="n"/>
      <x:c r="N69" s="2" t="inlineStr">
        <x:is>
          <x:t xml:space="preserve">5</x:t>
        </x:is>
      </x:c>
      <x:c r="O69" s="2" t="inlineStr">
        <x:is>
          <x:t xml:space="preserve">1</x:t>
        </x:is>
      </x:c>
      <x:c r="P69" s="2" t="inlineStr">
        <x:is>
          <x:t xml:space="preserve">10</x:t>
        </x:is>
      </x:c>
      <x:c r="Q69" s="2" t="inlineStr">
        <x:is>
          <x:t xml:space="preserve">12</x:t>
        </x:is>
      </x:c>
      <x:c r="R69" s="2" t="inlineStr">
        <x:is>
          <x:t xml:space="preserve">13</x:t>
        </x:is>
      </x:c>
      <x:c r="S69" s="2" t="inlineStr">
        <x:is>
          <x:t xml:space="preserve">12</x:t>
        </x:is>
      </x:c>
      <x:c r="T69" s="2" t="inlineStr">
        <x:is>
          <x:t xml:space="preserve">16</x:t>
        </x:is>
      </x:c>
      <x:c r="U69" s="2" t="inlineStr">
        <x:is>
          <x:t xml:space="preserve">11</x:t>
        </x:is>
      </x:c>
      <x:c r="V69" s="2" t="n"/>
      <x:c r="W69" s="2" t="inlineStr">
        <x:is>
          <x:t xml:space="preserve">Medicine +5, Nature +3, Perception +5</x:t>
        </x:is>
      </x:c>
      <x:c r="X69" s="2" t="inlineStr">
        <x:is>
          <x:t xml:space="preserve">Passive Perception 15</x:t>
        </x:is>
      </x:c>
      <x:c r="Y69" s="2" t="inlineStr">
        <x:is>
          <x:t xml:space="preserve">Common, Druidic, Sylvan</x:t>
        </x:is>
      </x:c>
      <x:c r="Z69" s="2" t="n"/>
      <x:c r="AA69" s="2" t="inlineStr">
        <x:is>
          <x:t xml:space="preserve">Multiattack. The druid makes two attacks, using Vine Staff or Verdant Wisp in any combination. Vine Staff. Melee Attack Roll: +5, reach 5 ft. Hit: 7 (1d8 + 3) Bludgeoning damage plus 2 (1d4) Poison damage. Verdant Wisp. Ranged Attack Roll: +5, range 90 ft. Hit: 10 (3d6) Radiant damage. Spellcasting. The druid casts one of the following spells, using Wisdom as the spellcasting ability (spell save DC 13): At Will: Druidcraft, Speak with Animals 2/Day Each: Entangle, Thunderwave 1/Day Each: Animal Messenger, Long- strider, Moonbeam Dryad</x:t>
        </x:is>
      </x:c>
      <x:c r="AB69" s="2" t="n"/>
      <x:c r="AC69" s="2" t="n"/>
      <x:c r="AD69" s="2" t="n"/>
      <x:c r="AE69" s="2" t="inlineStr">
        <x:is>
          <x:t xml:space="preserve">Includes Spellcasting; see Traits/Actions text</x:t>
        </x:is>
      </x:c>
      <x:c r="AF69" s="2" t="inlineStr">
        <x:is>
          <x:t xml:space="preserve">Imported from SRD 5.2.1 p. 282 Index of Stat Blocks</x:t>
        </x:is>
      </x:c>
      <x:c r="AG69" s="2" t="inlineStr">
        <x:is>
          <x:t xml:space="preserve">https://www.dndbeyond.com/srd</x:t>
        </x:is>
      </x:c>
    </x:row>
    <x:row r="70" ht="18" customHeight="1">
      <x:c r="A70" s="2" t="inlineStr">
        <x:is>
          <x:t xml:space="preserve">Dryad</x:t>
        </x:is>
      </x:c>
      <x:c r="B70" s="2" t="inlineStr">
        <x:is>
          <x:t xml:space="preserve">SRD 5.2.1</x:t>
        </x:is>
      </x:c>
      <x:c r="C70" s="2" t="inlineStr">
        <x:is>
          <x:t xml:space="preserve">Fey</x:t>
        </x:is>
      </x:c>
      <x:c r="D70" s="2" t="inlineStr">
        <x:is>
          <x:t xml:space="preserve">Medium</x:t>
        </x:is>
      </x:c>
      <x:c r="E70" s="2" t="inlineStr">
        <x:is>
          <x:t xml:space="preserve">Neutral</x:t>
        </x:is>
      </x:c>
      <x:c r="F70" s="2" t="inlineStr">
        <x:is>
          <x:t xml:space="preserve">1</x:t>
        </x:is>
      </x:c>
      <x:c r="G70" s="2" t="inlineStr">
        <x:is>
          <x:t xml:space="preserve">200</x:t>
        </x:is>
      </x:c>
      <x:c r="H70" s="2" t="inlineStr">
        <x:is>
          <x:t xml:space="preserve">16</x:t>
        </x:is>
      </x:c>
      <x:c r="I70" s="2" t="inlineStr">
        <x:is>
          <x:t xml:space="preserve">22</x:t>
        </x:is>
      </x:c>
      <x:c r="J70" s="2" t="inlineStr">
        <x:is>
          <x:t xml:space="preserve">30 ft.</x:t>
        </x:is>
      </x:c>
      <x:c r="K70" s="2" t="inlineStr">
        <x:is>
          <x:t xml:space="preserve">2</x:t>
        </x:is>
      </x:c>
      <x:c r="L70" s="2" t="inlineStr">
        <x:is>
          <x:t xml:space="preserve">14</x:t>
        </x:is>
      </x:c>
      <x:c r="M70" s="2" t="n"/>
      <x:c r="N70" s="2" t="inlineStr">
        <x:is>
          <x:t xml:space="preserve">6</x:t>
        </x:is>
      </x:c>
      <x:c r="O70" s="2" t="inlineStr">
        <x:is>
          <x:t xml:space="preserve">1</x:t>
        </x:is>
      </x:c>
      <x:c r="P70" s="2" t="inlineStr">
        <x:is>
          <x:t xml:space="preserve">10</x:t>
        </x:is>
      </x:c>
      <x:c r="Q70" s="2" t="inlineStr">
        <x:is>
          <x:t xml:space="preserve">12</x:t>
        </x:is>
      </x:c>
      <x:c r="R70" s="2" t="inlineStr">
        <x:is>
          <x:t xml:space="preserve">11</x:t>
        </x:is>
      </x:c>
      <x:c r="S70" s="2" t="inlineStr">
        <x:is>
          <x:t xml:space="preserve">14</x:t>
        </x:is>
      </x:c>
      <x:c r="T70" s="2" t="inlineStr">
        <x:is>
          <x:t xml:space="preserve">15</x:t>
        </x:is>
      </x:c>
      <x:c r="U70" s="2" t="inlineStr">
        <x:is>
          <x:t xml:space="preserve">18</x:t>
        </x:is>
      </x:c>
      <x:c r="V70" s="2" t="n"/>
      <x:c r="W70" s="2" t="inlineStr">
        <x:is>
          <x:t xml:space="preserve">Perception +4, Stealth +5</x:t>
        </x:is>
      </x:c>
      <x:c r="X70" s="2" t="inlineStr">
        <x:is>
          <x:t xml:space="preserve">Darkvision 60 ft.; Passive Perception 14</x:t>
        </x:is>
      </x:c>
      <x:c r="Y70" s="2" t="inlineStr">
        <x:is>
          <x:t xml:space="preserve">Elvish, Sylvan</x:t>
        </x:is>
      </x:c>
      <x:c r="Z70" s="2" t="inlineStr">
        <x:is>
          <x:t xml:space="preserve">Magic Resistance. The dryad has Advantage on saving throws against spells and other magical effects. Speak with Beasts and Plants. The dryad can com- municate with Beasts and Plants as if they shared a language.</x:t>
        </x:is>
      </x:c>
      <x:c r="AA70" s="2" t="inlineStr">
        <x:is>
          <x:t xml:space="preserve">Multiattack. The dryad makes one Vine Lash or Thorn Burst attack, and it can use Spellcasting to cast Charm Monster. Vine Lash. Melee Attack Roll: +6, reach 10 ft. Hit: 8 (1d8 + 4) Slashing damage. Thorn Burst. Ranged Attack Roll: +6, range 60 ft. Hit: 7 (1d6 + 4) Piercing damage. Spellcasting. The dryad casts one of the following spells, requiring no Material components and using Charisma as the spellcasting ability (spell save DC 14): At Will: Animal Friendship, Charm Monster (lasts 24 hours; ends early if the dryad casts the spell again), Druidcraft 1/Day Each: Entangle, Pass without Trace</x:t>
        </x:is>
      </x:c>
      <x:c r="AB70" s="2" t="inlineStr">
        <x:is>
          <x:t xml:space="preserve">Tree Stride. If within 5 feet of a Large or bigger tree, the dryad teleports to an unoccupied space within 5 feet of a second Large or bigger tree that is within 60 feet of the previous tree. Earth Elemental</x:t>
        </x:is>
      </x:c>
      <x:c r="AC70" s="2" t="n"/>
      <x:c r="AD70" s="2" t="n"/>
      <x:c r="AE70" s="2" t="inlineStr">
        <x:is>
          <x:t xml:space="preserve">Includes Spellcasting; see Traits/Actions text</x:t>
        </x:is>
      </x:c>
      <x:c r="AF70" s="2" t="inlineStr">
        <x:is>
          <x:t xml:space="preserve">Imported from SRD 5.2.1 p. 282 Index of Stat Blocks</x:t>
        </x:is>
      </x:c>
      <x:c r="AG70" s="2" t="inlineStr">
        <x:is>
          <x:t xml:space="preserve">https://www.dndbeyond.com/srd</x:t>
        </x:is>
      </x:c>
    </x:row>
    <x:row r="71" ht="18" customHeight="1">
      <x:c r="A71" s="2" t="inlineStr">
        <x:is>
          <x:t xml:space="preserve">Earth Elemental</x:t>
        </x:is>
      </x:c>
      <x:c r="B71" s="2" t="inlineStr">
        <x:is>
          <x:t xml:space="preserve">SRD 5.2.1</x:t>
        </x:is>
      </x:c>
      <x:c r="C71" s="2" t="inlineStr">
        <x:is>
          <x:t xml:space="preserve">Elemental</x:t>
        </x:is>
      </x:c>
      <x:c r="D71" s="2" t="inlineStr">
        <x:is>
          <x:t xml:space="preserve">Large</x:t>
        </x:is>
      </x:c>
      <x:c r="E71" s="2" t="inlineStr">
        <x:is>
          <x:t xml:space="preserve">Neutral</x:t>
        </x:is>
      </x:c>
      <x:c r="F71" s="2" t="inlineStr">
        <x:is>
          <x:t xml:space="preserve">5</x:t>
        </x:is>
      </x:c>
      <x:c r="G71" s="2" t="inlineStr">
        <x:is>
          <x:t xml:space="preserve">1800</x:t>
        </x:is>
      </x:c>
      <x:c r="H71" s="2" t="inlineStr">
        <x:is>
          <x:t xml:space="preserve">17</x:t>
        </x:is>
      </x:c>
      <x:c r="I71" s="2" t="inlineStr">
        <x:is>
          <x:t xml:space="preserve">147</x:t>
        </x:is>
      </x:c>
      <x:c r="J71" s="2" t="inlineStr">
        <x:is>
          <x:t xml:space="preserve">30 ft., Burrow 30 ft.</x:t>
        </x:is>
      </x:c>
      <x:c r="K71" s="2" t="inlineStr">
        <x:is>
          <x:t xml:space="preserve">3</x:t>
        </x:is>
      </x:c>
      <x:c r="L71" s="2" t="inlineStr">
        <x:is>
          <x:t xml:space="preserve">10</x:t>
        </x:is>
      </x:c>
      <x:c r="M71" s="2" t="n"/>
      <x:c r="N71" s="2" t="inlineStr">
        <x:is>
          <x:t xml:space="preserve">8</x:t>
        </x:is>
      </x:c>
      <x:c r="O71" s="2" t="inlineStr">
        <x:is>
          <x:t xml:space="preserve">-1</x:t>
        </x:is>
      </x:c>
      <x:c r="P71" s="2" t="inlineStr">
        <x:is>
          <x:t xml:space="preserve">20</x:t>
        </x:is>
      </x:c>
      <x:c r="Q71" s="2" t="inlineStr">
        <x:is>
          <x:t xml:space="preserve">8</x:t>
        </x:is>
      </x:c>
      <x:c r="R71" s="2" t="inlineStr">
        <x:is>
          <x:t xml:space="preserve">20</x:t>
        </x:is>
      </x:c>
      <x:c r="S71" s="2" t="inlineStr">
        <x:is>
          <x:t xml:space="preserve">5</x:t>
        </x:is>
      </x:c>
      <x:c r="T71" s="2" t="inlineStr">
        <x:is>
          <x:t xml:space="preserve">10</x:t>
        </x:is>
      </x:c>
      <x:c r="U71" s="2" t="inlineStr">
        <x:is>
          <x:t xml:space="preserve">5</x:t>
        </x:is>
      </x:c>
      <x:c r="V71" s="2" t="n"/>
      <x:c r="W71" s="2" t="n"/>
      <x:c r="X71" s="2" t="inlineStr">
        <x:is>
          <x:t xml:space="preserve">Darkvision 60 ft., Tremorsense 60 ft.; Passive Perception 10</x:t>
        </x:is>
      </x:c>
      <x:c r="Y71" s="2" t="inlineStr">
        <x:is>
          <x:t xml:space="preserve">Primordial (Terran)</x:t>
        </x:is>
      </x:c>
      <x:c r="Z71" s="2" t="inlineStr">
        <x:is>
          <x:t xml:space="preserve">Earth Glide. The elemental can burrow through nonmagical, unworked earth and stone. While do- ing so, the elemental doesn’t disturb the material it moves through. Siege Monster. The elemental deals double damage to objects and structures.</x:t>
        </x:is>
      </x:c>
      <x:c r="AA71" s="2" t="inlineStr">
        <x:is>
          <x:t xml:space="preserve">Multiattack. The elemental makes two attacks, using Slam or Rock Launch in any combination. Slam. Melee Attack Roll: +8, reach 10 ft. Hit: 14 (2d8 + 5) Bludgeoning damage. Rock Launch. Ranged Attack Roll: +8, range 60 ft. Hit: 8 (1d6 + 5) Bludgeoning damage. If the target is a Large or smaller creature, it has the Prone condition. Efreeti</x:t>
        </x:is>
      </x:c>
      <x:c r="AB71" s="2" t="n"/>
      <x:c r="AC71" s="2" t="n"/>
      <x:c r="AD71" s="2" t="n"/>
      <x:c r="AE71" s="2" t="n"/>
      <x:c r="AF71" s="2" t="inlineStr">
        <x:is>
          <x:t xml:space="preserve">Imported from SRD 5.2.1 p. 282 Index of Stat Blocks</x:t>
        </x:is>
      </x:c>
      <x:c r="AG71" s="2" t="inlineStr">
        <x:is>
          <x:t xml:space="preserve">https://www.dndbeyond.com/srd</x:t>
        </x:is>
      </x:c>
    </x:row>
    <x:row r="72" ht="18" customHeight="1">
      <x:c r="A72" s="2" t="inlineStr">
        <x:is>
          <x:t xml:space="preserve">Efreeti</x:t>
        </x:is>
      </x:c>
      <x:c r="B72" s="2" t="inlineStr">
        <x:is>
          <x:t xml:space="preserve">SRD 5.2.1</x:t>
        </x:is>
      </x:c>
      <x:c r="C72" s="2" t="inlineStr">
        <x:is>
          <x:t xml:space="preserve">Elemental (Genie)</x:t>
        </x:is>
      </x:c>
      <x:c r="D72" s="2" t="inlineStr">
        <x:is>
          <x:t xml:space="preserve">Large</x:t>
        </x:is>
      </x:c>
      <x:c r="E72" s="2" t="inlineStr">
        <x:is>
          <x:t xml:space="preserve">Neutral</x:t>
        </x:is>
      </x:c>
      <x:c r="F72" s="2" t="inlineStr">
        <x:is>
          <x:t xml:space="preserve">11</x:t>
        </x:is>
      </x:c>
      <x:c r="G72" s="2" t="inlineStr">
        <x:is>
          <x:t xml:space="preserve">7200</x:t>
        </x:is>
      </x:c>
      <x:c r="H72" s="2" t="inlineStr">
        <x:is>
          <x:t xml:space="preserve">17</x:t>
        </x:is>
      </x:c>
      <x:c r="I72" s="2" t="inlineStr">
        <x:is>
          <x:t xml:space="preserve">212</x:t>
        </x:is>
      </x:c>
      <x:c r="J72" s="2" t="inlineStr">
        <x:is>
          <x:t xml:space="preserve">40 ft., Fly 60 ft. (hover)</x:t>
        </x:is>
      </x:c>
      <x:c r="K72" s="2" t="inlineStr">
        <x:is>
          <x:t xml:space="preserve">4</x:t>
        </x:is>
      </x:c>
      <x:c r="L72" s="2" t="inlineStr">
        <x:is>
          <x:t xml:space="preserve">12</x:t>
        </x:is>
      </x:c>
      <x:c r="M72" s="2" t="n"/>
      <x:c r="N72" s="2" t="inlineStr">
        <x:is>
          <x:t xml:space="preserve">10</x:t>
        </x:is>
      </x:c>
      <x:c r="O72" s="2" t="inlineStr">
        <x:is>
          <x:t xml:space="preserve">1</x:t>
        </x:is>
      </x:c>
      <x:c r="P72" s="2" t="inlineStr">
        <x:is>
          <x:t xml:space="preserve">22</x:t>
        </x:is>
      </x:c>
      <x:c r="Q72" s="2" t="inlineStr">
        <x:is>
          <x:t xml:space="preserve">12</x:t>
        </x:is>
      </x:c>
      <x:c r="R72" s="2" t="inlineStr">
        <x:is>
          <x:t xml:space="preserve">24</x:t>
        </x:is>
      </x:c>
      <x:c r="S72" s="2" t="inlineStr">
        <x:is>
          <x:t xml:space="preserve">16</x:t>
        </x:is>
      </x:c>
      <x:c r="T72" s="2" t="inlineStr">
        <x:is>
          <x:t xml:space="preserve">15</x:t>
        </x:is>
      </x:c>
      <x:c r="U72" s="2" t="inlineStr">
        <x:is>
          <x:t xml:space="preserve">19</x:t>
        </x:is>
      </x:c>
      <x:c r="V72" s="2" t="inlineStr">
        <x:is>
          <x:t xml:space="preserve">WIS +6, CHA +8</x:t>
        </x:is>
      </x:c>
      <x:c r="W72" s="2" t="n"/>
      <x:c r="X72" s="2" t="inlineStr">
        <x:is>
          <x:t xml:space="preserve">Darkvision 120 ft.; Passive Perception 12</x:t>
        </x:is>
      </x:c>
      <x:c r="Y72" s="2" t="inlineStr">
        <x:is>
          <x:t xml:space="preserve">Primordial (Ignan)</x:t>
        </x:is>
      </x:c>
      <x:c r="Z72" s="2" t="inlineStr">
        <x:is>
          <x:t xml:space="preserve">Elemental Restoration. If the efreeti dies outside the Elemental Plane of Fire, its body dissolves into ash, and it gains a new body in 1d4 days, reviving with all its Hit Points somewhere on the Plane of Fire. Magic Resistance. The efreeti has Advantage on saving throws against spells and other magical effects. Wishes. The efreeti has a 30 percent chance of know- ing the Wish spell. If the efreeti knows it, the efreeti can cast it only on behalf of a non-genie creature who communicates a wish in a way the efreeti can under- stand. If the efreeti casts the spell for the creature, the efreeti suffers none of the spell’s stress. Once the efreeti has cast it three times, the efreeti can’t do so again for 365 days.</x:t>
        </x:is>
      </x:c>
      <x:c r="AA72" s="2" t="inlineStr">
        <x:is>
          <x:t xml:space="preserve">Multiattack. The efreeti makes three attacks, using Heated Blade or Hurl Flame in any combination. Heated Blade. Melee Attack Roll: +10, reach 5 ft. Hit: 13 (2d6 + 6) Slashing damage plus 13 (2d12) Fire damage. Hurl Flame. Ranged Attack Roll: +8, range 120 ft. Hit: 24 (7d6) Fire damage. Spellcasting. The efreeti casts one of the following spells, requiring no Material components and using Charisma as the spellcasting ability (spell save DC 16): At Will: Detect Magic, Elementalism 1/Day Each: Gaseous Form, Invisibility, Major Image, Plane Shift, Tongues, Wall of Fire (level 7 version) Erinyes</x:t>
        </x:is>
      </x:c>
      <x:c r="AB72" s="2" t="n"/>
      <x:c r="AC72" s="2" t="n"/>
      <x:c r="AD72" s="2" t="n"/>
      <x:c r="AE72" s="2" t="inlineStr">
        <x:is>
          <x:t xml:space="preserve">Includes Spellcasting; see Traits/Actions text</x:t>
        </x:is>
      </x:c>
      <x:c r="AF72" s="2" t="inlineStr">
        <x:is>
          <x:t xml:space="preserve">Imported from SRD 5.2.1 p. 283 Index of Stat Blocks</x:t>
        </x:is>
      </x:c>
      <x:c r="AG72" s="2" t="inlineStr">
        <x:is>
          <x:t xml:space="preserve">https://www.dndbeyond.com/srd</x:t>
        </x:is>
      </x:c>
    </x:row>
    <x:row r="73" ht="18" customHeight="1">
      <x:c r="A73" s="2" t="inlineStr">
        <x:is>
          <x:t xml:space="preserve">Erinyes</x:t>
        </x:is>
      </x:c>
      <x:c r="B73" s="2" t="inlineStr">
        <x:is>
          <x:t xml:space="preserve">SRD 5.2.1</x:t>
        </x:is>
      </x:c>
      <x:c r="C73" s="2" t="inlineStr">
        <x:is>
          <x:t xml:space="preserve">Fiend (Devil)</x:t>
        </x:is>
      </x:c>
      <x:c r="D73" s="2" t="inlineStr">
        <x:is>
          <x:t xml:space="preserve">Medium</x:t>
        </x:is>
      </x:c>
      <x:c r="E73" s="2" t="inlineStr">
        <x:is>
          <x:t xml:space="preserve">Lawful Evil</x:t>
        </x:is>
      </x:c>
      <x:c r="F73" s="2" t="inlineStr">
        <x:is>
          <x:t xml:space="preserve">12</x:t>
        </x:is>
      </x:c>
      <x:c r="G73" s="2" t="inlineStr">
        <x:is>
          <x:t xml:space="preserve">8400</x:t>
        </x:is>
      </x:c>
      <x:c r="H73" s="2" t="inlineStr">
        <x:is>
          <x:t xml:space="preserve">18</x:t>
        </x:is>
      </x:c>
      <x:c r="I73" s="2" t="inlineStr">
        <x:is>
          <x:t xml:space="preserve">178</x:t>
        </x:is>
      </x:c>
      <x:c r="J73" s="2" t="inlineStr">
        <x:is>
          <x:t xml:space="preserve">30 ft., Fly 60 ft.</x:t>
        </x:is>
      </x:c>
      <x:c r="K73" s="2" t="inlineStr">
        <x:is>
          <x:t xml:space="preserve">4</x:t>
        </x:is>
      </x:c>
      <x:c r="L73" s="2" t="inlineStr">
        <x:is>
          <x:t xml:space="preserve">16</x:t>
        </x:is>
      </x:c>
      <x:c r="M73" s="2" t="inlineStr">
        <x:is>
          <x:t xml:space="preserve">16</x:t>
        </x:is>
      </x:c>
      <x:c r="N73" s="2" t="inlineStr">
        <x:is>
          <x:t xml:space="preserve">8</x:t>
        </x:is>
      </x:c>
      <x:c r="O73" s="2" t="inlineStr">
        <x:is>
          <x:t xml:space="preserve">7</x:t>
        </x:is>
      </x:c>
      <x:c r="P73" s="2" t="inlineStr">
        <x:is>
          <x:t xml:space="preserve">18</x:t>
        </x:is>
      </x:c>
      <x:c r="Q73" s="2" t="inlineStr">
        <x:is>
          <x:t xml:space="preserve">16</x:t>
        </x:is>
      </x:c>
      <x:c r="R73" s="2" t="inlineStr">
        <x:is>
          <x:t xml:space="preserve">18</x:t>
        </x:is>
      </x:c>
      <x:c r="S73" s="2" t="inlineStr">
        <x:is>
          <x:t xml:space="preserve">14</x:t>
        </x:is>
      </x:c>
      <x:c r="T73" s="2" t="inlineStr">
        <x:is>
          <x:t xml:space="preserve">14</x:t>
        </x:is>
      </x:c>
      <x:c r="U73" s="2" t="inlineStr">
        <x:is>
          <x:t xml:space="preserve">18</x:t>
        </x:is>
      </x:c>
      <x:c r="V73" s="2" t="inlineStr">
        <x:is>
          <x:t xml:space="preserve">DEX +7, CON +8, CHA +8</x:t>
        </x:is>
      </x:c>
      <x:c r="W73" s="2" t="inlineStr">
        <x:is>
          <x:t xml:space="preserve">Perception +6, Persuasion +8</x:t>
        </x:is>
      </x:c>
      <x:c r="X73" s="2" t="inlineStr">
        <x:is>
          <x:t xml:space="preserve">Truesight 120 ft.; Passive Perception 16</x:t>
        </x:is>
      </x:c>
      <x:c r="Y73" s="2" t="inlineStr">
        <x:is>
          <x:t xml:space="preserve">Infernal; telepathy 120 ft.</x:t>
        </x:is>
      </x:c>
      <x:c r="Z73" s="2" t="inlineStr">
        <x:is>
          <x:t xml:space="preserve">Diabolical Restoration. If the erinyes dies outside the Nine Hells, its body disappears in sulfurous smoke, and it gains a new body instantly, reviving with all its Hit Points somewhere in the Nine Hells. Magic Resistance. The erinyes has Advantage on saving throws against spells and other magical effects. Magic Rope. The erinyes has a magic rope. While bear- ing it, the erinyes can use the Entangling Rope action. The rope has AC 20, HP 90, and Immunity to Poison and Psychic damage. The rope turns to dust if reduced to 0 Hit Points, if it is 5+ feet away from the erinyes for 1 hour or more, or if the erinyes dies. If the rope is damaged or destroyed, the erinyes can fully restore it when finishing a Short or Long Rest.</x:t>
        </x:is>
      </x:c>
      <x:c r="AA73" s="2" t="inlineStr">
        <x:is>
          <x:t xml:space="preserve">Multiattack. The erinyes makes three Withering Sword attacks and can use Entangling Rope. Withering Sword. Melee Attack Roll: +8, reach 5 ft. Hit: 13 (2d8 + 4) Slashing damage plus 11 (2d10) Ne- crotic damage. Entangling Rope (Requires Magic Rope). Strength Saving Throw: DC 16, one creature the erinyes can see within 120 feet. Failure: 14 (4d6) Force damage, and the target has the Restrained condition until the rope is de- stroyed, the erinyes uses a Bonus Action to release the target, or the erinyes uses Entangling Rope again.</x:t>
        </x:is>
      </x:c>
      <x:c r="AB73" s="2" t="n"/>
      <x:c r="AC73" s="2" t="inlineStr">
        <x:is>
          <x:t xml:space="preserve">Parry. Trigger: The erinyes is hit by a melee attack roll while holding a weapon. Response: The erinyes adds 4 to its AC against that attack, possibly causing it to miss. Ettercap</x:t>
        </x:is>
      </x:c>
      <x:c r="AD73" s="2" t="n"/>
      <x:c r="AE73" s="2" t="n"/>
      <x:c r="AF73" s="2" t="inlineStr">
        <x:is>
          <x:t xml:space="preserve">Imported from SRD 5.2.1 p. 283 Index of Stat Blocks</x:t>
        </x:is>
      </x:c>
      <x:c r="AG73" s="2" t="inlineStr">
        <x:is>
          <x:t xml:space="preserve">https://www.dndbeyond.com/srd</x:t>
        </x:is>
      </x:c>
    </x:row>
    <x:row r="74" ht="18" customHeight="1">
      <x:c r="A74" s="2" t="inlineStr">
        <x:is>
          <x:t xml:space="preserve">Ettercap</x:t>
        </x:is>
      </x:c>
      <x:c r="B74" s="2" t="inlineStr">
        <x:is>
          <x:t xml:space="preserve">SRD 5.2.1</x:t>
        </x:is>
      </x:c>
      <x:c r="C74" s="2" t="inlineStr">
        <x:is>
          <x:t xml:space="preserve">Monstrosity</x:t>
        </x:is>
      </x:c>
      <x:c r="D74" s="2" t="inlineStr">
        <x:is>
          <x:t xml:space="preserve">Medium</x:t>
        </x:is>
      </x:c>
      <x:c r="E74" s="2" t="inlineStr">
        <x:is>
          <x:t xml:space="preserve">Neutral Evil</x:t>
        </x:is>
      </x:c>
      <x:c r="F74" s="2" t="inlineStr">
        <x:is>
          <x:t xml:space="preserve">2</x:t>
        </x:is>
      </x:c>
      <x:c r="G74" s="2" t="inlineStr">
        <x:is>
          <x:t xml:space="preserve">450</x:t>
        </x:is>
      </x:c>
      <x:c r="H74" s="2" t="inlineStr">
        <x:is>
          <x:t xml:space="preserve">13</x:t>
        </x:is>
      </x:c>
      <x:c r="I74" s="2" t="inlineStr">
        <x:is>
          <x:t xml:space="preserve">44</x:t>
        </x:is>
      </x:c>
      <x:c r="J74" s="2" t="inlineStr">
        <x:is>
          <x:t xml:space="preserve">30 ft., Climb 30 ft.</x:t>
        </x:is>
      </x:c>
      <x:c r="K74" s="2" t="inlineStr">
        <x:is>
          <x:t xml:space="preserve">2</x:t>
        </x:is>
      </x:c>
      <x:c r="L74" s="2" t="inlineStr">
        <x:is>
          <x:t xml:space="preserve">13</x:t>
        </x:is>
      </x:c>
      <x:c r="M74" s="2" t="inlineStr">
        <x:is>
          <x:t xml:space="preserve">12</x:t>
        </x:is>
      </x:c>
      <x:c r="N74" s="2" t="inlineStr">
        <x:is>
          <x:t xml:space="preserve">4</x:t>
        </x:is>
      </x:c>
      <x:c r="O74" s="2" t="inlineStr">
        <x:is>
          <x:t xml:space="preserve">2</x:t>
        </x:is>
      </x:c>
      <x:c r="P74" s="2" t="inlineStr">
        <x:is>
          <x:t xml:space="preserve">14</x:t>
        </x:is>
      </x:c>
      <x:c r="Q74" s="2" t="inlineStr">
        <x:is>
          <x:t xml:space="preserve">15</x:t>
        </x:is>
      </x:c>
      <x:c r="R74" s="2" t="inlineStr">
        <x:is>
          <x:t xml:space="preserve">13</x:t>
        </x:is>
      </x:c>
      <x:c r="S74" s="2" t="inlineStr">
        <x:is>
          <x:t xml:space="preserve">7</x:t>
        </x:is>
      </x:c>
      <x:c r="T74" s="2" t="inlineStr">
        <x:is>
          <x:t xml:space="preserve">12</x:t>
        </x:is>
      </x:c>
      <x:c r="U74" s="2" t="inlineStr">
        <x:is>
          <x:t xml:space="preserve">8</x:t>
        </x:is>
      </x:c>
      <x:c r="V74" s="2" t="n"/>
      <x:c r="W74" s="2" t="inlineStr">
        <x:is>
          <x:t xml:space="preserve">Perception +3, Stealth +4, Survival +3</x:t>
        </x:is>
      </x:c>
      <x:c r="X74" s="2" t="inlineStr">
        <x:is>
          <x:t xml:space="preserve">Darkvision 60 ft.; Passive Perception 13</x:t>
        </x:is>
      </x:c>
      <x:c r="Y74" s="2" t="inlineStr">
        <x:is>
          <x:t xml:space="preserve">None</x:t>
        </x:is>
      </x:c>
      <x:c r="Z74" s="2" t="inlineStr">
        <x:is>
          <x:t xml:space="preserve">Spider Climb. The ettercap can climb difficult surfaces, including along ceilings, without needing to make an ability check. Web Walker. The ettercap ignores movement re- strictions caused by webs, and the ettercap knows the location of any other creature in contact with the same web.</x:t>
        </x:is>
      </x:c>
      <x:c r="AA74" s="2" t="inlineStr">
        <x:is>
          <x:t xml:space="preserve">Multiattack. The ettercap makes one Bite attack and one Claw attack. Bite. Melee Attack Roll: +4, reach 5 ft. Hit: 5 (1d6 + 2) Piercing damage plus 2 (1d4) Poison damage, and the target has the Poisoned condition until the start of the ettercap’s next turn. Claw. Melee Attack Roll: +4, reach 5 ft. Hit: 7 (2d4 + 2) Slashing damage. Web Strand (Recharge 5-6). Dexterity Saving Throw: DC 12, one Large or smaller creature the ettercap can see within 30 feet. Failure: The target has the Restrained condition until the web is destroyed (AC 10; HP 5; Vulnerability to Fire damage; Immunity to Bludgeoning, Poison, and Psychic damage).</x:t>
        </x:is>
      </x:c>
      <x:c r="AB74" s="2" t="inlineStr">
        <x:is>
          <x:t xml:space="preserve">Reel. The ettercap pulls one creature within 30 feet of itself that is Restrained by its Web Strand up to 25 feet straight toward itself. Ettin</x:t>
        </x:is>
      </x:c>
      <x:c r="AC74" s="2" t="n"/>
      <x:c r="AD74" s="2" t="n"/>
      <x:c r="AE74" s="2" t="n"/>
      <x:c r="AF74" s="2" t="inlineStr">
        <x:is>
          <x:t xml:space="preserve">Imported from SRD 5.2.1 p. 284 Index of Stat Blocks</x:t>
        </x:is>
      </x:c>
      <x:c r="AG74" s="2" t="inlineStr">
        <x:is>
          <x:t xml:space="preserve">https://www.dndbeyond.com/srd</x:t>
        </x:is>
      </x:c>
    </x:row>
    <x:row r="75" ht="18" customHeight="1">
      <x:c r="A75" s="2" t="inlineStr">
        <x:is>
          <x:t xml:space="preserve">Ettin</x:t>
        </x:is>
      </x:c>
      <x:c r="B75" s="2" t="inlineStr">
        <x:is>
          <x:t xml:space="preserve">SRD 5.2.1</x:t>
        </x:is>
      </x:c>
      <x:c r="C75" s="2" t="inlineStr">
        <x:is>
          <x:t xml:space="preserve">Giant</x:t>
        </x:is>
      </x:c>
      <x:c r="D75" s="2" t="inlineStr">
        <x:is>
          <x:t xml:space="preserve">Large</x:t>
        </x:is>
      </x:c>
      <x:c r="E75" s="2" t="inlineStr">
        <x:is>
          <x:t xml:space="preserve">Chaotic Evil</x:t>
        </x:is>
      </x:c>
      <x:c r="F75" s="2" t="inlineStr">
        <x:is>
          <x:t xml:space="preserve">4</x:t>
        </x:is>
      </x:c>
      <x:c r="G75" s="2" t="inlineStr">
        <x:is>
          <x:t xml:space="preserve">1100</x:t>
        </x:is>
      </x:c>
      <x:c r="H75" s="2" t="inlineStr">
        <x:is>
          <x:t xml:space="preserve">12</x:t>
        </x:is>
      </x:c>
      <x:c r="I75" s="2" t="inlineStr">
        <x:is>
          <x:t xml:space="preserve">85</x:t>
        </x:is>
      </x:c>
      <x:c r="J75" s="2" t="inlineStr">
        <x:is>
          <x:t xml:space="preserve">40 ft.</x:t>
        </x:is>
      </x:c>
      <x:c r="K75" s="2" t="inlineStr">
        <x:is>
          <x:t xml:space="preserve">2</x:t>
        </x:is>
      </x:c>
      <x:c r="L75" s="2" t="inlineStr">
        <x:is>
          <x:t xml:space="preserve">14</x:t>
        </x:is>
      </x:c>
      <x:c r="M75" s="2" t="n"/>
      <x:c r="N75" s="2" t="inlineStr">
        <x:is>
          <x:t xml:space="preserve">7</x:t>
        </x:is>
      </x:c>
      <x:c r="O75" s="2" t="inlineStr">
        <x:is>
          <x:t xml:space="preserve">-1</x:t>
        </x:is>
      </x:c>
      <x:c r="P75" s="2" t="inlineStr">
        <x:is>
          <x:t xml:space="preserve">21</x:t>
        </x:is>
      </x:c>
      <x:c r="Q75" s="2" t="inlineStr">
        <x:is>
          <x:t xml:space="preserve">8</x:t>
        </x:is>
      </x:c>
      <x:c r="R75" s="2" t="inlineStr">
        <x:is>
          <x:t xml:space="preserve">17</x:t>
        </x:is>
      </x:c>
      <x:c r="S75" s="2" t="inlineStr">
        <x:is>
          <x:t xml:space="preserve">6</x:t>
        </x:is>
      </x:c>
      <x:c r="T75" s="2" t="inlineStr">
        <x:is>
          <x:t xml:space="preserve">10</x:t>
        </x:is>
      </x:c>
      <x:c r="U75" s="2" t="inlineStr">
        <x:is>
          <x:t xml:space="preserve">8</x:t>
        </x:is>
      </x:c>
      <x:c r="V75" s="2" t="n"/>
      <x:c r="W75" s="2" t="inlineStr">
        <x:is>
          <x:t xml:space="preserve">Perception +4</x:t>
        </x:is>
      </x:c>
      <x:c r="X75" s="2" t="inlineStr">
        <x:is>
          <x:t xml:space="preserve">Darkvision 60 ft.; Passive Perception 14</x:t>
        </x:is>
      </x:c>
      <x:c r="Y75" s="2" t="inlineStr">
        <x:is>
          <x:t xml:space="preserve">Giant</x:t>
        </x:is>
      </x:c>
      <x:c r="Z75" s="2" t="n"/>
      <x:c r="AA75" s="2" t="inlineStr">
        <x:is>
          <x:t xml:space="preserve">Multiattack. The ettin makes one Battleaxe attack and one Morningstar attack. Battleaxe. Melee Attack Roll: +7, reach 5 ft. Hit: 14 (2d8 + 5) Slashing damage. If the target is a Large or smaller creature, it has the Prone condition. Morningstar. Melee Attack Roll: +7, reach 5 ft. Hit: 14 (2d8 + 5) Piercing damage, and the target has Disad- vantage on the next attack roll it makes before the end of its next turn. Fire Elemental</x:t>
        </x:is>
      </x:c>
      <x:c r="AB75" s="2" t="n"/>
      <x:c r="AC75" s="2" t="n"/>
      <x:c r="AD75" s="2" t="n"/>
      <x:c r="AE75" s="2" t="n"/>
      <x:c r="AF75" s="2" t="inlineStr">
        <x:is>
          <x:t xml:space="preserve">Imported from SRD 5.2.1 p. 284 Index of Stat Blocks</x:t>
        </x:is>
      </x:c>
      <x:c r="AG75" s="2" t="inlineStr">
        <x:is>
          <x:t xml:space="preserve">https://www.dndbeyond.com/srd</x:t>
        </x:is>
      </x:c>
    </x:row>
    <x:row r="76" ht="18" customHeight="1">
      <x:c r="A76" s="2" t="inlineStr">
        <x:is>
          <x:t xml:space="preserve">Fire Elemental</x:t>
        </x:is>
      </x:c>
      <x:c r="B76" s="2" t="inlineStr">
        <x:is>
          <x:t xml:space="preserve">SRD 5.2.1</x:t>
        </x:is>
      </x:c>
      <x:c r="C76" s="2" t="inlineStr">
        <x:is>
          <x:t xml:space="preserve">Elemental</x:t>
        </x:is>
      </x:c>
      <x:c r="D76" s="2" t="inlineStr">
        <x:is>
          <x:t xml:space="preserve">Large</x:t>
        </x:is>
      </x:c>
      <x:c r="E76" s="2" t="inlineStr">
        <x:is>
          <x:t xml:space="preserve">Neutral</x:t>
        </x:is>
      </x:c>
      <x:c r="F76" s="2" t="inlineStr">
        <x:is>
          <x:t xml:space="preserve">5</x:t>
        </x:is>
      </x:c>
      <x:c r="G76" s="2" t="inlineStr">
        <x:is>
          <x:t xml:space="preserve">1800</x:t>
        </x:is>
      </x:c>
      <x:c r="H76" s="2" t="inlineStr">
        <x:is>
          <x:t xml:space="preserve">13</x:t>
        </x:is>
      </x:c>
      <x:c r="I76" s="2" t="inlineStr">
        <x:is>
          <x:t xml:space="preserve">93</x:t>
        </x:is>
      </x:c>
      <x:c r="J76" s="2" t="inlineStr">
        <x:is>
          <x:t xml:space="preserve">50 ft.</x:t>
        </x:is>
      </x:c>
      <x:c r="K76" s="2" t="inlineStr">
        <x:is>
          <x:t xml:space="preserve">3</x:t>
        </x:is>
      </x:c>
      <x:c r="L76" s="2" t="inlineStr">
        <x:is>
          <x:t xml:space="preserve">10</x:t>
        </x:is>
      </x:c>
      <x:c r="M76" s="2" t="n"/>
      <x:c r="N76" s="2" t="inlineStr">
        <x:is>
          <x:t xml:space="preserve">6</x:t>
        </x:is>
      </x:c>
      <x:c r="O76" s="2" t="inlineStr">
        <x:is>
          <x:t xml:space="preserve">3</x:t>
        </x:is>
      </x:c>
      <x:c r="P76" s="2" t="inlineStr">
        <x:is>
          <x:t xml:space="preserve">10</x:t>
        </x:is>
      </x:c>
      <x:c r="Q76" s="2" t="inlineStr">
        <x:is>
          <x:t xml:space="preserve">17</x:t>
        </x:is>
      </x:c>
      <x:c r="R76" s="2" t="inlineStr">
        <x:is>
          <x:t xml:space="preserve">16</x:t>
        </x:is>
      </x:c>
      <x:c r="S76" s="2" t="inlineStr">
        <x:is>
          <x:t xml:space="preserve">6</x:t>
        </x:is>
      </x:c>
      <x:c r="T76" s="2" t="inlineStr">
        <x:is>
          <x:t xml:space="preserve">10</x:t>
        </x:is>
      </x:c>
      <x:c r="U76" s="2" t="inlineStr">
        <x:is>
          <x:t xml:space="preserve">7</x:t>
        </x:is>
      </x:c>
      <x:c r="V76" s="2" t="n"/>
      <x:c r="W76" s="2" t="n"/>
      <x:c r="X76" s="2" t="inlineStr">
        <x:is>
          <x:t xml:space="preserve">Darkvision 60 ft.; Passive Perception 10</x:t>
        </x:is>
      </x:c>
      <x:c r="Y76" s="2" t="inlineStr">
        <x:is>
          <x:t xml:space="preserve">Primordial (Ignan)</x:t>
        </x:is>
      </x:c>
      <x:c r="Z76" s="2" t="inlineStr">
        <x:is>
          <x:t xml:space="preserve">Fire Aura. At the end of each of the elemental’s turns, each creature in a 10-foot Emanation originating from the elemental takes 5 (1d10) Fire damage. Creatures and flammable objects in the Emanation start burning. Fire Form. The elemental can move through a space as narrow as 1 inch without expending extra movement to do so, and it can enter a creature’s space and stop there. The first time it enters a creature’s space on a turn, that creature takes 5 (1d10) Fire damage. Illumination. The elemental sheds Bright Light in a 30- foot radius and Dim Light for an additional 30 feet. Water Susceptibility. The elemental takes 3 (1d6) Cold damage for every 5 feet the elemental moves in water or for every gallon of water splashed on it.</x:t>
        </x:is>
      </x:c>
      <x:c r="AA76" s="2" t="inlineStr">
        <x:is>
          <x:t xml:space="preserve">Multiattack. The elemental makes two Burn attacks. Burn. Melee Attack Roll: +6, reach 5 ft. Hit: 10 (2d6 + 3) Fire damage. If the target is a creature or a flammable object, it starts burning. Fire Giant</x:t>
        </x:is>
      </x:c>
      <x:c r="AB76" s="2" t="n"/>
      <x:c r="AC76" s="2" t="n"/>
      <x:c r="AD76" s="2" t="n"/>
      <x:c r="AE76" s="2" t="n"/>
      <x:c r="AF76" s="2" t="inlineStr">
        <x:is>
          <x:t xml:space="preserve">Imported from SRD 5.2.1 p. 284 Index of Stat Blocks</x:t>
        </x:is>
      </x:c>
      <x:c r="AG76" s="2" t="inlineStr">
        <x:is>
          <x:t xml:space="preserve">https://www.dndbeyond.com/srd</x:t>
        </x:is>
      </x:c>
    </x:row>
    <x:row r="77" ht="18" customHeight="1">
      <x:c r="A77" s="2" t="inlineStr">
        <x:is>
          <x:t xml:space="preserve">Fire Giant</x:t>
        </x:is>
      </x:c>
      <x:c r="B77" s="2" t="inlineStr">
        <x:is>
          <x:t xml:space="preserve">SRD 5.2.1</x:t>
        </x:is>
      </x:c>
      <x:c r="C77" s="2" t="inlineStr">
        <x:is>
          <x:t xml:space="preserve">Giant</x:t>
        </x:is>
      </x:c>
      <x:c r="D77" s="2" t="inlineStr">
        <x:is>
          <x:t xml:space="preserve">Huge</x:t>
        </x:is>
      </x:c>
      <x:c r="E77" s="2" t="inlineStr">
        <x:is>
          <x:t xml:space="preserve">Lawful Evil</x:t>
        </x:is>
      </x:c>
      <x:c r="F77" s="2" t="inlineStr">
        <x:is>
          <x:t xml:space="preserve">9</x:t>
        </x:is>
      </x:c>
      <x:c r="G77" s="2" t="inlineStr">
        <x:is>
          <x:t xml:space="preserve">5000</x:t>
        </x:is>
      </x:c>
      <x:c r="H77" s="2" t="inlineStr">
        <x:is>
          <x:t xml:space="preserve">18</x:t>
        </x:is>
      </x:c>
      <x:c r="I77" s="2" t="inlineStr">
        <x:is>
          <x:t xml:space="preserve">162</x:t>
        </x:is>
      </x:c>
      <x:c r="J77" s="2" t="inlineStr">
        <x:is>
          <x:t xml:space="preserve">30 ft.</x:t>
        </x:is>
      </x:c>
      <x:c r="K77" s="2" t="inlineStr">
        <x:is>
          <x:t xml:space="preserve">4</x:t>
        </x:is>
      </x:c>
      <x:c r="L77" s="2" t="inlineStr">
        <x:is>
          <x:t xml:space="preserve">16</x:t>
        </x:is>
      </x:c>
      <x:c r="M77" s="2" t="n"/>
      <x:c r="N77" s="2" t="inlineStr">
        <x:is>
          <x:t xml:space="preserve">11</x:t>
        </x:is>
      </x:c>
      <x:c r="O77" s="2" t="inlineStr">
        <x:is>
          <x:t xml:space="preserve">3</x:t>
        </x:is>
      </x:c>
      <x:c r="P77" s="2" t="inlineStr">
        <x:is>
          <x:t xml:space="preserve">25</x:t>
        </x:is>
      </x:c>
      <x:c r="Q77" s="2" t="inlineStr">
        <x:is>
          <x:t xml:space="preserve">9</x:t>
        </x:is>
      </x:c>
      <x:c r="R77" s="2" t="inlineStr">
        <x:is>
          <x:t xml:space="preserve">23</x:t>
        </x:is>
      </x:c>
      <x:c r="S77" s="2" t="inlineStr">
        <x:is>
          <x:t xml:space="preserve">10</x:t>
        </x:is>
      </x:c>
      <x:c r="T77" s="2" t="inlineStr">
        <x:is>
          <x:t xml:space="preserve">14</x:t>
        </x:is>
      </x:c>
      <x:c r="U77" s="2" t="inlineStr">
        <x:is>
          <x:t xml:space="preserve">13</x:t>
        </x:is>
      </x:c>
      <x:c r="V77" s="2" t="inlineStr">
        <x:is>
          <x:t xml:space="preserve">DEX +3, CON +10, CHA +5</x:t>
        </x:is>
      </x:c>
      <x:c r="W77" s="2" t="inlineStr">
        <x:is>
          <x:t xml:space="preserve">Athletics +11, Perception +6</x:t>
        </x:is>
      </x:c>
      <x:c r="X77" s="2" t="inlineStr">
        <x:is>
          <x:t xml:space="preserve">Passive Perception 16</x:t>
        </x:is>
      </x:c>
      <x:c r="Y77" s="2" t="inlineStr">
        <x:is>
          <x:t xml:space="preserve">Giant</x:t>
        </x:is>
      </x:c>
      <x:c r="Z77" s="2" t="n"/>
      <x:c r="AA77" s="2" t="inlineStr">
        <x:is>
          <x:t xml:space="preserve">Multiattack. The giant makes two attacks, using Flame Sword or Hammer Throw in any combination. Flame Sword. Melee Attack Roll: +11, reach 10 ft. Hit: 21 (4d6 + 7) Slashing damage plus 10 (3d6) Fire damage. Hammer Throw. Ranged Attack Roll: +11, range 60/240 ft. Hit: 23 (3d10 + 7) Bludgeoning damage plus 4 (1d8) Fire damage, and the target is pushed up to 15 feet straight away from the giant and has Disadvantage on the next attack roll it makes before the end of its next turn. Flesh Golem</x:t>
        </x:is>
      </x:c>
      <x:c r="AB77" s="2" t="n"/>
      <x:c r="AC77" s="2" t="n"/>
      <x:c r="AD77" s="2" t="n"/>
      <x:c r="AE77" s="2" t="n"/>
      <x:c r="AF77" s="2" t="inlineStr">
        <x:is>
          <x:t xml:space="preserve">Imported from SRD 5.2.1 p. 285 Index of Stat Blocks</x:t>
        </x:is>
      </x:c>
      <x:c r="AG77" s="2" t="inlineStr">
        <x:is>
          <x:t xml:space="preserve">https://www.dndbeyond.com/srd</x:t>
        </x:is>
      </x:c>
    </x:row>
    <x:row r="78" ht="18" customHeight="1">
      <x:c r="A78" s="2" t="inlineStr">
        <x:is>
          <x:t xml:space="preserve">Flesh Golem</x:t>
        </x:is>
      </x:c>
      <x:c r="B78" s="2" t="inlineStr">
        <x:is>
          <x:t xml:space="preserve">SRD 5.2.1</x:t>
        </x:is>
      </x:c>
      <x:c r="C78" s="2" t="inlineStr">
        <x:is>
          <x:t xml:space="preserve">Construct</x:t>
        </x:is>
      </x:c>
      <x:c r="D78" s="2" t="inlineStr">
        <x:is>
          <x:t xml:space="preserve">Medium</x:t>
        </x:is>
      </x:c>
      <x:c r="E78" s="2" t="inlineStr">
        <x:is>
          <x:t xml:space="preserve">Neutral</x:t>
        </x:is>
      </x:c>
      <x:c r="F78" s="2" t="inlineStr">
        <x:is>
          <x:t xml:space="preserve">5</x:t>
        </x:is>
      </x:c>
      <x:c r="G78" s="2" t="inlineStr">
        <x:is>
          <x:t xml:space="preserve">1800</x:t>
        </x:is>
      </x:c>
      <x:c r="H78" s="2" t="inlineStr">
        <x:is>
          <x:t xml:space="preserve">9</x:t>
        </x:is>
      </x:c>
      <x:c r="I78" s="2" t="inlineStr">
        <x:is>
          <x:t xml:space="preserve">127</x:t>
        </x:is>
      </x:c>
      <x:c r="J78" s="2" t="inlineStr">
        <x:is>
          <x:t xml:space="preserve">30 ft.</x:t>
        </x:is>
      </x:c>
      <x:c r="K78" s="2" t="inlineStr">
        <x:is>
          <x:t xml:space="preserve">3</x:t>
        </x:is>
      </x:c>
      <x:c r="L78" s="2" t="inlineStr">
        <x:is>
          <x:t xml:space="preserve">10</x:t>
        </x:is>
      </x:c>
      <x:c r="M78" s="2" t="n"/>
      <x:c r="N78" s="2" t="inlineStr">
        <x:is>
          <x:t xml:space="preserve">7</x:t>
        </x:is>
      </x:c>
      <x:c r="O78" s="2" t="inlineStr">
        <x:is>
          <x:t xml:space="preserve">-1</x:t>
        </x:is>
      </x:c>
      <x:c r="P78" s="2" t="inlineStr">
        <x:is>
          <x:t xml:space="preserve">19</x:t>
        </x:is>
      </x:c>
      <x:c r="Q78" s="2" t="inlineStr">
        <x:is>
          <x:t xml:space="preserve">9</x:t>
        </x:is>
      </x:c>
      <x:c r="R78" s="2" t="inlineStr">
        <x:is>
          <x:t xml:space="preserve">18</x:t>
        </x:is>
      </x:c>
      <x:c r="S78" s="2" t="inlineStr">
        <x:is>
          <x:t xml:space="preserve">6</x:t>
        </x:is>
      </x:c>
      <x:c r="T78" s="2" t="inlineStr">
        <x:is>
          <x:t xml:space="preserve">10</x:t>
        </x:is>
      </x:c>
      <x:c r="U78" s="2" t="inlineStr">
        <x:is>
          <x:t xml:space="preserve">5</x:t>
        </x:is>
      </x:c>
      <x:c r="V78" s="2" t="n"/>
      <x:c r="W78" s="2" t="n"/>
      <x:c r="X78" s="2" t="inlineStr">
        <x:is>
          <x:t xml:space="preserve">Darkvision 60 ft.; Passive Perception 10</x:t>
        </x:is>
      </x:c>
      <x:c r="Y78" s="2" t="inlineStr">
        <x:is>
          <x:t xml:space="preserve">Understands Common plus one other language but can’t speak</x:t>
        </x:is>
      </x:c>
      <x:c r="Z78" s="2" t="inlineStr">
        <x:is>
          <x:t xml:space="preserve">Aversion to Fire. If the golem takes Fire damage, it has Disadvantage on attack rolls and ability checks until the end of its next turn. Berserk. Whenever the golem starts its turn Bloodied, roll 1d6. On a 6, the golem goes berserk. On each of its turns while berserk, the golem attacks the nearest creature it can see. If no creature is near enough to move to and attack, the golem attacks an object. Once the golem goes berserk, it remains so until it is de- stroyed or it is no longer Bloodied. The golem’s creator, if within 60 feet of the berserk golem, can try to calm it by taking an action to make a DC 15 Charisma (Persuasion) check; the golem must be able to hear its creator. If this check succeeds, the go- lem ceases being berserk until the start of its next turn, at which point it resumes rolling for the Berserk trait again if it is still Bloodied. Immutable Form. The golem can’t shape-shift. Lightning Absorption. Whenever the golem is sub- jected to Lightning damage, it regains a number of Hit Points equal to the Lightning damage dealt. Magic Resistance. The golem has Advantage on saving throws against spells and other magical effects.</x:t>
        </x:is>
      </x:c>
      <x:c r="AA78" s="2" t="inlineStr">
        <x:is>
          <x:t xml:space="preserve">Multiattack. The golem makes two Slam attacks. Slam. Melee Attack Roll: +7, reach 5 ft. Hit: 13 (2d8 + 4) Bludgeoning damage plus 4 (1d8) Lightning damage. Frost Giant</x:t>
        </x:is>
      </x:c>
      <x:c r="AB78" s="2" t="n"/>
      <x:c r="AC78" s="2" t="n"/>
      <x:c r="AD78" s="2" t="n"/>
      <x:c r="AE78" s="2" t="n"/>
      <x:c r="AF78" s="2" t="inlineStr">
        <x:is>
          <x:t xml:space="preserve">Imported from SRD 5.2.1 p. 285 Index of Stat Blocks</x:t>
        </x:is>
      </x:c>
      <x:c r="AG78" s="2" t="inlineStr">
        <x:is>
          <x:t xml:space="preserve">https://www.dndbeyond.com/srd</x:t>
        </x:is>
      </x:c>
    </x:row>
    <x:row r="79" ht="18" customHeight="1">
      <x:c r="A79" s="2" t="inlineStr">
        <x:is>
          <x:t xml:space="preserve">Frost Giant</x:t>
        </x:is>
      </x:c>
      <x:c r="B79" s="2" t="inlineStr">
        <x:is>
          <x:t xml:space="preserve">SRD 5.2.1</x:t>
        </x:is>
      </x:c>
      <x:c r="C79" s="2" t="inlineStr">
        <x:is>
          <x:t xml:space="preserve">Giant</x:t>
        </x:is>
      </x:c>
      <x:c r="D79" s="2" t="inlineStr">
        <x:is>
          <x:t xml:space="preserve">Huge</x:t>
        </x:is>
      </x:c>
      <x:c r="E79" s="2" t="inlineStr">
        <x:is>
          <x:t xml:space="preserve">Neutral Evil</x:t>
        </x:is>
      </x:c>
      <x:c r="F79" s="2" t="inlineStr">
        <x:is>
          <x:t xml:space="preserve">8</x:t>
        </x:is>
      </x:c>
      <x:c r="G79" s="2" t="inlineStr">
        <x:is>
          <x:t xml:space="preserve">3900</x:t>
        </x:is>
      </x:c>
      <x:c r="H79" s="2" t="inlineStr">
        <x:is>
          <x:t xml:space="preserve">15</x:t>
        </x:is>
      </x:c>
      <x:c r="I79" s="2" t="inlineStr">
        <x:is>
          <x:t xml:space="preserve">149</x:t>
        </x:is>
      </x:c>
      <x:c r="J79" s="2" t="inlineStr">
        <x:is>
          <x:t xml:space="preserve">40 ft.</x:t>
        </x:is>
      </x:c>
      <x:c r="K79" s="2" t="inlineStr">
        <x:is>
          <x:t xml:space="preserve">3</x:t>
        </x:is>
      </x:c>
      <x:c r="L79" s="2" t="inlineStr">
        <x:is>
          <x:t xml:space="preserve">13</x:t>
        </x:is>
      </x:c>
      <x:c r="M79" s="2" t="n"/>
      <x:c r="N79" s="2" t="inlineStr">
        <x:is>
          <x:t xml:space="preserve">9</x:t>
        </x:is>
      </x:c>
      <x:c r="O79" s="2" t="inlineStr">
        <x:is>
          <x:t xml:space="preserve">2</x:t>
        </x:is>
      </x:c>
      <x:c r="P79" s="2" t="inlineStr">
        <x:is>
          <x:t xml:space="preserve">23</x:t>
        </x:is>
      </x:c>
      <x:c r="Q79" s="2" t="inlineStr">
        <x:is>
          <x:t xml:space="preserve">9</x:t>
        </x:is>
      </x:c>
      <x:c r="R79" s="2" t="inlineStr">
        <x:is>
          <x:t xml:space="preserve">21</x:t>
        </x:is>
      </x:c>
      <x:c r="S79" s="2" t="inlineStr">
        <x:is>
          <x:t xml:space="preserve">9</x:t>
        </x:is>
      </x:c>
      <x:c r="T79" s="2" t="inlineStr">
        <x:is>
          <x:t xml:space="preserve">10</x:t>
        </x:is>
      </x:c>
      <x:c r="U79" s="2" t="inlineStr">
        <x:is>
          <x:t xml:space="preserve">12</x:t>
        </x:is>
      </x:c>
      <x:c r="V79" s="2" t="inlineStr">
        <x:is>
          <x:t xml:space="preserve">CON +8, WIS +3, CHA +4</x:t>
        </x:is>
      </x:c>
      <x:c r="W79" s="2" t="inlineStr">
        <x:is>
          <x:t xml:space="preserve">Athletics +9, Perception +3</x:t>
        </x:is>
      </x:c>
      <x:c r="X79" s="2" t="inlineStr">
        <x:is>
          <x:t xml:space="preserve">Passive Perception 13</x:t>
        </x:is>
      </x:c>
      <x:c r="Y79" s="2" t="inlineStr">
        <x:is>
          <x:t xml:space="preserve">Giant</x:t>
        </x:is>
      </x:c>
      <x:c r="Z79" s="2" t="n"/>
      <x:c r="AA79" s="2" t="inlineStr">
        <x:is>
          <x:t xml:space="preserve">Multiattack. The giant makes two attacks, using Frost Axe or Great Bow in any combination. Frost Axe. Melee Attack Roll: +9, reach 10 ft. Hit: 19 (2d12 + 6) Slashing damage plus 9 (2d8) Cold damage. Great Bow. Ranged Attack Roll: +9, range 150/600 ft. Hit: 17 (2d10 + 6) Piercing damage plus 7 (2d6) Cold damage, and the target’s Speed decreases by 10 feet until the end of its next turn.</x:t>
        </x:is>
      </x:c>
      <x:c r="AB79" s="2" t="inlineStr">
        <x:is>
          <x:t xml:space="preserve">War Cry (Recharge 5-6). The giant or one creature of its choice that can see or hear it gains 16 (2d10 + 5) Temporary Hit Points and has Advantage on attack rolls until the start of the giant’s next turn. Fungi</x:t>
        </x:is>
      </x:c>
      <x:c r="AC79" s="2" t="n"/>
      <x:c r="AD79" s="2" t="n"/>
      <x:c r="AE79" s="2" t="n"/>
      <x:c r="AF79" s="2" t="inlineStr">
        <x:is>
          <x:t xml:space="preserve">Imported from SRD 5.2.1 p. 285 Index of Stat Blocks</x:t>
        </x:is>
      </x:c>
      <x:c r="AG79" s="2" t="inlineStr">
        <x:is>
          <x:t xml:space="preserve">https://www.dndbeyond.com/srd</x:t>
        </x:is>
      </x:c>
    </x:row>
    <x:row r="80" ht="18" customHeight="1">
      <x:c r="A80" s="2" t="inlineStr">
        <x:is>
          <x:t xml:space="preserve">Shrieker Fungus</x:t>
        </x:is>
      </x:c>
      <x:c r="B80" s="2" t="inlineStr">
        <x:is>
          <x:t xml:space="preserve">SRD 5.2.1</x:t>
        </x:is>
      </x:c>
      <x:c r="C80" s="2" t="inlineStr">
        <x:is>
          <x:t xml:space="preserve">Plant</x:t>
        </x:is>
      </x:c>
      <x:c r="D80" s="2" t="inlineStr">
        <x:is>
          <x:t xml:space="preserve">Medium</x:t>
        </x:is>
      </x:c>
      <x:c r="E80" s="2" t="inlineStr">
        <x:is>
          <x:t xml:space="preserve">Unaligned</x:t>
        </x:is>
      </x:c>
      <x:c r="F80" s="2" t="inlineStr">
        <x:is>
          <x:t xml:space="preserve">0</x:t>
        </x:is>
      </x:c>
      <x:c r="G80" s="2" t="inlineStr">
        <x:is>
          <x:t xml:space="preserve">0</x:t>
        </x:is>
      </x:c>
      <x:c r="H80" s="2" t="inlineStr">
        <x:is>
          <x:t xml:space="preserve">5</x:t>
        </x:is>
      </x:c>
      <x:c r="I80" s="2" t="inlineStr">
        <x:is>
          <x:t xml:space="preserve">13</x:t>
        </x:is>
      </x:c>
      <x:c r="J80" s="2" t="inlineStr">
        <x:is>
          <x:t xml:space="preserve">5 ft.</x:t>
        </x:is>
      </x:c>
      <x:c r="K80" s="2" t="inlineStr">
        <x:is>
          <x:t xml:space="preserve">2</x:t>
        </x:is>
      </x:c>
      <x:c r="L80" s="2" t="inlineStr">
        <x:is>
          <x:t xml:space="preserve">6</x:t>
        </x:is>
      </x:c>
      <x:c r="M80" s="2" t="n"/>
      <x:c r="N80" s="2" t="n"/>
      <x:c r="O80" s="2" t="inlineStr">
        <x:is>
          <x:t xml:space="preserve">-5</x:t>
        </x:is>
      </x:c>
      <x:c r="P80" s="2" t="inlineStr">
        <x:is>
          <x:t xml:space="preserve">1</x:t>
        </x:is>
      </x:c>
      <x:c r="Q80" s="2" t="inlineStr">
        <x:is>
          <x:t xml:space="preserve">1</x:t>
        </x:is>
      </x:c>
      <x:c r="R80" s="2" t="inlineStr">
        <x:is>
          <x:t xml:space="preserve">10</x:t>
        </x:is>
      </x:c>
      <x:c r="S80" s="2" t="inlineStr">
        <x:is>
          <x:t xml:space="preserve">1</x:t>
        </x:is>
      </x:c>
      <x:c r="T80" s="2" t="inlineStr">
        <x:is>
          <x:t xml:space="preserve">3</x:t>
        </x:is>
      </x:c>
      <x:c r="U80" s="2" t="inlineStr">
        <x:is>
          <x:t xml:space="preserve">1</x:t>
        </x:is>
      </x:c>
      <x:c r="V80" s="2" t="n"/>
      <x:c r="W80" s="2" t="n"/>
      <x:c r="X80" s="2" t="inlineStr">
        <x:is>
          <x:t xml:space="preserve">Blindsight 30 ft.; Passive Perception 6</x:t>
        </x:is>
      </x:c>
      <x:c r="Y80" s="2" t="inlineStr">
        <x:is>
          <x:t xml:space="preserve">None</x:t>
        </x:is>
      </x:c>
      <x:c r="Z80" s="2" t="n"/>
      <x:c r="AA80" s="2" t="n"/>
      <x:c r="AB80" s="2" t="n"/>
      <x:c r="AC80" s="2" t="inlineStr">
        <x:is>
          <x:t xml:space="preserve">Shriek. Trigger: A creature or a source of Bright Light moves within 30 feet of the shrieker. Response: The shrieker emits a shriek audible within 300 feet of itself for 1 minute or until the shrieker dies.</x:t>
        </x:is>
      </x:c>
      <x:c r="AD80" s="2" t="n"/>
      <x:c r="AE80" s="2" t="n"/>
      <x:c r="AF80" s="2" t="inlineStr">
        <x:is>
          <x:t xml:space="preserve">Imported from SRD 5.2.1 p. 286 Index of Stat Blocks</x:t>
        </x:is>
      </x:c>
      <x:c r="AG80" s="2" t="inlineStr">
        <x:is>
          <x:t xml:space="preserve">https://www.dndbeyond.com/srd</x:t>
        </x:is>
      </x:c>
    </x:row>
    <x:row r="81" ht="18" customHeight="1">
      <x:c r="A81" s="2" t="inlineStr">
        <x:is>
          <x:t xml:space="preserve">Violet Fungus</x:t>
        </x:is>
      </x:c>
      <x:c r="B81" s="2" t="inlineStr">
        <x:is>
          <x:t xml:space="preserve">SRD 5.2.1</x:t>
        </x:is>
      </x:c>
      <x:c r="C81" s="2" t="inlineStr">
        <x:is>
          <x:t xml:space="preserve">Plant</x:t>
        </x:is>
      </x:c>
      <x:c r="D81" s="2" t="inlineStr">
        <x:is>
          <x:t xml:space="preserve">Medium</x:t>
        </x:is>
      </x:c>
      <x:c r="E81" s="2" t="inlineStr">
        <x:is>
          <x:t xml:space="preserve">Unaligned</x:t>
        </x:is>
      </x:c>
      <x:c r="F81" s="2" t="inlineStr">
        <x:is>
          <x:t xml:space="preserve">1/4</x:t>
        </x:is>
      </x:c>
      <x:c r="G81" s="2" t="inlineStr">
        <x:is>
          <x:t xml:space="preserve">50</x:t>
        </x:is>
      </x:c>
      <x:c r="H81" s="2" t="inlineStr">
        <x:is>
          <x:t xml:space="preserve">5</x:t>
        </x:is>
      </x:c>
      <x:c r="I81" s="2" t="inlineStr">
        <x:is>
          <x:t xml:space="preserve">18</x:t>
        </x:is>
      </x:c>
      <x:c r="J81" s="2" t="inlineStr">
        <x:is>
          <x:t xml:space="preserve">5 ft.</x:t>
        </x:is>
      </x:c>
      <x:c r="K81" s="2" t="inlineStr">
        <x:is>
          <x:t xml:space="preserve">2</x:t>
        </x:is>
      </x:c>
      <x:c r="L81" s="2" t="inlineStr">
        <x:is>
          <x:t xml:space="preserve">6</x:t>
        </x:is>
      </x:c>
      <x:c r="M81" s="2" t="n"/>
      <x:c r="N81" s="2" t="inlineStr">
        <x:is>
          <x:t xml:space="preserve">2</x:t>
        </x:is>
      </x:c>
      <x:c r="O81" s="2" t="inlineStr">
        <x:is>
          <x:t xml:space="preserve">-5</x:t>
        </x:is>
      </x:c>
      <x:c r="P81" s="2" t="inlineStr">
        <x:is>
          <x:t xml:space="preserve">3</x:t>
        </x:is>
      </x:c>
      <x:c r="Q81" s="2" t="inlineStr">
        <x:is>
          <x:t xml:space="preserve">1</x:t>
        </x:is>
      </x:c>
      <x:c r="R81" s="2" t="inlineStr">
        <x:is>
          <x:t xml:space="preserve">10</x:t>
        </x:is>
      </x:c>
      <x:c r="S81" s="2" t="inlineStr">
        <x:is>
          <x:t xml:space="preserve">1</x:t>
        </x:is>
      </x:c>
      <x:c r="T81" s="2" t="inlineStr">
        <x:is>
          <x:t xml:space="preserve">3</x:t>
        </x:is>
      </x:c>
      <x:c r="U81" s="2" t="inlineStr">
        <x:is>
          <x:t xml:space="preserve">1</x:t>
        </x:is>
      </x:c>
      <x:c r="V81" s="2" t="n"/>
      <x:c r="W81" s="2" t="n"/>
      <x:c r="X81" s="2" t="inlineStr">
        <x:is>
          <x:t xml:space="preserve">Blindsight 30 ft.; Passive Perception 6</x:t>
        </x:is>
      </x:c>
      <x:c r="Y81" s="2" t="inlineStr">
        <x:is>
          <x:t xml:space="preserve">None</x:t>
        </x:is>
      </x:c>
      <x:c r="Z81" s="2" t="n"/>
      <x:c r="AA81" s="2" t="inlineStr">
        <x:is>
          <x:t xml:space="preserve">Multiattack. The fungus makes two Rotting Touch attacks. Rotting Touch. Melee Attack Roll: +2, reach 10 ft. Hit: 4 (1d8) Necrotic damage. Gargoyle</x:t>
        </x:is>
      </x:c>
      <x:c r="AB81" s="2" t="n"/>
      <x:c r="AC81" s="2" t="n"/>
      <x:c r="AD81" s="2" t="n"/>
      <x:c r="AE81" s="2" t="n"/>
      <x:c r="AF81" s="2" t="inlineStr">
        <x:is>
          <x:t xml:space="preserve">Imported from SRD 5.2.1 p. 286 Index of Stat Blocks</x:t>
        </x:is>
      </x:c>
      <x:c r="AG81" s="2" t="inlineStr">
        <x:is>
          <x:t xml:space="preserve">https://www.dndbeyond.com/srd</x:t>
        </x:is>
      </x:c>
    </x:row>
    <x:row r="82" ht="18" customHeight="1">
      <x:c r="A82" s="2" t="inlineStr">
        <x:is>
          <x:t xml:space="preserve">Gargoyle</x:t>
        </x:is>
      </x:c>
      <x:c r="B82" s="2" t="inlineStr">
        <x:is>
          <x:t xml:space="preserve">SRD 5.2.1</x:t>
        </x:is>
      </x:c>
      <x:c r="C82" s="2" t="inlineStr">
        <x:is>
          <x:t xml:space="preserve">Elemental</x:t>
        </x:is>
      </x:c>
      <x:c r="D82" s="2" t="inlineStr">
        <x:is>
          <x:t xml:space="preserve">Medium</x:t>
        </x:is>
      </x:c>
      <x:c r="E82" s="2" t="inlineStr">
        <x:is>
          <x:t xml:space="preserve">Chaotic Evil</x:t>
        </x:is>
      </x:c>
      <x:c r="F82" s="2" t="inlineStr">
        <x:is>
          <x:t xml:space="preserve">2</x:t>
        </x:is>
      </x:c>
      <x:c r="G82" s="2" t="inlineStr">
        <x:is>
          <x:t xml:space="preserve">450</x:t>
        </x:is>
      </x:c>
      <x:c r="H82" s="2" t="inlineStr">
        <x:is>
          <x:t xml:space="preserve">15</x:t>
        </x:is>
      </x:c>
      <x:c r="I82" s="2" t="inlineStr">
        <x:is>
          <x:t xml:space="preserve">67</x:t>
        </x:is>
      </x:c>
      <x:c r="J82" s="2" t="inlineStr">
        <x:is>
          <x:t xml:space="preserve">30 ft., Fly 60 ft.</x:t>
        </x:is>
      </x:c>
      <x:c r="K82" s="2" t="inlineStr">
        <x:is>
          <x:t xml:space="preserve">2</x:t>
        </x:is>
      </x:c>
      <x:c r="L82" s="2" t="inlineStr">
        <x:is>
          <x:t xml:space="preserve">10</x:t>
        </x:is>
      </x:c>
      <x:c r="M82" s="2" t="n"/>
      <x:c r="N82" s="2" t="inlineStr">
        <x:is>
          <x:t xml:space="preserve">4</x:t>
        </x:is>
      </x:c>
      <x:c r="O82" s="2" t="inlineStr">
        <x:is>
          <x:t xml:space="preserve">2</x:t>
        </x:is>
      </x:c>
      <x:c r="P82" s="2" t="inlineStr">
        <x:is>
          <x:t xml:space="preserve">15</x:t>
        </x:is>
      </x:c>
      <x:c r="Q82" s="2" t="inlineStr">
        <x:is>
          <x:t xml:space="preserve">11</x:t>
        </x:is>
      </x:c>
      <x:c r="R82" s="2" t="inlineStr">
        <x:is>
          <x:t xml:space="preserve">16</x:t>
        </x:is>
      </x:c>
      <x:c r="S82" s="2" t="inlineStr">
        <x:is>
          <x:t xml:space="preserve">6</x:t>
        </x:is>
      </x:c>
      <x:c r="T82" s="2" t="inlineStr">
        <x:is>
          <x:t xml:space="preserve">11</x:t>
        </x:is>
      </x:c>
      <x:c r="U82" s="2" t="inlineStr">
        <x:is>
          <x:t xml:space="preserve">7</x:t>
        </x:is>
      </x:c>
      <x:c r="V82" s="2" t="n"/>
      <x:c r="W82" s="2" t="inlineStr">
        <x:is>
          <x:t xml:space="preserve">Stealth +4</x:t>
        </x:is>
      </x:c>
      <x:c r="X82" s="2" t="inlineStr">
        <x:is>
          <x:t xml:space="preserve">Darkvision 60 ft.; Passive Perception 10</x:t>
        </x:is>
      </x:c>
      <x:c r="Y82" s="2" t="inlineStr">
        <x:is>
          <x:t xml:space="preserve">Primordial (Terran)</x:t>
        </x:is>
      </x:c>
      <x:c r="Z82" s="2" t="inlineStr">
        <x:is>
          <x:t xml:space="preserve">Flyby. The gargoyle doesn’t provoke an Opportunity Attack when it flies out of an enemy’s reach.</x:t>
        </x:is>
      </x:c>
      <x:c r="AA82" s="2" t="inlineStr">
        <x:is>
          <x:t xml:space="preserve">Multiattack. The gargoyle makes two Claw attacks. Claw. Melee Attack Roll: +4, reach 5 ft. Hit: 7 (2d4 + 2) Slashing damage. Gelatinous Cube</x:t>
        </x:is>
      </x:c>
      <x:c r="AB82" s="2" t="n"/>
      <x:c r="AC82" s="2" t="n"/>
      <x:c r="AD82" s="2" t="n"/>
      <x:c r="AE82" s="2" t="n"/>
      <x:c r="AF82" s="2" t="inlineStr">
        <x:is>
          <x:t xml:space="preserve">Imported from SRD 5.2.1 p. 286 Index of Stat Blocks</x:t>
        </x:is>
      </x:c>
      <x:c r="AG82" s="2" t="inlineStr">
        <x:is>
          <x:t xml:space="preserve">https://www.dndbeyond.com/srd</x:t>
        </x:is>
      </x:c>
    </x:row>
    <x:row r="83" ht="18" customHeight="1">
      <x:c r="A83" s="2" t="inlineStr">
        <x:is>
          <x:t xml:space="preserve">Gelatinous Cube</x:t>
        </x:is>
      </x:c>
      <x:c r="B83" s="2" t="inlineStr">
        <x:is>
          <x:t xml:space="preserve">SRD 5.2.1</x:t>
        </x:is>
      </x:c>
      <x:c r="C83" s="2" t="inlineStr">
        <x:is>
          <x:t xml:space="preserve">Ooze</x:t>
        </x:is>
      </x:c>
      <x:c r="D83" s="2" t="inlineStr">
        <x:is>
          <x:t xml:space="preserve">Large</x:t>
        </x:is>
      </x:c>
      <x:c r="E83" s="2" t="inlineStr">
        <x:is>
          <x:t xml:space="preserve">Unaligned</x:t>
        </x:is>
      </x:c>
      <x:c r="F83" s="2" t="inlineStr">
        <x:is>
          <x:t xml:space="preserve">2</x:t>
        </x:is>
      </x:c>
      <x:c r="G83" s="2" t="inlineStr">
        <x:is>
          <x:t xml:space="preserve">450</x:t>
        </x:is>
      </x:c>
      <x:c r="H83" s="2" t="inlineStr">
        <x:is>
          <x:t xml:space="preserve">6</x:t>
        </x:is>
      </x:c>
      <x:c r="I83" s="2" t="inlineStr">
        <x:is>
          <x:t xml:space="preserve">63</x:t>
        </x:is>
      </x:c>
      <x:c r="J83" s="2" t="inlineStr">
        <x:is>
          <x:t xml:space="preserve">15 ft.</x:t>
        </x:is>
      </x:c>
      <x:c r="K83" s="2" t="inlineStr">
        <x:is>
          <x:t xml:space="preserve">2</x:t>
        </x:is>
      </x:c>
      <x:c r="L83" s="2" t="inlineStr">
        <x:is>
          <x:t xml:space="preserve">8</x:t>
        </x:is>
      </x:c>
      <x:c r="M83" s="2" t="inlineStr">
        <x:is>
          <x:t xml:space="preserve">12</x:t>
        </x:is>
      </x:c>
      <x:c r="N83" s="2" t="inlineStr">
        <x:is>
          <x:t xml:space="preserve">4</x:t>
        </x:is>
      </x:c>
      <x:c r="O83" s="2" t="inlineStr">
        <x:is>
          <x:t xml:space="preserve">-4</x:t>
        </x:is>
      </x:c>
      <x:c r="P83" s="2" t="inlineStr">
        <x:is>
          <x:t xml:space="preserve">14</x:t>
        </x:is>
      </x:c>
      <x:c r="Q83" s="2" t="inlineStr">
        <x:is>
          <x:t xml:space="preserve">3</x:t>
        </x:is>
      </x:c>
      <x:c r="R83" s="2" t="inlineStr">
        <x:is>
          <x:t xml:space="preserve">20</x:t>
        </x:is>
      </x:c>
      <x:c r="S83" s="2" t="inlineStr">
        <x:is>
          <x:t xml:space="preserve">1</x:t>
        </x:is>
      </x:c>
      <x:c r="T83" s="2" t="inlineStr">
        <x:is>
          <x:t xml:space="preserve">6</x:t>
        </x:is>
      </x:c>
      <x:c r="U83" s="2" t="inlineStr">
        <x:is>
          <x:t xml:space="preserve">1</x:t>
        </x:is>
      </x:c>
      <x:c r="V83" s="2" t="n"/>
      <x:c r="W83" s="2" t="n"/>
      <x:c r="X83" s="2" t="inlineStr">
        <x:is>
          <x:t xml:space="preserve">Blindsight 60 ft.; Passive Perception 8</x:t>
        </x:is>
      </x:c>
      <x:c r="Y83" s="2" t="inlineStr">
        <x:is>
          <x:t xml:space="preserve">None</x:t>
        </x:is>
      </x:c>
      <x:c r="Z83" s="2" t="inlineStr">
        <x:is>
          <x:t xml:space="preserve">Ooze Cube. The cube fills its entire space and is trans- parent. Other creatures can enter that space, but a creature that does so is subjected to the cube’s Engulf and has Disadvantage on the saving throw. Creatures inside the cube have Total Cover, and the cube can hold one Large creature or up to four Medium or Small creatures inside itself at a time. As an action, a creature within 5 feet of the cube can pull a creature or an object out of the cube by suc- ceeding on a DC 12 Strength (Athletics) check, and the puller takes 10 (3d6) Acid damage. Transparent. Even when the cube is in plain sight, a creature must succeed on a DC 15 Wisdom (Percep- tion) check to notice the cube if the creature hasn’t wit- nessed the cube move or otherwise act.</x:t>
        </x:is>
      </x:c>
      <x:c r="AA83" s="2" t="inlineStr">
        <x:is>
          <x:t xml:space="preserve">Pseudopod. Melee Attack Roll: +4, reach 5 ft. Hit: 12 (3d6 + 2) Acid damage. Engulf. The cube moves up to its Speed without provoking Opportunity Attacks. The cube can move through the spaces of Large or smaller creatures if it has room inside itself to contain them (see the Ooze Cube trait). Dexterity Saving Throw: DC 12, each creature whose space the cube enters for the first time during this move. Failure: 10 (3d6) Acid damage, and the target is engulfed. An engulfed target is suffocating, can’t cast spells with a Verbal component, has the Restrained condition, and takes 10 (3d6) Acid damage at the start of each of the cube’s turns. When the cube moves, the engulfed target moves with it. An engulfed target can try to escape by taking an action to make a DC 12 Strength (Athletics) check. On a successful check, the target escapes and enters the nearest unoccupied space. Success: Half damage, and the target moves to an unoccupied space within 5 feet of the cube. If there is no unoccupied space, the target fails the save instead. Ghast</x:t>
        </x:is>
      </x:c>
      <x:c r="AB83" s="2" t="n"/>
      <x:c r="AC83" s="2" t="n"/>
      <x:c r="AD83" s="2" t="n"/>
      <x:c r="AE83" s="2" t="n"/>
      <x:c r="AF83" s="2" t="inlineStr">
        <x:is>
          <x:t xml:space="preserve">Imported from SRD 5.2.1 p. 286 Index of Stat Blocks</x:t>
        </x:is>
      </x:c>
      <x:c r="AG83" s="2" t="inlineStr">
        <x:is>
          <x:t xml:space="preserve">https://www.dndbeyond.com/srd</x:t>
        </x:is>
      </x:c>
    </x:row>
    <x:row r="84" ht="18" customHeight="1">
      <x:c r="A84" s="2" t="inlineStr">
        <x:is>
          <x:t xml:space="preserve">Ghast</x:t>
        </x:is>
      </x:c>
      <x:c r="B84" s="2" t="inlineStr">
        <x:is>
          <x:t xml:space="preserve">SRD 5.2.1</x:t>
        </x:is>
      </x:c>
      <x:c r="C84" s="2" t="inlineStr">
        <x:is>
          <x:t xml:space="preserve">Undead</x:t>
        </x:is>
      </x:c>
      <x:c r="D84" s="2" t="inlineStr">
        <x:is>
          <x:t xml:space="preserve">Medium</x:t>
        </x:is>
      </x:c>
      <x:c r="E84" s="2" t="inlineStr">
        <x:is>
          <x:t xml:space="preserve">Chaotic Evil</x:t>
        </x:is>
      </x:c>
      <x:c r="F84" s="2" t="inlineStr">
        <x:is>
          <x:t xml:space="preserve">2</x:t>
        </x:is>
      </x:c>
      <x:c r="G84" s="2" t="inlineStr">
        <x:is>
          <x:t xml:space="preserve">450</x:t>
        </x:is>
      </x:c>
      <x:c r="H84" s="2" t="inlineStr">
        <x:is>
          <x:t xml:space="preserve">13</x:t>
        </x:is>
      </x:c>
      <x:c r="I84" s="2" t="inlineStr">
        <x:is>
          <x:t xml:space="preserve">36</x:t>
        </x:is>
      </x:c>
      <x:c r="J84" s="2" t="inlineStr">
        <x:is>
          <x:t xml:space="preserve">30 ft.</x:t>
        </x:is>
      </x:c>
      <x:c r="K84" s="2" t="inlineStr">
        <x:is>
          <x:t xml:space="preserve">2</x:t>
        </x:is>
      </x:c>
      <x:c r="L84" s="2" t="inlineStr">
        <x:is>
          <x:t xml:space="preserve">10</x:t>
        </x:is>
      </x:c>
      <x:c r="M84" s="2" t="inlineStr">
        <x:is>
          <x:t xml:space="preserve">10</x:t>
        </x:is>
      </x:c>
      <x:c r="N84" s="2" t="inlineStr">
        <x:is>
          <x:t xml:space="preserve">5</x:t>
        </x:is>
      </x:c>
      <x:c r="O84" s="2" t="inlineStr">
        <x:is>
          <x:t xml:space="preserve">3</x:t>
        </x:is>
      </x:c>
      <x:c r="P84" s="2" t="inlineStr">
        <x:is>
          <x:t xml:space="preserve">16</x:t>
        </x:is>
      </x:c>
      <x:c r="Q84" s="2" t="inlineStr">
        <x:is>
          <x:t xml:space="preserve">17</x:t>
        </x:is>
      </x:c>
      <x:c r="R84" s="2" t="inlineStr">
        <x:is>
          <x:t xml:space="preserve">10</x:t>
        </x:is>
      </x:c>
      <x:c r="S84" s="2" t="inlineStr">
        <x:is>
          <x:t xml:space="preserve">11</x:t>
        </x:is>
      </x:c>
      <x:c r="T84" s="2" t="inlineStr">
        <x:is>
          <x:t xml:space="preserve">10</x:t>
        </x:is>
      </x:c>
      <x:c r="U84" s="2" t="inlineStr">
        <x:is>
          <x:t xml:space="preserve">8</x:t>
        </x:is>
      </x:c>
      <x:c r="V84" s="2" t="inlineStr">
        <x:is>
          <x:t xml:space="preserve">WIS +2</x:t>
        </x:is>
      </x:c>
      <x:c r="W84" s="2" t="n"/>
      <x:c r="X84" s="2" t="inlineStr">
        <x:is>
          <x:t xml:space="preserve">Darkvision 60 ft.; Passive Perception 10</x:t>
        </x:is>
      </x:c>
      <x:c r="Y84" s="2" t="inlineStr">
        <x:is>
          <x:t xml:space="preserve">Common</x:t>
        </x:is>
      </x:c>
      <x:c r="Z84" s="2" t="inlineStr">
        <x:is>
          <x:t xml:space="preserve">Stench. Constitution Saving Throw: DC 10, any creature that starts its turn in a 5-foot Emanation originating from the ghast. Failure: The target has the Poisoned condi- tion until the start of its next turn. Success: The target is immune to this ghast’s Stench for 24 hours.</x:t>
        </x:is>
      </x:c>
      <x:c r="AA84" s="2" t="inlineStr">
        <x:is>
          <x:t xml:space="preserve">Bite. Melee Attack Roll: +5, reach 5 ft. Hit: 7 (1d8 + 3) Piercing damage plus 9 (2d8) Necrotic damage. Claw. Melee Attack Roll: +5, reach 5 ft. Hit: 10 (2d6 + 3) Slashing damage. If the target is a non-Undead creature, it is subjected to the following effect. Consti- tution Saving Throw: DC 10. Failure: The target has the Paralyzed condition until the end of its next turn. Ghost</x:t>
        </x:is>
      </x:c>
      <x:c r="AB84" s="2" t="n"/>
      <x:c r="AC84" s="2" t="n"/>
      <x:c r="AD84" s="2" t="n"/>
      <x:c r="AE84" s="2" t="n"/>
      <x:c r="AF84" s="2" t="inlineStr">
        <x:is>
          <x:t xml:space="preserve">Imported from SRD 5.2.1 p. 287 Index of Stat Blocks</x:t>
        </x:is>
      </x:c>
      <x:c r="AG84" s="2" t="inlineStr">
        <x:is>
          <x:t xml:space="preserve">https://www.dndbeyond.com/srd</x:t>
        </x:is>
      </x:c>
    </x:row>
    <x:row r="85" ht="18" customHeight="1">
      <x:c r="A85" s="2" t="inlineStr">
        <x:is>
          <x:t xml:space="preserve">Ghost</x:t>
        </x:is>
      </x:c>
      <x:c r="B85" s="2" t="inlineStr">
        <x:is>
          <x:t xml:space="preserve">SRD 5.2.1</x:t>
        </x:is>
      </x:c>
      <x:c r="C85" s="2" t="inlineStr">
        <x:is>
          <x:t xml:space="preserve">Undead</x:t>
        </x:is>
      </x:c>
      <x:c r="D85" s="2" t="inlineStr">
        <x:is>
          <x:t xml:space="preserve">Medium</x:t>
        </x:is>
      </x:c>
      <x:c r="E85" s="2" t="inlineStr">
        <x:is>
          <x:t xml:space="preserve">Neutral</x:t>
        </x:is>
      </x:c>
      <x:c r="F85" s="2" t="inlineStr">
        <x:is>
          <x:t xml:space="preserve">4</x:t>
        </x:is>
      </x:c>
      <x:c r="G85" s="2" t="inlineStr">
        <x:is>
          <x:t xml:space="preserve">1100</x:t>
        </x:is>
      </x:c>
      <x:c r="H85" s="2" t="inlineStr">
        <x:is>
          <x:t xml:space="preserve">11</x:t>
        </x:is>
      </x:c>
      <x:c r="I85" s="2" t="inlineStr">
        <x:is>
          <x:t xml:space="preserve">45</x:t>
        </x:is>
      </x:c>
      <x:c r="J85" s="2" t="inlineStr">
        <x:is>
          <x:t xml:space="preserve">5 ft., Fly 40 ft. (hover)</x:t>
        </x:is>
      </x:c>
      <x:c r="K85" s="2" t="inlineStr">
        <x:is>
          <x:t xml:space="preserve">2</x:t>
        </x:is>
      </x:c>
      <x:c r="L85" s="2" t="inlineStr">
        <x:is>
          <x:t xml:space="preserve">11</x:t>
        </x:is>
      </x:c>
      <x:c r="M85" s="2" t="inlineStr">
        <x:is>
          <x:t xml:space="preserve">13</x:t>
        </x:is>
      </x:c>
      <x:c r="N85" s="2" t="inlineStr">
        <x:is>
          <x:t xml:space="preserve">5</x:t>
        </x:is>
      </x:c>
      <x:c r="O85" s="2" t="inlineStr">
        <x:is>
          <x:t xml:space="preserve">1</x:t>
        </x:is>
      </x:c>
      <x:c r="P85" s="2" t="inlineStr">
        <x:is>
          <x:t xml:space="preserve">7</x:t>
        </x:is>
      </x:c>
      <x:c r="Q85" s="2" t="inlineStr">
        <x:is>
          <x:t xml:space="preserve">13</x:t>
        </x:is>
      </x:c>
      <x:c r="R85" s="2" t="inlineStr">
        <x:is>
          <x:t xml:space="preserve">10</x:t>
        </x:is>
      </x:c>
      <x:c r="S85" s="2" t="inlineStr">
        <x:is>
          <x:t xml:space="preserve">10</x:t>
        </x:is>
      </x:c>
      <x:c r="T85" s="2" t="inlineStr">
        <x:is>
          <x:t xml:space="preserve">12</x:t>
        </x:is>
      </x:c>
      <x:c r="U85" s="2" t="inlineStr">
        <x:is>
          <x:t xml:space="preserve">17</x:t>
        </x:is>
      </x:c>
      <x:c r="V85" s="2" t="n"/>
      <x:c r="W85" s="2" t="n"/>
      <x:c r="X85" s="2" t="inlineStr">
        <x:is>
          <x:t xml:space="preserve">Darkvision 60 ft.; Passive Perception 11</x:t>
        </x:is>
      </x:c>
      <x:c r="Y85" s="2" t="inlineStr">
        <x:is>
          <x:t xml:space="preserve">Common plus one other language</x:t>
        </x:is>
      </x:c>
      <x:c r="Z85" s="2" t="inlineStr">
        <x:is>
          <x:t xml:space="preserve">Ethereal Sight. The ghost can see 60 feet into the Ethe- real Plane when it is on the Material Plane. Incorporeal Movement. The ghost can move through other creatures and objects as if they were Difficult Terrain. It takes 5 (1d10) Force damage if it ends its turn inside an object.</x:t>
        </x:is>
      </x:c>
      <x:c r="AA85" s="2" t="inlineStr">
        <x:is>
          <x:t xml:space="preserve">Multiattack. The ghost makes two Withering Touch attacks. Withering Touch. Melee Attack Roll: +5, reach 5 ft. Hit: 19 (3d10 + 3) Necrotic damage. Etherealness. The ghost casts the Etherealness spell, requiring no spell components and using Charisma as the spellcasting ability. The ghost is visible on the Mate- rial Plane while on the Border Ethereal and vice versa, but it can’t affect or be affected by anything on the other plane. Horrific Visage. Wisdom Saving Throw: DC 13, each creature in a 60-foot Cone that can see the ghost and isn’t an Undead. Failure: 10 (2d6 + 3) Psychic damage, and the target has the Frightened condition until the start of the ghost’s next turn. Success: The target is im- mune to this ghost’s Horrific Visage for 24 hours. Possession (Recharge 6). Charisma Saving Throw: DC 13, one Humanoid the ghost can see within 5 feet. Fail- ure: The target is possessed by the ghost; the ghost dis- appears, and the target has the Incapacitated condition and loses control of its body. The ghost now controls the body, but the target retains awareness. The ghost can’t be targeted by any attack, spell, or other effect, except ones that specifically target Undead. The ghost’s game statistics are the same, except it uses the pos- sessed target’s Speed, as well as the target’s Strength, Dexterity, and Constitution modifiers. The possession lasts until the body drops to 0 Hit Points or the ghost leaves as a Bonus Action. When the possession ends, the ghost appears in an unoccupied space within 5 feet of the target, and the target is im- mune to this ghost’s Possession for 24 hours. Success: The target is immune to this ghost’s Posses- sion for 24 hours. Ghoul</x:t>
        </x:is>
      </x:c>
      <x:c r="AB85" s="2" t="n"/>
      <x:c r="AC85" s="2" t="n"/>
      <x:c r="AD85" s="2" t="n"/>
      <x:c r="AE85" s="2" t="n"/>
      <x:c r="AF85" s="2" t="inlineStr">
        <x:is>
          <x:t xml:space="preserve">Imported from SRD 5.2.1 p. 287 Index of Stat Blocks</x:t>
        </x:is>
      </x:c>
      <x:c r="AG85" s="2" t="inlineStr">
        <x:is>
          <x:t xml:space="preserve">https://www.dndbeyond.com/srd</x:t>
        </x:is>
      </x:c>
    </x:row>
    <x:row r="86" ht="18" customHeight="1">
      <x:c r="A86" s="2" t="inlineStr">
        <x:is>
          <x:t xml:space="preserve">Ghoul</x:t>
        </x:is>
      </x:c>
      <x:c r="B86" s="2" t="inlineStr">
        <x:is>
          <x:t xml:space="preserve">SRD 5.2.1</x:t>
        </x:is>
      </x:c>
      <x:c r="C86" s="2" t="inlineStr">
        <x:is>
          <x:t xml:space="preserve">Undead</x:t>
        </x:is>
      </x:c>
      <x:c r="D86" s="2" t="inlineStr">
        <x:is>
          <x:t xml:space="preserve">Medium</x:t>
        </x:is>
      </x:c>
      <x:c r="E86" s="2" t="inlineStr">
        <x:is>
          <x:t xml:space="preserve">Chaotic Evil</x:t>
        </x:is>
      </x:c>
      <x:c r="F86" s="2" t="inlineStr">
        <x:is>
          <x:t xml:space="preserve">1</x:t>
        </x:is>
      </x:c>
      <x:c r="G86" s="2" t="inlineStr">
        <x:is>
          <x:t xml:space="preserve">200</x:t>
        </x:is>
      </x:c>
      <x:c r="H86" s="2" t="inlineStr">
        <x:is>
          <x:t xml:space="preserve">12</x:t>
        </x:is>
      </x:c>
      <x:c r="I86" s="2" t="inlineStr">
        <x:is>
          <x:t xml:space="preserve">22</x:t>
        </x:is>
      </x:c>
      <x:c r="J86" s="2" t="inlineStr">
        <x:is>
          <x:t xml:space="preserve">30 ft.</x:t>
        </x:is>
      </x:c>
      <x:c r="K86" s="2" t="inlineStr">
        <x:is>
          <x:t xml:space="preserve">2</x:t>
        </x:is>
      </x:c>
      <x:c r="L86" s="2" t="inlineStr">
        <x:is>
          <x:t xml:space="preserve">10</x:t>
        </x:is>
      </x:c>
      <x:c r="M86" s="2" t="inlineStr">
        <x:is>
          <x:t xml:space="preserve">10</x:t>
        </x:is>
      </x:c>
      <x:c r="N86" s="2" t="inlineStr">
        <x:is>
          <x:t xml:space="preserve">4</x:t>
        </x:is>
      </x:c>
      <x:c r="O86" s="2" t="inlineStr">
        <x:is>
          <x:t xml:space="preserve">2</x:t>
        </x:is>
      </x:c>
      <x:c r="P86" s="2" t="inlineStr">
        <x:is>
          <x:t xml:space="preserve">13</x:t>
        </x:is>
      </x:c>
      <x:c r="Q86" s="2" t="inlineStr">
        <x:is>
          <x:t xml:space="preserve">15</x:t>
        </x:is>
      </x:c>
      <x:c r="R86" s="2" t="inlineStr">
        <x:is>
          <x:t xml:space="preserve">10</x:t>
        </x:is>
      </x:c>
      <x:c r="S86" s="2" t="inlineStr">
        <x:is>
          <x:t xml:space="preserve">7</x:t>
        </x:is>
      </x:c>
      <x:c r="T86" s="2" t="inlineStr">
        <x:is>
          <x:t xml:space="preserve">10</x:t>
        </x:is>
      </x:c>
      <x:c r="U86" s="2" t="inlineStr">
        <x:is>
          <x:t xml:space="preserve">6</x:t>
        </x:is>
      </x:c>
      <x:c r="V86" s="2" t="n"/>
      <x:c r="W86" s="2" t="n"/>
      <x:c r="X86" s="2" t="inlineStr">
        <x:is>
          <x:t xml:space="preserve">Darkvision 60 ft.; Passive Perception 10</x:t>
        </x:is>
      </x:c>
      <x:c r="Y86" s="2" t="inlineStr">
        <x:is>
          <x:t xml:space="preserve">Common</x:t>
        </x:is>
      </x:c>
      <x:c r="Z86" s="2" t="n"/>
      <x:c r="AA86" s="2" t="inlineStr">
        <x:is>
          <x:t xml:space="preserve">Multiattack. The ghoul makes two Bite attacks. Bite. Melee Attack Roll: +4, reach 5 ft. Hit: 5 (1d6 + 2) Piercing damage plus 3 (1d6) Necrotic damage. Claw. Melee Attack Roll: +4, reach 5 ft. Hit: 4 (1d4 + 2) Slashing damage. If the target is a creature that isn’t an Undead or elf, it is subjected to the following effect. Constitution Saving Throw: DC 10. Failure: The target has the Paralyzed condition until the end of its next turn. Gibbering Mouther</x:t>
        </x:is>
      </x:c>
      <x:c r="AB86" s="2" t="n"/>
      <x:c r="AC86" s="2" t="n"/>
      <x:c r="AD86" s="2" t="n"/>
      <x:c r="AE86" s="2" t="n"/>
      <x:c r="AF86" s="2" t="inlineStr">
        <x:is>
          <x:t xml:space="preserve">Imported from SRD 5.2.1 p. 288 Index of Stat Blocks</x:t>
        </x:is>
      </x:c>
      <x:c r="AG86" s="2" t="inlineStr">
        <x:is>
          <x:t xml:space="preserve">https://www.dndbeyond.com/srd</x:t>
        </x:is>
      </x:c>
    </x:row>
    <x:row r="87" ht="18" customHeight="1">
      <x:c r="A87" s="2" t="inlineStr">
        <x:is>
          <x:t xml:space="preserve">Gibbering Mouther</x:t>
        </x:is>
      </x:c>
      <x:c r="B87" s="2" t="inlineStr">
        <x:is>
          <x:t xml:space="preserve">SRD 5.2.1</x:t>
        </x:is>
      </x:c>
      <x:c r="C87" s="2" t="inlineStr">
        <x:is>
          <x:t xml:space="preserve">Aberration</x:t>
        </x:is>
      </x:c>
      <x:c r="D87" s="2" t="inlineStr">
        <x:is>
          <x:t xml:space="preserve">Medium</x:t>
        </x:is>
      </x:c>
      <x:c r="E87" s="2" t="inlineStr">
        <x:is>
          <x:t xml:space="preserve">Chaotic Neutral</x:t>
        </x:is>
      </x:c>
      <x:c r="F87" s="2" t="inlineStr">
        <x:is>
          <x:t xml:space="preserve">2</x:t>
        </x:is>
      </x:c>
      <x:c r="G87" s="2" t="inlineStr">
        <x:is>
          <x:t xml:space="preserve">450</x:t>
        </x:is>
      </x:c>
      <x:c r="H87" s="2" t="inlineStr">
        <x:is>
          <x:t xml:space="preserve">9</x:t>
        </x:is>
      </x:c>
      <x:c r="I87" s="2" t="inlineStr">
        <x:is>
          <x:t xml:space="preserve">52</x:t>
        </x:is>
      </x:c>
      <x:c r="J87" s="2" t="inlineStr">
        <x:is>
          <x:t xml:space="preserve">20 ft., Swim 20 ft.</x:t>
        </x:is>
      </x:c>
      <x:c r="K87" s="2" t="inlineStr">
        <x:is>
          <x:t xml:space="preserve">2</x:t>
        </x:is>
      </x:c>
      <x:c r="L87" s="2" t="inlineStr">
        <x:is>
          <x:t xml:space="preserve">10</x:t>
        </x:is>
      </x:c>
      <x:c r="M87" s="2" t="inlineStr">
        <x:is>
          <x:t xml:space="preserve">10</x:t>
        </x:is>
      </x:c>
      <x:c r="N87" s="2" t="inlineStr">
        <x:is>
          <x:t xml:space="preserve">2</x:t>
        </x:is>
      </x:c>
      <x:c r="O87" s="2" t="inlineStr">
        <x:is>
          <x:t xml:space="preserve">-1</x:t>
        </x:is>
      </x:c>
      <x:c r="P87" s="2" t="inlineStr">
        <x:is>
          <x:t xml:space="preserve">10</x:t>
        </x:is>
      </x:c>
      <x:c r="Q87" s="2" t="inlineStr">
        <x:is>
          <x:t xml:space="preserve">8</x:t>
        </x:is>
      </x:c>
      <x:c r="R87" s="2" t="inlineStr">
        <x:is>
          <x:t xml:space="preserve">16</x:t>
        </x:is>
      </x:c>
      <x:c r="S87" s="2" t="inlineStr">
        <x:is>
          <x:t xml:space="preserve">3</x:t>
        </x:is>
      </x:c>
      <x:c r="T87" s="2" t="inlineStr">
        <x:is>
          <x:t xml:space="preserve">10</x:t>
        </x:is>
      </x:c>
      <x:c r="U87" s="2" t="inlineStr">
        <x:is>
          <x:t xml:space="preserve">6</x:t>
        </x:is>
      </x:c>
      <x:c r="V87" s="2" t="n"/>
      <x:c r="W87" s="2" t="n"/>
      <x:c r="X87" s="2" t="inlineStr">
        <x:is>
          <x:t xml:space="preserve">Darkvision 60 ft.; Passive Perception 10</x:t>
        </x:is>
      </x:c>
      <x:c r="Y87" s="2" t="inlineStr">
        <x:is>
          <x:t xml:space="preserve">None</x:t>
        </x:is>
      </x:c>
      <x:c r="Z87" s="2" t="inlineStr">
        <x:is>
          <x:t xml:space="preserve">Aberrant Ground. The ground in a 10-foot Emanation originating from the mouther is Difficult Terrain. Gibbering. The mouther babbles incoherently while it doesn’t have the Incapacitated condition. Wisdom Saving Throw: DC 10, any creature that starts its turn within 20 feet of the mouther while it is babbling. Failure: The target rolls 1d8 to determine what it does during the current turn: 1-4. The target does nothing. 5-6. The target takes no action or Bonus Action and uses all its movement to move in a random direction. 7-8. The target makes a melee attack against a ran- domly determined creature within its reach or does nothing if it can’t make such an attack.</x:t>
        </x:is>
      </x:c>
      <x:c r="AA87" s="2" t="inlineStr">
        <x:is>
          <x:t xml:space="preserve">Bite. Melee Attack Roll: +2, reach 5 ft. Hit: 7 (2d6) Piercing damage. If the target is a Medium or smaller creature, it has the Prone condition. The target dies if it is reduced to 0 Hit Points by this attack. Its body is then absorbed into the mouther, leaving only equip- ment behind. Blinding Spittle (Recharge 5-6). Dexterity Saving Throw: DC 10, each creature in a 10-foot-radius Sphere centered on a point within 30 feet. Failure: 7 (2d6) Ra- diant damage, and the target has the Blinded condition until the end of the mouther’s next turn. Glabrezu</x:t>
        </x:is>
      </x:c>
      <x:c r="AB87" s="2" t="n"/>
      <x:c r="AC87" s="2" t="n"/>
      <x:c r="AD87" s="2" t="n"/>
      <x:c r="AE87" s="2" t="n"/>
      <x:c r="AF87" s="2" t="inlineStr">
        <x:is>
          <x:t xml:space="preserve">Imported from SRD 5.2.1 p. 288 Index of Stat Blocks</x:t>
        </x:is>
      </x:c>
      <x:c r="AG87" s="2" t="inlineStr">
        <x:is>
          <x:t xml:space="preserve">https://www.dndbeyond.com/srd</x:t>
        </x:is>
      </x:c>
    </x:row>
    <x:row r="88" ht="18" customHeight="1">
      <x:c r="A88" s="2" t="inlineStr">
        <x:is>
          <x:t xml:space="preserve">Glabrezu</x:t>
        </x:is>
      </x:c>
      <x:c r="B88" s="2" t="inlineStr">
        <x:is>
          <x:t xml:space="preserve">SRD 5.2.1</x:t>
        </x:is>
      </x:c>
      <x:c r="C88" s="2" t="inlineStr">
        <x:is>
          <x:t xml:space="preserve">Fiend (Demon)</x:t>
        </x:is>
      </x:c>
      <x:c r="D88" s="2" t="inlineStr">
        <x:is>
          <x:t xml:space="preserve">Large</x:t>
        </x:is>
      </x:c>
      <x:c r="E88" s="2" t="inlineStr">
        <x:is>
          <x:t xml:space="preserve">Chaotic Evil</x:t>
        </x:is>
      </x:c>
      <x:c r="F88" s="2" t="inlineStr">
        <x:is>
          <x:t xml:space="preserve">9</x:t>
        </x:is>
      </x:c>
      <x:c r="G88" s="2" t="inlineStr">
        <x:is>
          <x:t xml:space="preserve">5000</x:t>
        </x:is>
      </x:c>
      <x:c r="H88" s="2" t="inlineStr">
        <x:is>
          <x:t xml:space="preserve">17</x:t>
        </x:is>
      </x:c>
      <x:c r="I88" s="2" t="inlineStr">
        <x:is>
          <x:t xml:space="preserve">189</x:t>
        </x:is>
      </x:c>
      <x:c r="J88" s="2" t="inlineStr">
        <x:is>
          <x:t xml:space="preserve">40 ft.</x:t>
        </x:is>
      </x:c>
      <x:c r="K88" s="2" t="inlineStr">
        <x:is>
          <x:t xml:space="preserve">4</x:t>
        </x:is>
      </x:c>
      <x:c r="L88" s="2" t="inlineStr">
        <x:is>
          <x:t xml:space="preserve">17</x:t>
        </x:is>
      </x:c>
      <x:c r="M88" s="2" t="inlineStr">
        <x:is>
          <x:t xml:space="preserve">17</x:t>
        </x:is>
      </x:c>
      <x:c r="N88" s="2" t="inlineStr">
        <x:is>
          <x:t xml:space="preserve">9</x:t>
        </x:is>
      </x:c>
      <x:c r="O88" s="2" t="inlineStr">
        <x:is>
          <x:t xml:space="preserve">6</x:t>
        </x:is>
      </x:c>
      <x:c r="P88" s="2" t="inlineStr">
        <x:is>
          <x:t xml:space="preserve">20</x:t>
        </x:is>
      </x:c>
      <x:c r="Q88" s="2" t="inlineStr">
        <x:is>
          <x:t xml:space="preserve">15</x:t>
        </x:is>
      </x:c>
      <x:c r="R88" s="2" t="inlineStr">
        <x:is>
          <x:t xml:space="preserve">21</x:t>
        </x:is>
      </x:c>
      <x:c r="S88" s="2" t="inlineStr">
        <x:is>
          <x:t xml:space="preserve">19</x:t>
        </x:is>
      </x:c>
      <x:c r="T88" s="2" t="inlineStr">
        <x:is>
          <x:t xml:space="preserve">17</x:t>
        </x:is>
      </x:c>
      <x:c r="U88" s="2" t="inlineStr">
        <x:is>
          <x:t xml:space="preserve">16</x:t>
        </x:is>
      </x:c>
      <x:c r="V88" s="2" t="inlineStr">
        <x:is>
          <x:t xml:space="preserve">STR +9, CON +9, WIS +7, CHA +7</x:t>
        </x:is>
      </x:c>
      <x:c r="W88" s="2" t="inlineStr">
        <x:is>
          <x:t xml:space="preserve">Deception +7, Perception +7</x:t>
        </x:is>
      </x:c>
      <x:c r="X88" s="2" t="inlineStr">
        <x:is>
          <x:t xml:space="preserve">Truesight 120 ft.; Passive Perception 17</x:t>
        </x:is>
      </x:c>
      <x:c r="Y88" s="2" t="inlineStr">
        <x:is>
          <x:t xml:space="preserve">Abyssal; telepathy 120 ft.</x:t>
        </x:is>
      </x:c>
      <x:c r="Z88" s="2" t="inlineStr">
        <x:is>
          <x:t xml:space="preserve">Demonic Restoration. If the glabrezu dies outside the Abyss, its body dissolves into ichor, and it gains a new body instantly, reviving with all its Hit Points some- where in the Abyss. Magic Resistance. The glabrezu has Advantage on sav- ing throws against spells and other magical effects.</x:t>
        </x:is>
      </x:c>
      <x:c r="AA88" s="2" t="inlineStr">
        <x:is>
          <x:t xml:space="preserve">Multiattack. The glabrezu makes two Pincer attacks and uses Pummel or Spellcasting. Pincer. Melee Attack Roll: +9, reach 10 ft. Hit: 16 (2d10 + 5) Slashing damage. If the target is a Medium or smaller creature, it has the Grappled condition (escape DC 15) from one of two pincers. Pummel. Dexterity Saving Throw: DC 17, one creature Grappled by the glabrezu. Failure: 15 (3d6 + 5) Blud- geoning damage. Success: Half damage. Spellcasting. The glabrezu casts one of the following spells, requiring no Material components and using In- telligence as the spellcasting ability (spell save DC 16): At Will: Darkness, Detect Magic, Dispel Magic 1/Day Each: Confusion, Fly, Power Word Stun Gladiator</x:t>
        </x:is>
      </x:c>
      <x:c r="AB88" s="2" t="n"/>
      <x:c r="AC88" s="2" t="n"/>
      <x:c r="AD88" s="2" t="n"/>
      <x:c r="AE88" s="2" t="inlineStr">
        <x:is>
          <x:t xml:space="preserve">Includes Spellcasting; see Traits/Actions text</x:t>
        </x:is>
      </x:c>
      <x:c r="AF88" s="2" t="inlineStr">
        <x:is>
          <x:t xml:space="preserve">Imported from SRD 5.2.1 p. 289 Index of Stat Blocks</x:t>
        </x:is>
      </x:c>
      <x:c r="AG88" s="2" t="inlineStr">
        <x:is>
          <x:t xml:space="preserve">https://www.dndbeyond.com/srd</x:t>
        </x:is>
      </x:c>
    </x:row>
    <x:row r="89" ht="18" customHeight="1">
      <x:c r="A89" s="2" t="inlineStr">
        <x:is>
          <x:t xml:space="preserve">Gladiator</x:t>
        </x:is>
      </x:c>
      <x:c r="B89" s="2" t="inlineStr">
        <x:is>
          <x:t xml:space="preserve">SRD 5.2.1</x:t>
        </x:is>
      </x:c>
      <x:c r="C89" s="2" t="inlineStr">
        <x:is>
          <x:t xml:space="preserve">Humanoid</x:t>
        </x:is>
      </x:c>
      <x:c r="D89" s="2" t="inlineStr">
        <x:is>
          <x:t xml:space="preserve">Medium or Small</x:t>
        </x:is>
      </x:c>
      <x:c r="E89" s="2" t="inlineStr">
        <x:is>
          <x:t xml:space="preserve">Neutral</x:t>
        </x:is>
      </x:c>
      <x:c r="F89" s="2" t="inlineStr">
        <x:is>
          <x:t xml:space="preserve">5</x:t>
        </x:is>
      </x:c>
      <x:c r="G89" s="2" t="inlineStr">
        <x:is>
          <x:t xml:space="preserve">1800</x:t>
        </x:is>
      </x:c>
      <x:c r="H89" s="2" t="inlineStr">
        <x:is>
          <x:t xml:space="preserve">16</x:t>
        </x:is>
      </x:c>
      <x:c r="I89" s="2" t="inlineStr">
        <x:is>
          <x:t xml:space="preserve">112</x:t>
        </x:is>
      </x:c>
      <x:c r="J89" s="2" t="inlineStr">
        <x:is>
          <x:t xml:space="preserve">30 ft.</x:t>
        </x:is>
      </x:c>
      <x:c r="K89" s="2" t="inlineStr">
        <x:is>
          <x:t xml:space="preserve">3</x:t>
        </x:is>
      </x:c>
      <x:c r="L89" s="2" t="inlineStr">
        <x:is>
          <x:t xml:space="preserve">11</x:t>
        </x:is>
      </x:c>
      <x:c r="M89" s="2" t="inlineStr">
        <x:is>
          <x:t xml:space="preserve">15</x:t>
        </x:is>
      </x:c>
      <x:c r="N89" s="2" t="inlineStr">
        <x:is>
          <x:t xml:space="preserve">7</x:t>
        </x:is>
      </x:c>
      <x:c r="O89" s="2" t="inlineStr">
        <x:is>
          <x:t xml:space="preserve">5</x:t>
        </x:is>
      </x:c>
      <x:c r="P89" s="2" t="inlineStr">
        <x:is>
          <x:t xml:space="preserve">18</x:t>
        </x:is>
      </x:c>
      <x:c r="Q89" s="2" t="inlineStr">
        <x:is>
          <x:t xml:space="preserve">15</x:t>
        </x:is>
      </x:c>
      <x:c r="R89" s="2" t="inlineStr">
        <x:is>
          <x:t xml:space="preserve">16</x:t>
        </x:is>
      </x:c>
      <x:c r="S89" s="2" t="inlineStr">
        <x:is>
          <x:t xml:space="preserve">10</x:t>
        </x:is>
      </x:c>
      <x:c r="T89" s="2" t="inlineStr">
        <x:is>
          <x:t xml:space="preserve">12</x:t>
        </x:is>
      </x:c>
      <x:c r="U89" s="2" t="inlineStr">
        <x:is>
          <x:t xml:space="preserve">15</x:t>
        </x:is>
      </x:c>
      <x:c r="V89" s="2" t="inlineStr">
        <x:is>
          <x:t xml:space="preserve">STR +7, DEX +5, CON +6, WIS +4</x:t>
        </x:is>
      </x:c>
      <x:c r="W89" s="2" t="inlineStr">
        <x:is>
          <x:t xml:space="preserve">Athletics +10, Performance +5</x:t>
        </x:is>
      </x:c>
      <x:c r="X89" s="2" t="inlineStr">
        <x:is>
          <x:t xml:space="preserve">Passive Perception 11</x:t>
        </x:is>
      </x:c>
      <x:c r="Y89" s="2" t="inlineStr">
        <x:is>
          <x:t xml:space="preserve">Common</x:t>
        </x:is>
      </x:c>
      <x:c r="Z89" s="2" t="n"/>
      <x:c r="AA89" s="2" t="inlineStr">
        <x:is>
          <x:t xml:space="preserve">Multiattack. The gladiator makes three Spear attacks. It can replace one attack with a use of Shield Bash. Spear. Melee or Ranged Attack Roll: +7, reach 5 ft. or range 20/60 ft. Hit: 11 (2d6 + 4) Piercing damage. Shield Bash. Strength Saving Throw: DC 15, one crea- ture within 5 feet that the gladiator can see. Failure: 9 (2d4 + 4) Bludgeoning damage. If the target is a Me- dium or smaller creature, it has the Prone condition.</x:t>
        </x:is>
      </x:c>
      <x:c r="AB89" s="2" t="n"/>
      <x:c r="AC89" s="2" t="inlineStr">
        <x:is>
          <x:t xml:space="preserve">Parry. Trigger: The gladiator is hit by a melee attack roll while holding a weapon. Response: The gladiator adds 3 to its AC against that attack, possibly causing it to miss. Gnoll</x:t>
        </x:is>
      </x:c>
      <x:c r="AD89" s="2" t="n"/>
      <x:c r="AE89" s="2" t="n"/>
      <x:c r="AF89" s="2" t="inlineStr">
        <x:is>
          <x:t xml:space="preserve">Imported from SRD 5.2.1 p. 289 Index of Stat Blocks</x:t>
        </x:is>
      </x:c>
      <x:c r="AG89" s="2" t="inlineStr">
        <x:is>
          <x:t xml:space="preserve">https://www.dndbeyond.com/srd</x:t>
        </x:is>
      </x:c>
    </x:row>
    <x:row r="90" ht="18" customHeight="1">
      <x:c r="A90" s="2" t="inlineStr">
        <x:is>
          <x:t xml:space="preserve">Gnoll Warrior</x:t>
        </x:is>
      </x:c>
      <x:c r="B90" s="2" t="inlineStr">
        <x:is>
          <x:t xml:space="preserve">SRD 5.2.1</x:t>
        </x:is>
      </x:c>
      <x:c r="C90" s="2" t="inlineStr">
        <x:is>
          <x:t xml:space="preserve">Fiend</x:t>
        </x:is>
      </x:c>
      <x:c r="D90" s="2" t="inlineStr">
        <x:is>
          <x:t xml:space="preserve">Medium</x:t>
        </x:is>
      </x:c>
      <x:c r="E90" s="2" t="inlineStr">
        <x:is>
          <x:t xml:space="preserve">Chaotic Evil</x:t>
        </x:is>
      </x:c>
      <x:c r="F90" s="2" t="inlineStr">
        <x:is>
          <x:t xml:space="preserve">1/2</x:t>
        </x:is>
      </x:c>
      <x:c r="G90" s="2" t="inlineStr">
        <x:is>
          <x:t xml:space="preserve">100</x:t>
        </x:is>
      </x:c>
      <x:c r="H90" s="2" t="inlineStr">
        <x:is>
          <x:t xml:space="preserve">15</x:t>
        </x:is>
      </x:c>
      <x:c r="I90" s="2" t="inlineStr">
        <x:is>
          <x:t xml:space="preserve">27</x:t>
        </x:is>
      </x:c>
      <x:c r="J90" s="2" t="inlineStr">
        <x:is>
          <x:t xml:space="preserve">30 ft.</x:t>
        </x:is>
      </x:c>
      <x:c r="K90" s="2" t="inlineStr">
        <x:is>
          <x:t xml:space="preserve">2</x:t>
        </x:is>
      </x:c>
      <x:c r="L90" s="2" t="inlineStr">
        <x:is>
          <x:t xml:space="preserve">10</x:t>
        </x:is>
      </x:c>
      <x:c r="M90" s="2" t="n"/>
      <x:c r="N90" s="2" t="inlineStr">
        <x:is>
          <x:t xml:space="preserve">4</x:t>
        </x:is>
      </x:c>
      <x:c r="O90" s="2" t="inlineStr">
        <x:is>
          <x:t xml:space="preserve">1</x:t>
        </x:is>
      </x:c>
      <x:c r="P90" s="2" t="inlineStr">
        <x:is>
          <x:t xml:space="preserve">14</x:t>
        </x:is>
      </x:c>
      <x:c r="Q90" s="2" t="inlineStr">
        <x:is>
          <x:t xml:space="preserve">12</x:t>
        </x:is>
      </x:c>
      <x:c r="R90" s="2" t="inlineStr">
        <x:is>
          <x:t xml:space="preserve">11</x:t>
        </x:is>
      </x:c>
      <x:c r="S90" s="2" t="inlineStr">
        <x:is>
          <x:t xml:space="preserve">6</x:t>
        </x:is>
      </x:c>
      <x:c r="T90" s="2" t="inlineStr">
        <x:is>
          <x:t xml:space="preserve">10</x:t>
        </x:is>
      </x:c>
      <x:c r="U90" s="2" t="inlineStr">
        <x:is>
          <x:t xml:space="preserve">7</x:t>
        </x:is>
      </x:c>
      <x:c r="V90" s="2" t="n"/>
      <x:c r="W90" s="2" t="n"/>
      <x:c r="X90" s="2" t="inlineStr">
        <x:is>
          <x:t xml:space="preserve">Darkvision 60 ft.; Passive Perception 10</x:t>
        </x:is>
      </x:c>
      <x:c r="Y90" s="2" t="inlineStr">
        <x:is>
          <x:t xml:space="preserve">Gnoll</x:t>
        </x:is>
      </x:c>
      <x:c r="Z90" s="2" t="n"/>
      <x:c r="AA90" s="2" t="inlineStr">
        <x:is>
          <x:t xml:space="preserve">Rend. Melee Attack Roll: +4, reach 5 ft. Hit: 5 (1d6 + 2) Piercing damage. Bone Bow. Ranged Attack Roll: +3, range 150/600 ft. Hit: 6 (1d10 + 1) Piercing damage.</x:t>
        </x:is>
      </x:c>
      <x:c r="AB90" s="2" t="inlineStr">
        <x:is>
          <x:t xml:space="preserve">Rampage (1/Day). Immediately after dealing damage to a creature that is already Bloodied, the gnoll moves up to half its Speed, and it makes one Rend attack. Goblins</x:t>
        </x:is>
      </x:c>
      <x:c r="AC90" s="2" t="n"/>
      <x:c r="AD90" s="2" t="n"/>
      <x:c r="AE90" s="2" t="n"/>
      <x:c r="AF90" s="2" t="inlineStr">
        <x:is>
          <x:t xml:space="preserve">Imported from SRD 5.2.1 p. 289 Index of Stat Blocks</x:t>
        </x:is>
      </x:c>
      <x:c r="AG90" s="2" t="inlineStr">
        <x:is>
          <x:t xml:space="preserve">https://www.dndbeyond.com/srd</x:t>
        </x:is>
      </x:c>
    </x:row>
    <x:row r="91" ht="18" customHeight="1">
      <x:c r="A91" s="2" t="inlineStr">
        <x:is>
          <x:t xml:space="preserve">Goblin Minion</x:t>
        </x:is>
      </x:c>
      <x:c r="B91" s="2" t="inlineStr">
        <x:is>
          <x:t xml:space="preserve">SRD 5.2.1</x:t>
        </x:is>
      </x:c>
      <x:c r="C91" s="2" t="inlineStr">
        <x:is>
          <x:t xml:space="preserve">Fey (Goblinoid)</x:t>
        </x:is>
      </x:c>
      <x:c r="D91" s="2" t="inlineStr">
        <x:is>
          <x:t xml:space="preserve">Small</x:t>
        </x:is>
      </x:c>
      <x:c r="E91" s="2" t="inlineStr">
        <x:is>
          <x:t xml:space="preserve">Chaotic Neutral</x:t>
        </x:is>
      </x:c>
      <x:c r="F91" s="2" t="inlineStr">
        <x:is>
          <x:t xml:space="preserve">1/8</x:t>
        </x:is>
      </x:c>
      <x:c r="G91" s="2" t="inlineStr">
        <x:is>
          <x:t xml:space="preserve">25</x:t>
        </x:is>
      </x:c>
      <x:c r="H91" s="2" t="inlineStr">
        <x:is>
          <x:t xml:space="preserve">12</x:t>
        </x:is>
      </x:c>
      <x:c r="I91" s="2" t="inlineStr">
        <x:is>
          <x:t xml:space="preserve">7</x:t>
        </x:is>
      </x:c>
      <x:c r="J91" s="2" t="inlineStr">
        <x:is>
          <x:t xml:space="preserve">30 ft.</x:t>
        </x:is>
      </x:c>
      <x:c r="K91" s="2" t="inlineStr">
        <x:is>
          <x:t xml:space="preserve">2</x:t>
        </x:is>
      </x:c>
      <x:c r="L91" s="2" t="inlineStr">
        <x:is>
          <x:t xml:space="preserve">9</x:t>
        </x:is>
      </x:c>
      <x:c r="M91" s="2" t="n"/>
      <x:c r="N91" s="2" t="inlineStr">
        <x:is>
          <x:t xml:space="preserve">4</x:t>
        </x:is>
      </x:c>
      <x:c r="O91" s="2" t="inlineStr">
        <x:is>
          <x:t xml:space="preserve">2</x:t>
        </x:is>
      </x:c>
      <x:c r="P91" s="2" t="inlineStr">
        <x:is>
          <x:t xml:space="preserve">8</x:t>
        </x:is>
      </x:c>
      <x:c r="Q91" s="2" t="inlineStr">
        <x:is>
          <x:t xml:space="preserve">15</x:t>
        </x:is>
      </x:c>
      <x:c r="R91" s="2" t="inlineStr">
        <x:is>
          <x:t xml:space="preserve">10</x:t>
        </x:is>
      </x:c>
      <x:c r="S91" s="2" t="inlineStr">
        <x:is>
          <x:t xml:space="preserve">10</x:t>
        </x:is>
      </x:c>
      <x:c r="T91" s="2" t="inlineStr">
        <x:is>
          <x:t xml:space="preserve">8</x:t>
        </x:is>
      </x:c>
      <x:c r="U91" s="2" t="inlineStr">
        <x:is>
          <x:t xml:space="preserve">8</x:t>
        </x:is>
      </x:c>
      <x:c r="V91" s="2" t="n"/>
      <x:c r="W91" s="2" t="inlineStr">
        <x:is>
          <x:t xml:space="preserve">Stealth +6</x:t>
        </x:is>
      </x:c>
      <x:c r="X91" s="2" t="inlineStr">
        <x:is>
          <x:t xml:space="preserve">Darkvision 60 ft.; Passive Perception 9</x:t>
        </x:is>
      </x:c>
      <x:c r="Y91" s="2" t="inlineStr">
        <x:is>
          <x:t xml:space="preserve">Common, Goblin</x:t>
        </x:is>
      </x:c>
      <x:c r="Z91" s="2" t="n"/>
      <x:c r="AA91" s="2" t="inlineStr">
        <x:is>
          <x:t xml:space="preserve">Dagger. Melee or Ranged Attack Roll: +4, reach 5 ft. or range 20/60 ft. Hit: 4 (1d4 + 2) Piercing damage.</x:t>
        </x:is>
      </x:c>
      <x:c r="AB91" s="2" t="inlineStr">
        <x:is>
          <x:t xml:space="preserve">Nimble Escape. The goblin takes the Disengage or Hide action.</x:t>
        </x:is>
      </x:c>
      <x:c r="AC91" s="2" t="n"/>
      <x:c r="AD91" s="2" t="n"/>
      <x:c r="AE91" s="2" t="n"/>
      <x:c r="AF91" s="2" t="inlineStr">
        <x:is>
          <x:t xml:space="preserve">Imported from SRD 5.2.1 p. 290 Index of Stat Blocks</x:t>
        </x:is>
      </x:c>
      <x:c r="AG91" s="2" t="inlineStr">
        <x:is>
          <x:t xml:space="preserve">https://www.dndbeyond.com/srd</x:t>
        </x:is>
      </x:c>
    </x:row>
    <x:row r="92" ht="18" customHeight="1">
      <x:c r="A92" s="2" t="inlineStr">
        <x:is>
          <x:t xml:space="preserve">Goblin Warrior</x:t>
        </x:is>
      </x:c>
      <x:c r="B92" s="2" t="inlineStr">
        <x:is>
          <x:t xml:space="preserve">SRD 5.2.1</x:t>
        </x:is>
      </x:c>
      <x:c r="C92" s="2" t="inlineStr">
        <x:is>
          <x:t xml:space="preserve">Fey (Goblinoid)</x:t>
        </x:is>
      </x:c>
      <x:c r="D92" s="2" t="inlineStr">
        <x:is>
          <x:t xml:space="preserve">Small</x:t>
        </x:is>
      </x:c>
      <x:c r="E92" s="2" t="inlineStr">
        <x:is>
          <x:t xml:space="preserve">Chaotic Neutral</x:t>
        </x:is>
      </x:c>
      <x:c r="F92" s="2" t="inlineStr">
        <x:is>
          <x:t xml:space="preserve">1/4</x:t>
        </x:is>
      </x:c>
      <x:c r="G92" s="2" t="inlineStr">
        <x:is>
          <x:t xml:space="preserve">50</x:t>
        </x:is>
      </x:c>
      <x:c r="H92" s="2" t="inlineStr">
        <x:is>
          <x:t xml:space="preserve">15</x:t>
        </x:is>
      </x:c>
      <x:c r="I92" s="2" t="inlineStr">
        <x:is>
          <x:t xml:space="preserve">10</x:t>
        </x:is>
      </x:c>
      <x:c r="J92" s="2" t="inlineStr">
        <x:is>
          <x:t xml:space="preserve">30 ft.</x:t>
        </x:is>
      </x:c>
      <x:c r="K92" s="2" t="inlineStr">
        <x:is>
          <x:t xml:space="preserve">2</x:t>
        </x:is>
      </x:c>
      <x:c r="L92" s="2" t="inlineStr">
        <x:is>
          <x:t xml:space="preserve">9</x:t>
        </x:is>
      </x:c>
      <x:c r="M92" s="2" t="n"/>
      <x:c r="N92" s="2" t="inlineStr">
        <x:is>
          <x:t xml:space="preserve">4</x:t>
        </x:is>
      </x:c>
      <x:c r="O92" s="2" t="inlineStr">
        <x:is>
          <x:t xml:space="preserve">2</x:t>
        </x:is>
      </x:c>
      <x:c r="P92" s="2" t="inlineStr">
        <x:is>
          <x:t xml:space="preserve">8</x:t>
        </x:is>
      </x:c>
      <x:c r="Q92" s="2" t="inlineStr">
        <x:is>
          <x:t xml:space="preserve">15</x:t>
        </x:is>
      </x:c>
      <x:c r="R92" s="2" t="inlineStr">
        <x:is>
          <x:t xml:space="preserve">10</x:t>
        </x:is>
      </x:c>
      <x:c r="S92" s="2" t="inlineStr">
        <x:is>
          <x:t xml:space="preserve">10</x:t>
        </x:is>
      </x:c>
      <x:c r="T92" s="2" t="inlineStr">
        <x:is>
          <x:t xml:space="preserve">8</x:t>
        </x:is>
      </x:c>
      <x:c r="U92" s="2" t="inlineStr">
        <x:is>
          <x:t xml:space="preserve">8</x:t>
        </x:is>
      </x:c>
      <x:c r="V92" s="2" t="n"/>
      <x:c r="W92" s="2" t="inlineStr">
        <x:is>
          <x:t xml:space="preserve">Stealth +6</x:t>
        </x:is>
      </x:c>
      <x:c r="X92" s="2" t="inlineStr">
        <x:is>
          <x:t xml:space="preserve">Darkvision 60 ft.; Passive Perception 9</x:t>
        </x:is>
      </x:c>
      <x:c r="Y92" s="2" t="inlineStr">
        <x:is>
          <x:t xml:space="preserve">Common, Goblin</x:t>
        </x:is>
      </x:c>
      <x:c r="Z92" s="2" t="n"/>
      <x:c r="AA92" s="2" t="inlineStr">
        <x:is>
          <x:t xml:space="preserve">Scimitar. Melee Attack Roll: +4, reach 5 ft. Hit: 5 (1d6 + 2) Slashing damage, plus 2 (1d4) Slashing damage if the attack roll had Advantage. Shortbow. Ranged Attack Roll: +4, range 80/320 ft. Hit: 5 (1d6 + 2) Piercing damage, plus 2 (1d4) Piercing damage if the attack roll had Advantage.</x:t>
        </x:is>
      </x:c>
      <x:c r="AB92" s="2" t="inlineStr">
        <x:is>
          <x:t xml:space="preserve">Nimble Escape. The goblin takes the Disengage or Hide action.</x:t>
        </x:is>
      </x:c>
      <x:c r="AC92" s="2" t="n"/>
      <x:c r="AD92" s="2" t="n"/>
      <x:c r="AE92" s="2" t="n"/>
      <x:c r="AF92" s="2" t="inlineStr">
        <x:is>
          <x:t xml:space="preserve">Imported from SRD 5.2.1 p. 290 Index of Stat Blocks</x:t>
        </x:is>
      </x:c>
      <x:c r="AG92" s="2" t="inlineStr">
        <x:is>
          <x:t xml:space="preserve">https://www.dndbeyond.com/srd</x:t>
        </x:is>
      </x:c>
    </x:row>
    <x:row r="93" ht="18" customHeight="1">
      <x:c r="A93" s="2" t="inlineStr">
        <x:is>
          <x:t xml:space="preserve">Goblin Boss</x:t>
        </x:is>
      </x:c>
      <x:c r="B93" s="2" t="inlineStr">
        <x:is>
          <x:t xml:space="preserve">SRD 5.2.1</x:t>
        </x:is>
      </x:c>
      <x:c r="C93" s="2" t="inlineStr">
        <x:is>
          <x:t xml:space="preserve">Fey (Goblinoid)</x:t>
        </x:is>
      </x:c>
      <x:c r="D93" s="2" t="inlineStr">
        <x:is>
          <x:t xml:space="preserve">Small</x:t>
        </x:is>
      </x:c>
      <x:c r="E93" s="2" t="inlineStr">
        <x:is>
          <x:t xml:space="preserve">Chaotic Neutral</x:t>
        </x:is>
      </x:c>
      <x:c r="F93" s="2" t="inlineStr">
        <x:is>
          <x:t xml:space="preserve">1</x:t>
        </x:is>
      </x:c>
      <x:c r="G93" s="2" t="inlineStr">
        <x:is>
          <x:t xml:space="preserve">200</x:t>
        </x:is>
      </x:c>
      <x:c r="H93" s="2" t="inlineStr">
        <x:is>
          <x:t xml:space="preserve">17</x:t>
        </x:is>
      </x:c>
      <x:c r="I93" s="2" t="inlineStr">
        <x:is>
          <x:t xml:space="preserve">21</x:t>
        </x:is>
      </x:c>
      <x:c r="J93" s="2" t="inlineStr">
        <x:is>
          <x:t xml:space="preserve">30 ft.</x:t>
        </x:is>
      </x:c>
      <x:c r="K93" s="2" t="inlineStr">
        <x:is>
          <x:t xml:space="preserve">2</x:t>
        </x:is>
      </x:c>
      <x:c r="L93" s="2" t="inlineStr">
        <x:is>
          <x:t xml:space="preserve">9</x:t>
        </x:is>
      </x:c>
      <x:c r="M93" s="2" t="n"/>
      <x:c r="N93" s="2" t="inlineStr">
        <x:is>
          <x:t xml:space="preserve">4</x:t>
        </x:is>
      </x:c>
      <x:c r="O93" s="2" t="inlineStr">
        <x:is>
          <x:t xml:space="preserve">2</x:t>
        </x:is>
      </x:c>
      <x:c r="P93" s="2" t="inlineStr">
        <x:is>
          <x:t xml:space="preserve">10</x:t>
        </x:is>
      </x:c>
      <x:c r="Q93" s="2" t="inlineStr">
        <x:is>
          <x:t xml:space="preserve">15</x:t>
        </x:is>
      </x:c>
      <x:c r="R93" s="2" t="inlineStr">
        <x:is>
          <x:t xml:space="preserve">10</x:t>
        </x:is>
      </x:c>
      <x:c r="S93" s="2" t="inlineStr">
        <x:is>
          <x:t xml:space="preserve">10</x:t>
        </x:is>
      </x:c>
      <x:c r="T93" s="2" t="inlineStr">
        <x:is>
          <x:t xml:space="preserve">8</x:t>
        </x:is>
      </x:c>
      <x:c r="U93" s="2" t="inlineStr">
        <x:is>
          <x:t xml:space="preserve">10</x:t>
        </x:is>
      </x:c>
      <x:c r="V93" s="2" t="n"/>
      <x:c r="W93" s="2" t="inlineStr">
        <x:is>
          <x:t xml:space="preserve">Stealth +6</x:t>
        </x:is>
      </x:c>
      <x:c r="X93" s="2" t="inlineStr">
        <x:is>
          <x:t xml:space="preserve">Darkvision 60 ft.; Passive Perception 9</x:t>
        </x:is>
      </x:c>
      <x:c r="Y93" s="2" t="inlineStr">
        <x:is>
          <x:t xml:space="preserve">Common, Goblin</x:t>
        </x:is>
      </x:c>
      <x:c r="Z93" s="2" t="n"/>
      <x:c r="AA93" s="2" t="inlineStr">
        <x:is>
          <x:t xml:space="preserve">Multiattack. The goblin makes two attacks, using Scim- itar or Shortbow in any combination. Scimitar. Melee Attack Roll: +4, reach 5 ft. Hit: 5 (1d6 + 2) Slashing damage, plus 2 (1d4) Slashing damage if the attack roll had Advantage. Shortbow. Ranged Attack Roll: +4, range 80/320 ft. Hit: 5 (1d6 + 2) Piercing damage, plus 2 (1d4) Piercing damage if the attack roll had Advantage.</x:t>
        </x:is>
      </x:c>
      <x:c r="AB93" s="2" t="inlineStr">
        <x:is>
          <x:t xml:space="preserve">Nimble Escape. The goblin takes the Disengage or Hide action.</x:t>
        </x:is>
      </x:c>
      <x:c r="AC93" s="2" t="inlineStr">
        <x:is>
          <x:t xml:space="preserve">Redirect Attack. Trigger: A creature the goblin can see makes an attack roll against it. Response: The goblin chooses a Small or Medium ally within 5 feet of itself. The goblin and that ally swap places, and the ally be- comes the target of the attack instead. Gold Dragons</x:t>
        </x:is>
      </x:c>
      <x:c r="AD93" s="2" t="n"/>
      <x:c r="AE93" s="2" t="n"/>
      <x:c r="AF93" s="2" t="inlineStr">
        <x:is>
          <x:t xml:space="preserve">Imported from SRD 5.2.1 p. 290 Index of Stat Blocks</x:t>
        </x:is>
      </x:c>
      <x:c r="AG93" s="2" t="inlineStr">
        <x:is>
          <x:t xml:space="preserve">https://www.dndbeyond.com/srd</x:t>
        </x:is>
      </x:c>
    </x:row>
    <x:row r="94" ht="18" customHeight="1">
      <x:c r="A94" s="2" t="inlineStr">
        <x:is>
          <x:t xml:space="preserve">Gold Dragon Wyrmling</x:t>
        </x:is>
      </x:c>
      <x:c r="B94" s="2" t="inlineStr">
        <x:is>
          <x:t xml:space="preserve">SRD 5.2.1</x:t>
        </x:is>
      </x:c>
      <x:c r="C94" s="2" t="inlineStr">
        <x:is>
          <x:t xml:space="preserve">Dragon (Metallic)</x:t>
        </x:is>
      </x:c>
      <x:c r="D94" s="2" t="inlineStr">
        <x:is>
          <x:t xml:space="preserve">Medium</x:t>
        </x:is>
      </x:c>
      <x:c r="E94" s="2" t="inlineStr">
        <x:is>
          <x:t xml:space="preserve">Lawful Good</x:t>
        </x:is>
      </x:c>
      <x:c r="F94" s="2" t="n"/>
      <x:c r="G94" s="2" t="n"/>
      <x:c r="H94" s="2" t="inlineStr">
        <x:is>
          <x:t xml:space="preserve">17</x:t>
        </x:is>
      </x:c>
      <x:c r="I94" s="2" t="inlineStr">
        <x:is>
          <x:t xml:space="preserve">60</x:t>
        </x:is>
      </x:c>
      <x:c r="J94" s="2" t="inlineStr">
        <x:is>
          <x:t xml:space="preserve">30 ft., Fly 60 ft., Swim 30 ft.</x:t>
        </x:is>
      </x:c>
      <x:c r="K94" s="2" t="n"/>
      <x:c r="L94" s="2" t="inlineStr">
        <x:is>
          <x:t xml:space="preserve">14</x:t>
        </x:is>
      </x:c>
      <x:c r="M94" s="2" t="inlineStr">
        <x:is>
          <x:t xml:space="preserve">13</x:t>
        </x:is>
      </x:c>
      <x:c r="N94" s="2" t="inlineStr">
        <x:is>
          <x:t xml:space="preserve">6</x:t>
        </x:is>
      </x:c>
      <x:c r="O94" s="2" t="inlineStr">
        <x:is>
          <x:t xml:space="preserve">4</x:t>
        </x:is>
      </x:c>
      <x:c r="P94" s="2" t="inlineStr">
        <x:is>
          <x:t xml:space="preserve">19</x:t>
        </x:is>
      </x:c>
      <x:c r="Q94" s="2" t="inlineStr">
        <x:is>
          <x:t xml:space="preserve">14</x:t>
        </x:is>
      </x:c>
      <x:c r="R94" s="2" t="inlineStr">
        <x:is>
          <x:t xml:space="preserve">17</x:t>
        </x:is>
      </x:c>
      <x:c r="S94" s="2" t="inlineStr">
        <x:is>
          <x:t xml:space="preserve">14</x:t>
        </x:is>
      </x:c>
      <x:c r="T94" s="2" t="inlineStr">
        <x:is>
          <x:t xml:space="preserve">11</x:t>
        </x:is>
      </x:c>
      <x:c r="U94" s="2" t="inlineStr">
        <x:is>
          <x:t xml:space="preserve">16</x:t>
        </x:is>
      </x:c>
      <x:c r="V94" s="2" t="inlineStr">
        <x:is>
          <x:t xml:space="preserve">DEX +4, WIS +2</x:t>
        </x:is>
      </x:c>
      <x:c r="W94" s="2" t="inlineStr">
        <x:is>
          <x:t xml:space="preserve">Perception +4, Stealth +4</x:t>
        </x:is>
      </x:c>
      <x:c r="X94" s="2" t="inlineStr">
        <x:is>
          <x:t xml:space="preserve">Blindsight 10 ft., Darkvision 60 ft.; Passive Perception 14</x:t>
        </x:is>
      </x:c>
      <x:c r="Y94" s="2" t="inlineStr">
        <x:is>
          <x:t xml:space="preserve">Draconic</x:t>
        </x:is>
      </x:c>
      <x:c r="Z94" s="2" t="inlineStr">
        <x:is>
          <x:t xml:space="preserve">Amphibious. The dragon can breathe air and water.</x:t>
        </x:is>
      </x:c>
      <x:c r="AA94" s="2" t="inlineStr">
        <x:is>
          <x:t xml:space="preserve">Multiattack. The dragon makes two Rend attacks. Rend. Melee Attack Roll: +6, reach 5 ft. Hit: 9 (1d10 + 4) Slashing damage. Fire Breath (Recharge 5-6). Dexterity Saving Throw: DC 13, each creature in a 15-foot Cone. Failure: 22 (4d10) Fire damage. Success: Half damage. Weakening Breath. Strength Saving Throw: DC 13, each creature that isn’t currently affected by this breath in a 15-foot Cone. Failure: The target has Disadvantage on Strength-based D20 Tests and subtracts 2 (1d4) from its damage rolls. It repeats the save at the end of each of its turns, ending the effect on itself on a success. Af- ter 1 minute, it succeeds automatically.</x:t>
        </x:is>
      </x:c>
      <x:c r="AB94" s="2" t="n"/>
      <x:c r="AC94" s="2" t="n"/>
      <x:c r="AD94" s="2" t="n"/>
      <x:c r="AE94" s="2" t="n"/>
      <x:c r="AF94" s="2" t="inlineStr">
        <x:is>
          <x:t xml:space="preserve">Imported from SRD 5.2.1 p. 290 Index of Stat Blocks</x:t>
        </x:is>
      </x:c>
      <x:c r="AG94" s="2" t="inlineStr">
        <x:is>
          <x:t xml:space="preserve">https://www.dndbeyond.com/srd</x:t>
        </x:is>
      </x:c>
    </x:row>
    <x:row r="95" ht="18" customHeight="1">
      <x:c r="A95" s="2" t="inlineStr">
        <x:is>
          <x:t xml:space="preserve">Young Gold Dragon</x:t>
        </x:is>
      </x:c>
      <x:c r="B95" s="2" t="inlineStr">
        <x:is>
          <x:t xml:space="preserve">SRD 5.2.1</x:t>
        </x:is>
      </x:c>
      <x:c r="C95" s="2" t="inlineStr">
        <x:is>
          <x:t xml:space="preserve">Dragon (Metallic)</x:t>
        </x:is>
      </x:c>
      <x:c r="D95" s="2" t="inlineStr">
        <x:is>
          <x:t xml:space="preserve">Large</x:t>
        </x:is>
      </x:c>
      <x:c r="E95" s="2" t="inlineStr">
        <x:is>
          <x:t xml:space="preserve">Lawful Good</x:t>
        </x:is>
      </x:c>
      <x:c r="F95" s="2" t="inlineStr">
        <x:is>
          <x:t xml:space="preserve">10</x:t>
        </x:is>
      </x:c>
      <x:c r="G95" s="2" t="inlineStr">
        <x:is>
          <x:t xml:space="preserve">5900</x:t>
        </x:is>
      </x:c>
      <x:c r="H95" s="2" t="inlineStr">
        <x:is>
          <x:t xml:space="preserve">18</x:t>
        </x:is>
      </x:c>
      <x:c r="I95" s="2" t="inlineStr">
        <x:is>
          <x:t xml:space="preserve">178</x:t>
        </x:is>
      </x:c>
      <x:c r="J95" s="2" t="inlineStr">
        <x:is>
          <x:t xml:space="preserve">40 ft., Fly 80 ft., Swim 40 ft.</x:t>
        </x:is>
      </x:c>
      <x:c r="K95" s="2" t="inlineStr">
        <x:is>
          <x:t xml:space="preserve">4</x:t>
        </x:is>
      </x:c>
      <x:c r="L95" s="2" t="inlineStr">
        <x:is>
          <x:t xml:space="preserve">19</x:t>
        </x:is>
      </x:c>
      <x:c r="M95" s="2" t="inlineStr">
        <x:is>
          <x:t xml:space="preserve">17</x:t>
        </x:is>
      </x:c>
      <x:c r="N95" s="2" t="inlineStr">
        <x:is>
          <x:t xml:space="preserve">10</x:t>
        </x:is>
      </x:c>
      <x:c r="O95" s="2" t="inlineStr">
        <x:is>
          <x:t xml:space="preserve">6</x:t>
        </x:is>
      </x:c>
      <x:c r="P95" s="2" t="inlineStr">
        <x:is>
          <x:t xml:space="preserve">23</x:t>
        </x:is>
      </x:c>
      <x:c r="Q95" s="2" t="inlineStr">
        <x:is>
          <x:t xml:space="preserve">14</x:t>
        </x:is>
      </x:c>
      <x:c r="R95" s="2" t="inlineStr">
        <x:is>
          <x:t xml:space="preserve">21</x:t>
        </x:is>
      </x:c>
      <x:c r="S95" s="2" t="inlineStr">
        <x:is>
          <x:t xml:space="preserve">16</x:t>
        </x:is>
      </x:c>
      <x:c r="T95" s="2" t="inlineStr">
        <x:is>
          <x:t xml:space="preserve">13</x:t>
        </x:is>
      </x:c>
      <x:c r="U95" s="2" t="inlineStr">
        <x:is>
          <x:t xml:space="preserve">20</x:t>
        </x:is>
      </x:c>
      <x:c r="V95" s="2" t="inlineStr">
        <x:is>
          <x:t xml:space="preserve">DEX +6, WIS +5</x:t>
        </x:is>
      </x:c>
      <x:c r="W95" s="2" t="inlineStr">
        <x:is>
          <x:t xml:space="preserve">Insight +5, Perception +9, Persuasion +9, Stealth +6</x:t>
        </x:is>
      </x:c>
      <x:c r="X95" s="2" t="inlineStr">
        <x:is>
          <x:t xml:space="preserve">Blindsight 30 ft., Darkvision 120 ft.; Passive Perception 19</x:t>
        </x:is>
      </x:c>
      <x:c r="Y95" s="2" t="inlineStr">
        <x:is>
          <x:t xml:space="preserve">Common, Draconic</x:t>
        </x:is>
      </x:c>
      <x:c r="Z95" s="2" t="inlineStr">
        <x:is>
          <x:t xml:space="preserve">Amphibious. The dragon can breathe air and water.</x:t>
        </x:is>
      </x:c>
      <x:c r="AA95" s="2" t="inlineStr">
        <x:is>
          <x:t xml:space="preserve">Multiattack. The dragon makes three Rend attacks. It can replace one attack with a use of Weakening Breath. Rend. Melee Attack Roll: +10, reach 10 ft. Hit: 17 (2d10 + 6) Slashing damage. Fire Breath (Recharge 5-6). Dexterity Saving Throw: DC 17, each creature in a 30-foot Cone. Failure: 55 (10d10) Fire damage. Success: Half damage. Weakening Breath. Strength Saving Throw: DC 17, each creature that isn’t currently affected by this breath in a 30-foot Cone. Failure: The target has Disadvantage on Strength-based D20 Tests and subtracts 3 (1d6) from its damage rolls. It repeats the save at the end of each of its turns, ending the effect on itself on a success. Af- ter 1 minute, it succeeds automatically.</x:t>
        </x:is>
      </x:c>
      <x:c r="AB95" s="2" t="n"/>
      <x:c r="AC95" s="2" t="n"/>
      <x:c r="AD95" s="2" t="n"/>
      <x:c r="AE95" s="2" t="n"/>
      <x:c r="AF95" s="2" t="inlineStr">
        <x:is>
          <x:t xml:space="preserve">Imported from SRD 5.2.1 p. 291 Index of Stat Blocks</x:t>
        </x:is>
      </x:c>
      <x:c r="AG95" s="2" t="inlineStr">
        <x:is>
          <x:t xml:space="preserve">https://www.dndbeyond.com/srd</x:t>
        </x:is>
      </x:c>
    </x:row>
    <x:row r="96" ht="18" customHeight="1">
      <x:c r="A96" s="2" t="inlineStr">
        <x:is>
          <x:t xml:space="preserve">Adult Gold Dragon</x:t>
        </x:is>
      </x:c>
      <x:c r="B96" s="2" t="inlineStr">
        <x:is>
          <x:t xml:space="preserve">SRD 5.2.1</x:t>
        </x:is>
      </x:c>
      <x:c r="C96" s="2" t="inlineStr">
        <x:is>
          <x:t xml:space="preserve">Dragon (Metallic)</x:t>
        </x:is>
      </x:c>
      <x:c r="D96" s="2" t="inlineStr">
        <x:is>
          <x:t xml:space="preserve">Huge</x:t>
        </x:is>
      </x:c>
      <x:c r="E96" s="2" t="inlineStr">
        <x:is>
          <x:t xml:space="preserve">Lawful Good</x:t>
        </x:is>
      </x:c>
      <x:c r="F96" s="2" t="inlineStr">
        <x:is>
          <x:t xml:space="preserve">17</x:t>
        </x:is>
      </x:c>
      <x:c r="G96" s="2" t="inlineStr">
        <x:is>
          <x:t xml:space="preserve">18000</x:t>
        </x:is>
      </x:c>
      <x:c r="H96" s="2" t="inlineStr">
        <x:is>
          <x:t xml:space="preserve">19</x:t>
        </x:is>
      </x:c>
      <x:c r="I96" s="2" t="inlineStr">
        <x:is>
          <x:t xml:space="preserve">243</x:t>
        </x:is>
      </x:c>
      <x:c r="J96" s="2" t="inlineStr">
        <x:is>
          <x:t xml:space="preserve">40 ft., Fly 80 ft., Swim 40 ft.</x:t>
        </x:is>
      </x:c>
      <x:c r="K96" s="2" t="inlineStr">
        <x:is>
          <x:t xml:space="preserve">6</x:t>
        </x:is>
      </x:c>
      <x:c r="L96" s="2" t="inlineStr">
        <x:is>
          <x:t xml:space="preserve">24</x:t>
        </x:is>
      </x:c>
      <x:c r="M96" s="2" t="inlineStr">
        <x:is>
          <x:t xml:space="preserve">21</x:t>
        </x:is>
      </x:c>
      <x:c r="N96" s="2" t="inlineStr">
        <x:is>
          <x:t xml:space="preserve">14</x:t>
        </x:is>
      </x:c>
      <x:c r="O96" s="2" t="inlineStr">
        <x:is>
          <x:t xml:space="preserve">14</x:t>
        </x:is>
      </x:c>
      <x:c r="P96" s="2" t="inlineStr">
        <x:is>
          <x:t xml:space="preserve">27</x:t>
        </x:is>
      </x:c>
      <x:c r="Q96" s="2" t="inlineStr">
        <x:is>
          <x:t xml:space="preserve">14</x:t>
        </x:is>
      </x:c>
      <x:c r="R96" s="2" t="inlineStr">
        <x:is>
          <x:t xml:space="preserve">25</x:t>
        </x:is>
      </x:c>
      <x:c r="S96" s="2" t="inlineStr">
        <x:is>
          <x:t xml:space="preserve">16</x:t>
        </x:is>
      </x:c>
      <x:c r="T96" s="2" t="inlineStr">
        <x:is>
          <x:t xml:space="preserve">15</x:t>
        </x:is>
      </x:c>
      <x:c r="U96" s="2" t="inlineStr">
        <x:is>
          <x:t xml:space="preserve">24</x:t>
        </x:is>
      </x:c>
      <x:c r="V96" s="2" t="inlineStr">
        <x:is>
          <x:t xml:space="preserve">DEX +8, WIS +8</x:t>
        </x:is>
      </x:c>
      <x:c r="W96" s="2" t="inlineStr">
        <x:is>
          <x:t xml:space="preserve">Insight +8, Perception +14, Persuasion +13, Stealth +8</x:t>
        </x:is>
      </x:c>
      <x:c r="X96" s="2" t="inlineStr">
        <x:is>
          <x:t xml:space="preserve">Blindsight 60 ft., Darkvision 120 ft.; Passive Perception 24</x:t>
        </x:is>
      </x:c>
      <x:c r="Y96" s="2" t="inlineStr">
        <x:is>
          <x:t xml:space="preserve">Common, Draconic</x:t>
        </x:is>
      </x:c>
      <x:c r="Z96" s="2" t="inlineStr">
        <x:is>
          <x:t xml:space="preserve">Amphibious. The dragon can breathe air and water. Legendary Resistance (3/Day, or 4/Day in Lair). If the dragon fails a saving throw, it can choose to suc- ceed instead.</x:t>
        </x:is>
      </x:c>
      <x:c r="AA96" s="2" t="inlineStr">
        <x:is>
          <x:t xml:space="preserve">Multiattack. The dragon makes three Rend attacks. It can replace one attack with a use of (A) Spellcasting to cast Guiding Bolt (level 2 version) or (B) Weaken- ing Breath. Rend. Melee Attack Roll: +14, reach 10 ft. Hit: 17 (2d8 + 8) Slashing damage plus 4 (1d8) Fire damage. Fire Breath (Recharge 5-6). Dexterity Saving Throw: DC 21, each creature in a 60-foot Cone. Failure: 66 (12d10) Fire damage. Success: Half damage. Spellcasting. The dragon casts one of the following spells, requiring no Material components and using Charisma as the spellcasting ability (spell save DC 21, +13 to hit with spell attacks): At Will: Detect Magic, Guiding Bolt (level 2 version), Shapechange (Beast or Humanoid form only, no Temporary Hit Points gained from the spell, and no Concentration or Temporary Hit Points required to maintain the spell) 1/Day Each: Flame Strike, Zone of Truth Weakening Breath. Strength Saving Throw: DC 21, each creature that isn’t currently affected by this breath in a 60-foot Cone. Failure: The target has Disadvantage on Strength-based D20 Tests and subtracts 3 (1d6) from its damage rolls. It repeats the save at the end of each of its turns, ending the effect on itself on a success. Af- ter 1 minute, it succeeds automatically.</x:t>
        </x:is>
      </x:c>
      <x:c r="AB96" s="2" t="n"/>
      <x:c r="AC96" s="2" t="n"/>
      <x:c r="AD96" s="2" t="inlineStr">
        <x:is>
          <x:t xml:space="preserve">Legendary Action Uses: 3 (4 in Lair). Immediately after another creature’s turn, the dragon can expend a use to take one of the following actions. The dragon regains all expended uses at the start of each of its turns. Banish. Charisma Saving Throw: DC 21, one creature the dragon can see within 120 feet. Failure: 10 (3d6) Force damage, and the target has the Incapacitated condition and is transported to a harmless demiplane until the start of the dragon’s next turn, at which point it reappears in an unoccupied space of the dragon’s choice within 120 feet of the dragon. Failure or Success: The dragon can’t take this action again until the start of its next turn. Guiding Light. The dragon uses Spellcasting to cast Guiding Bolt (level 2 version). Pounce. The dragon moves up to half its Speed, and it makes one Rend attack.</x:t>
        </x:is>
      </x:c>
      <x:c r="AE96" s="2" t="inlineStr">
        <x:is>
          <x:t xml:space="preserve">Includes Spellcasting; see Traits/Actions text</x:t>
        </x:is>
      </x:c>
      <x:c r="AF96" s="2" t="inlineStr">
        <x:is>
          <x:t xml:space="preserve">Imported from SRD 5.2.1 p. 291 Index of Stat Blocks</x:t>
        </x:is>
      </x:c>
      <x:c r="AG96" s="2" t="inlineStr">
        <x:is>
          <x:t xml:space="preserve">https://www.dndbeyond.com/srd</x:t>
        </x:is>
      </x:c>
    </x:row>
    <x:row r="97" ht="18" customHeight="1">
      <x:c r="A97" s="2" t="inlineStr">
        <x:is>
          <x:t xml:space="preserve">Ancient Gold Dragon</x:t>
        </x:is>
      </x:c>
      <x:c r="B97" s="2" t="inlineStr">
        <x:is>
          <x:t xml:space="preserve">SRD 5.2.1</x:t>
        </x:is>
      </x:c>
      <x:c r="C97" s="2" t="inlineStr">
        <x:is>
          <x:t xml:space="preserve">Dragon (Metallic)</x:t>
        </x:is>
      </x:c>
      <x:c r="D97" s="2" t="inlineStr">
        <x:is>
          <x:t xml:space="preserve">Gargantuan</x:t>
        </x:is>
      </x:c>
      <x:c r="E97" s="2" t="inlineStr">
        <x:is>
          <x:t xml:space="preserve">Lawful Good</x:t>
        </x:is>
      </x:c>
      <x:c r="F97" s="2" t="inlineStr">
        <x:is>
          <x:t xml:space="preserve">24</x:t>
        </x:is>
      </x:c>
      <x:c r="G97" s="2" t="inlineStr">
        <x:is>
          <x:t xml:space="preserve">62000</x:t>
        </x:is>
      </x:c>
      <x:c r="H97" s="2" t="inlineStr">
        <x:is>
          <x:t xml:space="preserve">22</x:t>
        </x:is>
      </x:c>
      <x:c r="I97" s="2" t="inlineStr">
        <x:is>
          <x:t xml:space="preserve">546</x:t>
        </x:is>
      </x:c>
      <x:c r="J97" s="2" t="inlineStr">
        <x:is>
          <x:t xml:space="preserve">40 ft., Fly 80 ft., Swim 40 ft.</x:t>
        </x:is>
      </x:c>
      <x:c r="K97" s="2" t="inlineStr">
        <x:is>
          <x:t xml:space="preserve">7</x:t>
        </x:is>
      </x:c>
      <x:c r="L97" s="2" t="inlineStr">
        <x:is>
          <x:t xml:space="preserve">27</x:t>
        </x:is>
      </x:c>
      <x:c r="M97" s="2" t="inlineStr">
        <x:is>
          <x:t xml:space="preserve">24</x:t>
        </x:is>
      </x:c>
      <x:c r="N97" s="2" t="inlineStr">
        <x:is>
          <x:t xml:space="preserve">17</x:t>
        </x:is>
      </x:c>
      <x:c r="O97" s="2" t="inlineStr">
        <x:is>
          <x:t xml:space="preserve">16</x:t>
        </x:is>
      </x:c>
      <x:c r="P97" s="2" t="inlineStr">
        <x:is>
          <x:t xml:space="preserve">30</x:t>
        </x:is>
      </x:c>
      <x:c r="Q97" s="2" t="inlineStr">
        <x:is>
          <x:t xml:space="preserve">14</x:t>
        </x:is>
      </x:c>
      <x:c r="R97" s="2" t="inlineStr">
        <x:is>
          <x:t xml:space="preserve">29</x:t>
        </x:is>
      </x:c>
      <x:c r="S97" s="2" t="inlineStr">
        <x:is>
          <x:t xml:space="preserve">18</x:t>
        </x:is>
      </x:c>
      <x:c r="T97" s="2" t="inlineStr">
        <x:is>
          <x:t xml:space="preserve">17</x:t>
        </x:is>
      </x:c>
      <x:c r="U97" s="2" t="inlineStr">
        <x:is>
          <x:t xml:space="preserve">28</x:t>
        </x:is>
      </x:c>
      <x:c r="V97" s="2" t="inlineStr">
        <x:is>
          <x:t xml:space="preserve">DEX +9, WIS +10</x:t>
        </x:is>
      </x:c>
      <x:c r="W97" s="2" t="inlineStr">
        <x:is>
          <x:t xml:space="preserve">Insight +10, Perception +17, Persuasion +16, Stealth +9</x:t>
        </x:is>
      </x:c>
      <x:c r="X97" s="2" t="inlineStr">
        <x:is>
          <x:t xml:space="preserve">Blindsight 60 ft., Darkvision 120 ft.; Passive Perception 27</x:t>
        </x:is>
      </x:c>
      <x:c r="Y97" s="2" t="inlineStr">
        <x:is>
          <x:t xml:space="preserve">Common, Draconic</x:t>
        </x:is>
      </x:c>
      <x:c r="Z97" s="2" t="inlineStr">
        <x:is>
          <x:t xml:space="preserve">Amphibious. The dragon can breathe air and water. Legendary Resistance (4/Day, or 5/Day in Lair). If the dragon fails a saving throw, it can choose to suc- ceed instead.</x:t>
        </x:is>
      </x:c>
      <x:c r="AA97" s="2" t="inlineStr">
        <x:is>
          <x:t xml:space="preserve">Multiattack. The dragon makes three Rend attacks. It can replace one attack with a use of (A) Spellcasting to cast Guiding Bolt (level 4 version) or (B) Weaken- ing Breath. Rend. Melee Attack Roll: +17 to hit, reach 15 ft. Hit: 19 (2d8 + 10) Slashing damage plus 9 (2d8) Fire damage. Fire Breath (Recharge 5-6). Dexterity Saving Throw: DC 24, each creature in a 90-foot Cone. Failure: 71 (13d10) Fire damage. Success: Half damage. Spellcasting. The dragon casts one of the following spells, requiring no Material components and using Charisma as the spellcasting ability (spell save DC 24, +16 to hit with spell attacks): At Will: Detect Magic, Guiding Bolt (level 4 version), Shapechange (Beast or Humanoid form only, no Temporary Hit Points gained from the spell, and no Concentration or Temporary Hit Points required to maintain the spell) 1/Day Each: Flame Strike (level 6 version), Word of Re- call, Zone of Truth Weakening Breath. Strength Saving Throw: DC 24, each creature that isn’t currently affected by this breath in a 90-foot Cone. Failure: The target has Disadvantage on Strength-based D20 Tests and subtracts 5 (1d10) from its damage rolls. It repeats the save at the end of each of its turns, ending the effect on itself on a suc- cess. After 1 minute, it succeeds automatically.</x:t>
        </x:is>
      </x:c>
      <x:c r="AB97" s="2" t="n"/>
      <x:c r="AC97" s="2" t="n"/>
      <x:c r="AD97" s="2" t="inlineStr">
        <x:is>
          <x:t xml:space="preserve">Legendary Action Uses: 3 (4 in Lair). Immediately after another creature’s turn, the dragon can expend a use to take one of the following actions. The dragon regains all expended uses at the start of each of its turns. Banish. Charisma Saving Throw: DC 24, one creature the dragon can see within 120 feet. Failure: 24 (7d6) Force damage, and the target has the Incapacitated condition and is transported to a harmless demiplane until the start of the dragon’s next turn, at which point it reappears in an unoccupied space of the dragon’s choice within 120 feet of the dragon. Failure or Success: The dragon can’t take this action again until the start of its next turn. Guiding Light. The dragon uses Spellcasting to cast Guiding Bolt (level 4 version). Pounce. The dragon moves up to half its Speed, and it makes one Rend attack. Gorgon</x:t>
        </x:is>
      </x:c>
      <x:c r="AE97" s="2" t="inlineStr">
        <x:is>
          <x:t xml:space="preserve">Includes Spellcasting; see Traits/Actions text</x:t>
        </x:is>
      </x:c>
      <x:c r="AF97" s="2" t="inlineStr">
        <x:is>
          <x:t xml:space="preserve">Imported from SRD 5.2.1 p. 292 Index of Stat Blocks</x:t>
        </x:is>
      </x:c>
      <x:c r="AG97" s="2" t="inlineStr">
        <x:is>
          <x:t xml:space="preserve">https://www.dndbeyond.com/srd</x:t>
        </x:is>
      </x:c>
    </x:row>
    <x:row r="98" ht="18" customHeight="1">
      <x:c r="A98" s="2" t="inlineStr">
        <x:is>
          <x:t xml:space="preserve">Gorgon</x:t>
        </x:is>
      </x:c>
      <x:c r="B98" s="2" t="inlineStr">
        <x:is>
          <x:t xml:space="preserve">SRD 5.2.1</x:t>
        </x:is>
      </x:c>
      <x:c r="C98" s="2" t="inlineStr">
        <x:is>
          <x:t xml:space="preserve">Construct</x:t>
        </x:is>
      </x:c>
      <x:c r="D98" s="2" t="inlineStr">
        <x:is>
          <x:t xml:space="preserve">Large</x:t>
        </x:is>
      </x:c>
      <x:c r="E98" s="2" t="inlineStr">
        <x:is>
          <x:t xml:space="preserve">Unaligned</x:t>
        </x:is>
      </x:c>
      <x:c r="F98" s="2" t="inlineStr">
        <x:is>
          <x:t xml:space="preserve">5</x:t>
        </x:is>
      </x:c>
      <x:c r="G98" s="2" t="inlineStr">
        <x:is>
          <x:t xml:space="preserve">1800</x:t>
        </x:is>
      </x:c>
      <x:c r="H98" s="2" t="inlineStr">
        <x:is>
          <x:t xml:space="preserve">19</x:t>
        </x:is>
      </x:c>
      <x:c r="I98" s="2" t="inlineStr">
        <x:is>
          <x:t xml:space="preserve">114</x:t>
        </x:is>
      </x:c>
      <x:c r="J98" s="2" t="inlineStr">
        <x:is>
          <x:t xml:space="preserve">40 ft.</x:t>
        </x:is>
      </x:c>
      <x:c r="K98" s="2" t="inlineStr">
        <x:is>
          <x:t xml:space="preserve">3</x:t>
        </x:is>
      </x:c>
      <x:c r="L98" s="2" t="inlineStr">
        <x:is>
          <x:t xml:space="preserve">17</x:t>
        </x:is>
      </x:c>
      <x:c r="M98" s="2" t="inlineStr">
        <x:is>
          <x:t xml:space="preserve">16</x:t>
        </x:is>
      </x:c>
      <x:c r="N98" s="2" t="inlineStr">
        <x:is>
          <x:t xml:space="preserve">8</x:t>
        </x:is>
      </x:c>
      <x:c r="O98" s="2" t="inlineStr">
        <x:is>
          <x:t xml:space="preserve">0</x:t>
        </x:is>
      </x:c>
      <x:c r="P98" s="2" t="inlineStr">
        <x:is>
          <x:t xml:space="preserve">20</x:t>
        </x:is>
      </x:c>
      <x:c r="Q98" s="2" t="inlineStr">
        <x:is>
          <x:t xml:space="preserve">11</x:t>
        </x:is>
      </x:c>
      <x:c r="R98" s="2" t="inlineStr">
        <x:is>
          <x:t xml:space="preserve">18</x:t>
        </x:is>
      </x:c>
      <x:c r="S98" s="2" t="inlineStr">
        <x:is>
          <x:t xml:space="preserve">2</x:t>
        </x:is>
      </x:c>
      <x:c r="T98" s="2" t="inlineStr">
        <x:is>
          <x:t xml:space="preserve">12</x:t>
        </x:is>
      </x:c>
      <x:c r="U98" s="2" t="inlineStr">
        <x:is>
          <x:t xml:space="preserve">7</x:t>
        </x:is>
      </x:c>
      <x:c r="V98" s="2" t="n"/>
      <x:c r="W98" s="2" t="inlineStr">
        <x:is>
          <x:t xml:space="preserve">Perception +7</x:t>
        </x:is>
      </x:c>
      <x:c r="X98" s="2" t="inlineStr">
        <x:is>
          <x:t xml:space="preserve">Darkvision 60 ft.; Passive Perception 17</x:t>
        </x:is>
      </x:c>
      <x:c r="Y98" s="2" t="inlineStr">
        <x:is>
          <x:t xml:space="preserve">None</x:t>
        </x:is>
      </x:c>
      <x:c r="Z98" s="2" t="n"/>
      <x:c r="AA98" s="2" t="inlineStr">
        <x:is>
          <x:t xml:space="preserve">Gore. Melee Attack Roll: +8, reach 5 ft. Hit: 18 (2d12 + 5) Piercing damage. If the target is a Large or smaller creature and the gorgon moved 20+ feet straight toward it immediately before the hit, the target has the Prone condition. Petrifying Breath (Recharge 5-6). Constitution Saving Throw: DC 15, each creature in a 30-foot Cone. First Failure: The target has the Restrained condition and repeats the save at the end of its next turn if it is still Restrained, ending the effect on itself on a success. Second Failure: The target has the Petrified condition instead of the Restrained condition.</x:t>
        </x:is>
      </x:c>
      <x:c r="AB98" s="2" t="inlineStr">
        <x:is>
          <x:t xml:space="preserve">Trample. Dexterity Saving Throw: DC 16, one creature within 5 feet that has the Prone condition. Failure: 16 (2d10 + 5) Bludgeoning damage. Success: Half damage. Gray Ooze</x:t>
        </x:is>
      </x:c>
      <x:c r="AC98" s="2" t="n"/>
      <x:c r="AD98" s="2" t="n"/>
      <x:c r="AE98" s="2" t="n"/>
      <x:c r="AF98" s="2" t="inlineStr">
        <x:is>
          <x:t xml:space="preserve">Imported from SRD 5.2.1 p. 292 Index of Stat Blocks</x:t>
        </x:is>
      </x:c>
      <x:c r="AG98" s="2" t="inlineStr">
        <x:is>
          <x:t xml:space="preserve">https://www.dndbeyond.com/srd</x:t>
        </x:is>
      </x:c>
    </x:row>
    <x:row r="99" ht="18" customHeight="1">
      <x:c r="A99" s="2" t="inlineStr">
        <x:is>
          <x:t xml:space="preserve">Gray Ooze</x:t>
        </x:is>
      </x:c>
      <x:c r="B99" s="2" t="inlineStr">
        <x:is>
          <x:t xml:space="preserve">SRD 5.2.1</x:t>
        </x:is>
      </x:c>
      <x:c r="C99" s="2" t="inlineStr">
        <x:is>
          <x:t xml:space="preserve">Ooze</x:t>
        </x:is>
      </x:c>
      <x:c r="D99" s="2" t="inlineStr">
        <x:is>
          <x:t xml:space="preserve">Medium</x:t>
        </x:is>
      </x:c>
      <x:c r="E99" s="2" t="inlineStr">
        <x:is>
          <x:t xml:space="preserve">Unaligned</x:t>
        </x:is>
      </x:c>
      <x:c r="F99" s="2" t="inlineStr">
        <x:is>
          <x:t xml:space="preserve">1/2</x:t>
        </x:is>
      </x:c>
      <x:c r="G99" s="2" t="inlineStr">
        <x:is>
          <x:t xml:space="preserve">100</x:t>
        </x:is>
      </x:c>
      <x:c r="H99" s="2" t="inlineStr">
        <x:is>
          <x:t xml:space="preserve">9</x:t>
        </x:is>
      </x:c>
      <x:c r="I99" s="2" t="inlineStr">
        <x:is>
          <x:t xml:space="preserve">22</x:t>
        </x:is>
      </x:c>
      <x:c r="J99" s="2" t="inlineStr">
        <x:is>
          <x:t xml:space="preserve">10 ft., Climb 10 ft.</x:t>
        </x:is>
      </x:c>
      <x:c r="K99" s="2" t="inlineStr">
        <x:is>
          <x:t xml:space="preserve">2</x:t>
        </x:is>
      </x:c>
      <x:c r="L99" s="2" t="inlineStr">
        <x:is>
          <x:t xml:space="preserve">8</x:t>
        </x:is>
      </x:c>
      <x:c r="M99" s="2" t="n"/>
      <x:c r="N99" s="2" t="inlineStr">
        <x:is>
          <x:t xml:space="preserve">3</x:t>
        </x:is>
      </x:c>
      <x:c r="O99" s="2" t="inlineStr">
        <x:is>
          <x:t xml:space="preserve">-2</x:t>
        </x:is>
      </x:c>
      <x:c r="P99" s="2" t="inlineStr">
        <x:is>
          <x:t xml:space="preserve">12</x:t>
        </x:is>
      </x:c>
      <x:c r="Q99" s="2" t="inlineStr">
        <x:is>
          <x:t xml:space="preserve">6</x:t>
        </x:is>
      </x:c>
      <x:c r="R99" s="2" t="inlineStr">
        <x:is>
          <x:t xml:space="preserve">16</x:t>
        </x:is>
      </x:c>
      <x:c r="S99" s="2" t="inlineStr">
        <x:is>
          <x:t xml:space="preserve">1</x:t>
        </x:is>
      </x:c>
      <x:c r="T99" s="2" t="inlineStr">
        <x:is>
          <x:t xml:space="preserve">6</x:t>
        </x:is>
      </x:c>
      <x:c r="U99" s="2" t="inlineStr">
        <x:is>
          <x:t xml:space="preserve">2</x:t>
        </x:is>
      </x:c>
      <x:c r="V99" s="2" t="n"/>
      <x:c r="W99" s="2" t="inlineStr">
        <x:is>
          <x:t xml:space="preserve">Stealth +2</x:t>
        </x:is>
      </x:c>
      <x:c r="X99" s="2" t="inlineStr">
        <x:is>
          <x:t xml:space="preserve">Blindsight 60 ft.; Passive Perception 8</x:t>
        </x:is>
      </x:c>
      <x:c r="Y99" s="2" t="inlineStr">
        <x:is>
          <x:t xml:space="preserve">None</x:t>
        </x:is>
      </x:c>
      <x:c r="Z99" s="2" t="inlineStr">
        <x:is>
          <x:t xml:space="preserve">Amorphous. The ooze can move through a space as narrow as 1 inch without expending extra move- ment to do so. Corrosive Form. Nonmagical ammunition is destroyed immediately after hitting the ooze and dealing any damage. Any nonmagical weapon takes a cumulative -1 penalty to attack rolls immediately after dealing damage to the ooze and coming into contact with it. The weapon is destroyed if the penalty reaches -5. The penalty can be removed by casting the Mending spell on the weapon. The ooze can eat through 2-inch-thick, nonmagical metal or wood in 1 round.</x:t>
        </x:is>
      </x:c>
      <x:c r="AA99" s="2" t="inlineStr">
        <x:is>
          <x:t xml:space="preserve">Pseudopod. Melee Attack Roll: +3, reach 5 ft. Hit: 10 (2d8 + 1) Acid damage. Nonmagical armor worn by the target takes a -1 penalty to the AC it offers. The armor is destroyed if the penalty reduces its AC to 10. The penalty can be removed by casting the Mending spell on the armor. Green Dragons</x:t>
        </x:is>
      </x:c>
      <x:c r="AB99" s="2" t="n"/>
      <x:c r="AC99" s="2" t="n"/>
      <x:c r="AD99" s="2" t="n"/>
      <x:c r="AE99" s="2" t="n"/>
      <x:c r="AF99" s="2" t="inlineStr">
        <x:is>
          <x:t xml:space="preserve">Imported from SRD 5.2.1 p. 293 Index of Stat Blocks</x:t>
        </x:is>
      </x:c>
      <x:c r="AG99" s="2" t="inlineStr">
        <x:is>
          <x:t xml:space="preserve">https://www.dndbeyond.com/srd</x:t>
        </x:is>
      </x:c>
    </x:row>
    <x:row r="100" ht="18" customHeight="1">
      <x:c r="A100" s="2" t="inlineStr">
        <x:is>
          <x:t xml:space="preserve">Green Dragon Wyrmling</x:t>
        </x:is>
      </x:c>
      <x:c r="B100" s="2" t="inlineStr">
        <x:is>
          <x:t xml:space="preserve">SRD 5.2.1</x:t>
        </x:is>
      </x:c>
      <x:c r="C100" s="2" t="inlineStr">
        <x:is>
          <x:t xml:space="preserve">Dragon (Chromatic)</x:t>
        </x:is>
      </x:c>
      <x:c r="D100" s="2" t="inlineStr">
        <x:is>
          <x:t xml:space="preserve">Medium</x:t>
        </x:is>
      </x:c>
      <x:c r="E100" s="2" t="inlineStr">
        <x:is>
          <x:t xml:space="preserve">Lawful Evil</x:t>
        </x:is>
      </x:c>
      <x:c r="F100" s="2" t="inlineStr">
        <x:is>
          <x:t xml:space="preserve">2</x:t>
        </x:is>
      </x:c>
      <x:c r="G100" s="2" t="inlineStr">
        <x:is>
          <x:t xml:space="preserve">450</x:t>
        </x:is>
      </x:c>
      <x:c r="H100" s="2" t="inlineStr">
        <x:is>
          <x:t xml:space="preserve">17</x:t>
        </x:is>
      </x:c>
      <x:c r="I100" s="2" t="inlineStr">
        <x:is>
          <x:t xml:space="preserve">38</x:t>
        </x:is>
      </x:c>
      <x:c r="J100" s="2" t="inlineStr">
        <x:is>
          <x:t xml:space="preserve">30 ft., Fly 60 ft., Swim 30 ft.</x:t>
        </x:is>
      </x:c>
      <x:c r="K100" s="2" t="inlineStr">
        <x:is>
          <x:t xml:space="preserve">2</x:t>
        </x:is>
      </x:c>
      <x:c r="L100" s="2" t="inlineStr">
        <x:is>
          <x:t xml:space="preserve">14</x:t>
        </x:is>
      </x:c>
      <x:c r="M100" s="2" t="n"/>
      <x:c r="N100" s="2" t="inlineStr">
        <x:is>
          <x:t xml:space="preserve">4</x:t>
        </x:is>
      </x:c>
      <x:c r="O100" s="2" t="inlineStr">
        <x:is>
          <x:t xml:space="preserve">3</x:t>
        </x:is>
      </x:c>
      <x:c r="P100" s="2" t="inlineStr">
        <x:is>
          <x:t xml:space="preserve">15</x:t>
        </x:is>
      </x:c>
      <x:c r="Q100" s="2" t="inlineStr">
        <x:is>
          <x:t xml:space="preserve">12</x:t>
        </x:is>
      </x:c>
      <x:c r="R100" s="2" t="inlineStr">
        <x:is>
          <x:t xml:space="preserve">13</x:t>
        </x:is>
      </x:c>
      <x:c r="S100" s="2" t="inlineStr">
        <x:is>
          <x:t xml:space="preserve">14</x:t>
        </x:is>
      </x:c>
      <x:c r="T100" s="2" t="inlineStr">
        <x:is>
          <x:t xml:space="preserve">11</x:t>
        </x:is>
      </x:c>
      <x:c r="U100" s="2" t="inlineStr">
        <x:is>
          <x:t xml:space="preserve">13</x:t>
        </x:is>
      </x:c>
      <x:c r="V100" s="2" t="inlineStr">
        <x:is>
          <x:t xml:space="preserve">DEX +3, WIS +2</x:t>
        </x:is>
      </x:c>
      <x:c r="W100" s="2" t="inlineStr">
        <x:is>
          <x:t xml:space="preserve">Perception +4, Stealth +3</x:t>
        </x:is>
      </x:c>
      <x:c r="X100" s="2" t="inlineStr">
        <x:is>
          <x:t xml:space="preserve">Blindsight 10 ft., Darkvision 60 ft.; Passive Perception 14</x:t>
        </x:is>
      </x:c>
      <x:c r="Y100" s="2" t="inlineStr">
        <x:is>
          <x:t xml:space="preserve">Draconic</x:t>
        </x:is>
      </x:c>
      <x:c r="Z100" s="2" t="inlineStr">
        <x:is>
          <x:t xml:space="preserve">Amphibious. The dragon can breathe air and water.</x:t>
        </x:is>
      </x:c>
      <x:c r="AA100" s="2" t="inlineStr">
        <x:is>
          <x:t xml:space="preserve">Multiattack. The dragon makes two Rend attacks. Rend. Melee Attack Roll: +4, reach 5 ft. Hit: 7 (1d10 + 2) Slashing damage plus 3 (1d6) Poison damage. Poison Breath (Recharge 5-6). Constitution Saving Throw: DC 11, each creature in a 15-foot Cone. Failure: 21 (6d6) Poison damage. Success: Half damage.</x:t>
        </x:is>
      </x:c>
      <x:c r="AB100" s="2" t="n"/>
      <x:c r="AC100" s="2" t="n"/>
      <x:c r="AD100" s="2" t="n"/>
      <x:c r="AE100" s="2" t="n"/>
      <x:c r="AF100" s="2" t="inlineStr">
        <x:is>
          <x:t xml:space="preserve">Imported from SRD 5.2.1 p. 293 Index of Stat Blocks</x:t>
        </x:is>
      </x:c>
      <x:c r="AG100" s="2" t="inlineStr">
        <x:is>
          <x:t xml:space="preserve">https://www.dndbeyond.com/srd</x:t>
        </x:is>
      </x:c>
    </x:row>
    <x:row r="101" ht="18" customHeight="1">
      <x:c r="A101" s="2" t="inlineStr">
        <x:is>
          <x:t xml:space="preserve">Young Green Dragon</x:t>
        </x:is>
      </x:c>
      <x:c r="B101" s="2" t="inlineStr">
        <x:is>
          <x:t xml:space="preserve">SRD 5.2.1</x:t>
        </x:is>
      </x:c>
      <x:c r="C101" s="2" t="inlineStr">
        <x:is>
          <x:t xml:space="preserve">Dragon (Chromatic)</x:t>
        </x:is>
      </x:c>
      <x:c r="D101" s="2" t="inlineStr">
        <x:is>
          <x:t xml:space="preserve">Large</x:t>
        </x:is>
      </x:c>
      <x:c r="E101" s="2" t="inlineStr">
        <x:is>
          <x:t xml:space="preserve">Lawful Evil</x:t>
        </x:is>
      </x:c>
      <x:c r="F101" s="2" t="inlineStr">
        <x:is>
          <x:t xml:space="preserve">8</x:t>
        </x:is>
      </x:c>
      <x:c r="G101" s="2" t="inlineStr">
        <x:is>
          <x:t xml:space="preserve">3900</x:t>
        </x:is>
      </x:c>
      <x:c r="H101" s="2" t="inlineStr">
        <x:is>
          <x:t xml:space="preserve">18</x:t>
        </x:is>
      </x:c>
      <x:c r="I101" s="2" t="inlineStr">
        <x:is>
          <x:t xml:space="preserve">136</x:t>
        </x:is>
      </x:c>
      <x:c r="J101" s="2" t="inlineStr">
        <x:is>
          <x:t xml:space="preserve">40 ft., Fly 80 ft., Swim 40 ft.</x:t>
        </x:is>
      </x:c>
      <x:c r="K101" s="2" t="inlineStr">
        <x:is>
          <x:t xml:space="preserve">3</x:t>
        </x:is>
      </x:c>
      <x:c r="L101" s="2" t="inlineStr">
        <x:is>
          <x:t xml:space="preserve">17</x:t>
        </x:is>
      </x:c>
      <x:c r="M101" s="2" t="n"/>
      <x:c r="N101" s="2" t="inlineStr">
        <x:is>
          <x:t xml:space="preserve">7</x:t>
        </x:is>
      </x:c>
      <x:c r="O101" s="2" t="inlineStr">
        <x:is>
          <x:t xml:space="preserve">4</x:t>
        </x:is>
      </x:c>
      <x:c r="P101" s="2" t="inlineStr">
        <x:is>
          <x:t xml:space="preserve">19</x:t>
        </x:is>
      </x:c>
      <x:c r="Q101" s="2" t="inlineStr">
        <x:is>
          <x:t xml:space="preserve">12</x:t>
        </x:is>
      </x:c>
      <x:c r="R101" s="2" t="inlineStr">
        <x:is>
          <x:t xml:space="preserve">17</x:t>
        </x:is>
      </x:c>
      <x:c r="S101" s="2" t="inlineStr">
        <x:is>
          <x:t xml:space="preserve">16</x:t>
        </x:is>
      </x:c>
      <x:c r="T101" s="2" t="inlineStr">
        <x:is>
          <x:t xml:space="preserve">13</x:t>
        </x:is>
      </x:c>
      <x:c r="U101" s="2" t="inlineStr">
        <x:is>
          <x:t xml:space="preserve">15</x:t>
        </x:is>
      </x:c>
      <x:c r="V101" s="2" t="inlineStr">
        <x:is>
          <x:t xml:space="preserve">DEX +4, WIS +4</x:t>
        </x:is>
      </x:c>
      <x:c r="W101" s="2" t="inlineStr">
        <x:is>
          <x:t xml:space="preserve">Deception +5, Perception +7, Stealth +4</x:t>
        </x:is>
      </x:c>
      <x:c r="X101" s="2" t="inlineStr">
        <x:is>
          <x:t xml:space="preserve">Blindsight 30 ft., Darkvision 120 ft.; Passive Perception 17</x:t>
        </x:is>
      </x:c>
      <x:c r="Y101" s="2" t="inlineStr">
        <x:is>
          <x:t xml:space="preserve">Common, Draconic</x:t>
        </x:is>
      </x:c>
      <x:c r="Z101" s="2" t="inlineStr">
        <x:is>
          <x:t xml:space="preserve">Amphibious. The dragon can breathe air and water.</x:t>
        </x:is>
      </x:c>
      <x:c r="AA101" s="2" t="inlineStr">
        <x:is>
          <x:t xml:space="preserve">Multiattack. The dragon makes three Rend attacks. Rend. Melee Attack Roll: +7, reach 10 ft. Hit: 11 (2d6 + 4) Slashing damage plus 7 (2d6) Poison damage. Poison Breath (Recharge 5-6). Constitution Saving Throw: DC 14, each creature in a 30-foot Cone. Failure: 42 (12d6) Poison damage. Success: Half damage.</x:t>
        </x:is>
      </x:c>
      <x:c r="AB101" s="2" t="n"/>
      <x:c r="AC101" s="2" t="n"/>
      <x:c r="AD101" s="2" t="n"/>
      <x:c r="AE101" s="2" t="n"/>
      <x:c r="AF101" s="2" t="inlineStr">
        <x:is>
          <x:t xml:space="preserve">Imported from SRD 5.2.1 p. 293 Index of Stat Blocks</x:t>
        </x:is>
      </x:c>
      <x:c r="AG101" s="2" t="inlineStr">
        <x:is>
          <x:t xml:space="preserve">https://www.dndbeyond.com/srd</x:t>
        </x:is>
      </x:c>
    </x:row>
    <x:row r="102" ht="18" customHeight="1">
      <x:c r="A102" s="2" t="inlineStr">
        <x:is>
          <x:t xml:space="preserve">Adult Green Dragon</x:t>
        </x:is>
      </x:c>
      <x:c r="B102" s="2" t="inlineStr">
        <x:is>
          <x:t xml:space="preserve">SRD 5.2.1</x:t>
        </x:is>
      </x:c>
      <x:c r="C102" s="2" t="inlineStr">
        <x:is>
          <x:t xml:space="preserve">Dragon (Chromatic)</x:t>
        </x:is>
      </x:c>
      <x:c r="D102" s="2" t="inlineStr">
        <x:is>
          <x:t xml:space="preserve">Huge</x:t>
        </x:is>
      </x:c>
      <x:c r="E102" s="2" t="inlineStr">
        <x:is>
          <x:t xml:space="preserve">Lawful Evil</x:t>
        </x:is>
      </x:c>
      <x:c r="F102" s="2" t="inlineStr">
        <x:is>
          <x:t xml:space="preserve">15</x:t>
        </x:is>
      </x:c>
      <x:c r="G102" s="2" t="inlineStr">
        <x:is>
          <x:t xml:space="preserve">13000</x:t>
        </x:is>
      </x:c>
      <x:c r="H102" s="2" t="inlineStr">
        <x:is>
          <x:t xml:space="preserve">19</x:t>
        </x:is>
      </x:c>
      <x:c r="I102" s="2" t="inlineStr">
        <x:is>
          <x:t xml:space="preserve">207</x:t>
        </x:is>
      </x:c>
      <x:c r="J102" s="2" t="inlineStr">
        <x:is>
          <x:t xml:space="preserve">40 ft., Fly 80 ft., Swim 40 ft.</x:t>
        </x:is>
      </x:c>
      <x:c r="K102" s="2" t="inlineStr">
        <x:is>
          <x:t xml:space="preserve">5</x:t>
        </x:is>
      </x:c>
      <x:c r="L102" s="2" t="inlineStr">
        <x:is>
          <x:t xml:space="preserve">22</x:t>
        </x:is>
      </x:c>
      <x:c r="M102" s="2" t="inlineStr">
        <x:is>
          <x:t xml:space="preserve">17</x:t>
        </x:is>
      </x:c>
      <x:c r="N102" s="2" t="inlineStr">
        <x:is>
          <x:t xml:space="preserve">11</x:t>
        </x:is>
      </x:c>
      <x:c r="O102" s="2" t="inlineStr">
        <x:is>
          <x:t xml:space="preserve">11</x:t>
        </x:is>
      </x:c>
      <x:c r="P102" s="2" t="inlineStr">
        <x:is>
          <x:t xml:space="preserve">23</x:t>
        </x:is>
      </x:c>
      <x:c r="Q102" s="2" t="inlineStr">
        <x:is>
          <x:t xml:space="preserve">12</x:t>
        </x:is>
      </x:c>
      <x:c r="R102" s="2" t="inlineStr">
        <x:is>
          <x:t xml:space="preserve">21</x:t>
        </x:is>
      </x:c>
      <x:c r="S102" s="2" t="inlineStr">
        <x:is>
          <x:t xml:space="preserve">18</x:t>
        </x:is>
      </x:c>
      <x:c r="T102" s="2" t="inlineStr">
        <x:is>
          <x:t xml:space="preserve">15</x:t>
        </x:is>
      </x:c>
      <x:c r="U102" s="2" t="inlineStr">
        <x:is>
          <x:t xml:space="preserve">18</x:t>
        </x:is>
      </x:c>
      <x:c r="V102" s="2" t="inlineStr">
        <x:is>
          <x:t xml:space="preserve">DEX +6, WIS +7</x:t>
        </x:is>
      </x:c>
      <x:c r="W102" s="2" t="inlineStr">
        <x:is>
          <x:t xml:space="preserve">Deception +9, Perception +12, Persuasion +9, Stealth +6</x:t>
        </x:is>
      </x:c>
      <x:c r="X102" s="2" t="inlineStr">
        <x:is>
          <x:t xml:space="preserve">Blindsight 60 ft., Darkvision 120 ft.; Passive Perception 22</x:t>
        </x:is>
      </x:c>
      <x:c r="Y102" s="2" t="inlineStr">
        <x:is>
          <x:t xml:space="preserve">Common, Draconic</x:t>
        </x:is>
      </x:c>
      <x:c r="Z102" s="2" t="inlineStr">
        <x:is>
          <x:t xml:space="preserve">Amphibious. The dragon can breathe air and water. Legendary Resistance (3/Day, or 4/Day in Lair). If the dragon fails a saving throw, it can choose to suc- ceed instead.</x:t>
        </x:is>
      </x:c>
      <x:c r="AA102" s="2" t="inlineStr">
        <x:is>
          <x:t xml:space="preserve">Multiattack. The dragon makes three Rend attacks. It can replace one attack with a use of Spellcasting to cast Mind Spike (level 3 version). Rend. Melee Attack Roll: +11, reach 10 ft. Hit: 15 (2d8 + 6) Slashing damage plus 7 (2d6) Poison damage. Poison Breath (Recharge 5-6). Constitution Saving Throw: DC 18, each creature in a 60-foot Cone. Fail- ure: 56 (16d6) Poison damage. Success: Half damage. Spellcasting. The dragon casts one of the following spells, requiring no Material components and using Charisma as the spellcasting ability (spell save DC 17): At Will: Detect Magic, Mind Spike (level 3 version) 1/Day: Geas</x:t>
        </x:is>
      </x:c>
      <x:c r="AB102" s="2" t="n"/>
      <x:c r="AC102" s="2" t="n"/>
      <x:c r="AD102" s="2" t="inlineStr">
        <x:is>
          <x:t xml:space="preserve">Legendary Action Uses: 3 (4 in Lair). Immediately after another creature’s turn, the dragon can expend a use to take one of the following actions. The dragon regains all expended uses at the start of each of its turns. Mind Invasion. The dragon uses Spellcasting to cast Mind Spike (level 3 version). Noxious Miasma. Constitution Saving Throw: DC 17, each creature in a 20-foot-radius Sphere centered on a point the dragon can see within 90 feet. Failure: 7 (2d6) Poison damage, and the target takes a -2 penalty to AC until the end of its next turn. Failure or Success: The dragon can’t take this action again until the start of its next turn. Pounce. The dragon moves up to half its Speed, and it makes one Rend attack.</x:t>
        </x:is>
      </x:c>
      <x:c r="AE102" s="2" t="inlineStr">
        <x:is>
          <x:t xml:space="preserve">Includes Spellcasting; see Traits/Actions text</x:t>
        </x:is>
      </x:c>
      <x:c r="AF102" s="2" t="inlineStr">
        <x:is>
          <x:t xml:space="preserve">Imported from SRD 5.2.1 p. 294 Index of Stat Blocks</x:t>
        </x:is>
      </x:c>
      <x:c r="AG102" s="2" t="inlineStr">
        <x:is>
          <x:t xml:space="preserve">https://www.dndbeyond.com/srd</x:t>
        </x:is>
      </x:c>
    </x:row>
    <x:row r="103" ht="18" customHeight="1">
      <x:c r="A103" s="2" t="inlineStr">
        <x:is>
          <x:t xml:space="preserve">Ancient Green Dragon</x:t>
        </x:is>
      </x:c>
      <x:c r="B103" s="2" t="inlineStr">
        <x:is>
          <x:t xml:space="preserve">SRD 5.2.1</x:t>
        </x:is>
      </x:c>
      <x:c r="C103" s="2" t="inlineStr">
        <x:is>
          <x:t xml:space="preserve">Dragon (Chromatic)</x:t>
        </x:is>
      </x:c>
      <x:c r="D103" s="2" t="inlineStr">
        <x:is>
          <x:t xml:space="preserve">Gargantuan</x:t>
        </x:is>
      </x:c>
      <x:c r="E103" s="2" t="inlineStr">
        <x:is>
          <x:t xml:space="preserve">Lawful Evil</x:t>
        </x:is>
      </x:c>
      <x:c r="F103" s="2" t="inlineStr">
        <x:is>
          <x:t xml:space="preserve">22</x:t>
        </x:is>
      </x:c>
      <x:c r="G103" s="2" t="inlineStr">
        <x:is>
          <x:t xml:space="preserve">41000</x:t>
        </x:is>
      </x:c>
      <x:c r="H103" s="2" t="inlineStr">
        <x:is>
          <x:t xml:space="preserve">21</x:t>
        </x:is>
      </x:c>
      <x:c r="I103" s="2" t="inlineStr">
        <x:is>
          <x:t xml:space="preserve">402</x:t>
        </x:is>
      </x:c>
      <x:c r="J103" s="2" t="inlineStr">
        <x:is>
          <x:t xml:space="preserve">40 ft., Fly 80 ft., Swim 40 ft.</x:t>
        </x:is>
      </x:c>
      <x:c r="K103" s="2" t="inlineStr">
        <x:is>
          <x:t xml:space="preserve">7</x:t>
        </x:is>
      </x:c>
      <x:c r="L103" s="2" t="inlineStr">
        <x:is>
          <x:t xml:space="preserve">27</x:t>
        </x:is>
      </x:c>
      <x:c r="M103" s="2" t="inlineStr">
        <x:is>
          <x:t xml:space="preserve">21</x:t>
        </x:is>
      </x:c>
      <x:c r="N103" s="2" t="inlineStr">
        <x:is>
          <x:t xml:space="preserve">15</x:t>
        </x:is>
      </x:c>
      <x:c r="O103" s="2" t="inlineStr">
        <x:is>
          <x:t xml:space="preserve">15</x:t>
        </x:is>
      </x:c>
      <x:c r="P103" s="2" t="inlineStr">
        <x:is>
          <x:t xml:space="preserve">27</x:t>
        </x:is>
      </x:c>
      <x:c r="Q103" s="2" t="inlineStr">
        <x:is>
          <x:t xml:space="preserve">12</x:t>
        </x:is>
      </x:c>
      <x:c r="R103" s="2" t="inlineStr">
        <x:is>
          <x:t xml:space="preserve">25</x:t>
        </x:is>
      </x:c>
      <x:c r="S103" s="2" t="inlineStr">
        <x:is>
          <x:t xml:space="preserve">20</x:t>
        </x:is>
      </x:c>
      <x:c r="T103" s="2" t="inlineStr">
        <x:is>
          <x:t xml:space="preserve">17</x:t>
        </x:is>
      </x:c>
      <x:c r="U103" s="2" t="inlineStr">
        <x:is>
          <x:t xml:space="preserve">22</x:t>
        </x:is>
      </x:c>
      <x:c r="V103" s="2" t="inlineStr">
        <x:is>
          <x:t xml:space="preserve">DEX +8, WIS +10</x:t>
        </x:is>
      </x:c>
      <x:c r="W103" s="2" t="inlineStr">
        <x:is>
          <x:t xml:space="preserve">Deception +13, Perception +17, Persuasion +13, Stealth +8</x:t>
        </x:is>
      </x:c>
      <x:c r="X103" s="2" t="inlineStr">
        <x:is>
          <x:t xml:space="preserve">Blindsight 60 ft., Darkvision 120 ft.; Passive Perception 27</x:t>
        </x:is>
      </x:c>
      <x:c r="Y103" s="2" t="inlineStr">
        <x:is>
          <x:t xml:space="preserve">Common, Draconic</x:t>
        </x:is>
      </x:c>
      <x:c r="Z103" s="2" t="inlineStr">
        <x:is>
          <x:t xml:space="preserve">Amphibious. The dragon can breathe air and water. Legendary Resistance (4/Day, or 5/Day in Lair). If the dragon fails a saving throw, it can choose to suc- ceed instead.</x:t>
        </x:is>
      </x:c>
      <x:c r="AA103" s="2" t="inlineStr">
        <x:is>
          <x:t xml:space="preserve">Multiattack. The dragon makes three Rend attacks. It can replace one attack with a use of Spellcasting to cast Mind Spike (level 5 version). Rend. Melee Attack Roll: +15, reach 15 ft. Hit: 17 (2d8 + 8) Slashing damage plus 10 (3d6) Poison damage. Poison Breath (Recharge 5-6). Constitution Saving Throw: DC 22, each creature in a 90-foot Cone. Fail- ure: 77 (22d6) Poison damage. Success: Half damage. Spellcasting. The dragon casts one of the following spells, requiring no Material components and using Charisma as the spellcasting ability (spell save DC 21): At Will: Detect Magic, Mind Spike (level 5 version) 1/Day Each: Geas, Modify Memory</x:t>
        </x:is>
      </x:c>
      <x:c r="AB103" s="2" t="n"/>
      <x:c r="AC103" s="2" t="n"/>
      <x:c r="AD103" s="2" t="inlineStr">
        <x:is>
          <x:t xml:space="preserve">Legendary Action Uses: 3 (4 in Lair). Immediately after another creature’s turn, the dragon can expend a use to take one of the following actions. The dragon regains all expended uses at the start of each of its turns. Mind Invasion. The dragon uses Spellcasting to cast Mind Spike (level 5 version). Noxious Miasma. Constitution Saving Throw: DC 21, each creature in a 30-foot-radius Sphere centered on a point the dragon can see within 90 feet. Failure: 17 (5d6) Poison damage, and the target takes a -2 penalty to AC until the end of its next turn. Failure or Success: The dragon can’t take this action again until the start of its next turn. Pounce. The dragon moves up to half its Speed, and it makes one Rend attack. Green Hag</x:t>
        </x:is>
      </x:c>
      <x:c r="AE103" s="2" t="inlineStr">
        <x:is>
          <x:t xml:space="preserve">Includes Spellcasting; see Traits/Actions text</x:t>
        </x:is>
      </x:c>
      <x:c r="AF103" s="2" t="inlineStr">
        <x:is>
          <x:t xml:space="preserve">Imported from SRD 5.2.1 p. 294 Index of Stat Blocks</x:t>
        </x:is>
      </x:c>
      <x:c r="AG103" s="2" t="inlineStr">
        <x:is>
          <x:t xml:space="preserve">https://www.dndbeyond.com/srd</x:t>
        </x:is>
      </x:c>
    </x:row>
    <x:row r="104" ht="18" customHeight="1">
      <x:c r="A104" s="2" t="inlineStr">
        <x:is>
          <x:t xml:space="preserve">Green Hag</x:t>
        </x:is>
      </x:c>
      <x:c r="B104" s="2" t="inlineStr">
        <x:is>
          <x:t xml:space="preserve">SRD 5.2.1</x:t>
        </x:is>
      </x:c>
      <x:c r="C104" s="2" t="inlineStr">
        <x:is>
          <x:t xml:space="preserve">Fey</x:t>
        </x:is>
      </x:c>
      <x:c r="D104" s="2" t="inlineStr">
        <x:is>
          <x:t xml:space="preserve">Medium</x:t>
        </x:is>
      </x:c>
      <x:c r="E104" s="2" t="inlineStr">
        <x:is>
          <x:t xml:space="preserve">Neutral Evil</x:t>
        </x:is>
      </x:c>
      <x:c r="F104" s="2" t="inlineStr">
        <x:is>
          <x:t xml:space="preserve">3</x:t>
        </x:is>
      </x:c>
      <x:c r="G104" s="2" t="inlineStr">
        <x:is>
          <x:t xml:space="preserve">700</x:t>
        </x:is>
      </x:c>
      <x:c r="H104" s="2" t="inlineStr">
        <x:is>
          <x:t xml:space="preserve">17</x:t>
        </x:is>
      </x:c>
      <x:c r="I104" s="2" t="inlineStr">
        <x:is>
          <x:t xml:space="preserve">82</x:t>
        </x:is>
      </x:c>
      <x:c r="J104" s="2" t="inlineStr">
        <x:is>
          <x:t xml:space="preserve">30 ft., Swim 30 ft.</x:t>
        </x:is>
      </x:c>
      <x:c r="K104" s="2" t="inlineStr">
        <x:is>
          <x:t xml:space="preserve">2</x:t>
        </x:is>
      </x:c>
      <x:c r="L104" s="2" t="inlineStr">
        <x:is>
          <x:t xml:space="preserve">14</x:t>
        </x:is>
      </x:c>
      <x:c r="M104" s="2" t="n"/>
      <x:c r="N104" s="2" t="inlineStr">
        <x:is>
          <x:t xml:space="preserve">6</x:t>
        </x:is>
      </x:c>
      <x:c r="O104" s="2" t="inlineStr">
        <x:is>
          <x:t xml:space="preserve">1</x:t>
        </x:is>
      </x:c>
      <x:c r="P104" s="2" t="inlineStr">
        <x:is>
          <x:t xml:space="preserve">18</x:t>
        </x:is>
      </x:c>
      <x:c r="Q104" s="2" t="inlineStr">
        <x:is>
          <x:t xml:space="preserve">12</x:t>
        </x:is>
      </x:c>
      <x:c r="R104" s="2" t="inlineStr">
        <x:is>
          <x:t xml:space="preserve">16</x:t>
        </x:is>
      </x:c>
      <x:c r="S104" s="2" t="inlineStr">
        <x:is>
          <x:t xml:space="preserve">13</x:t>
        </x:is>
      </x:c>
      <x:c r="T104" s="2" t="inlineStr">
        <x:is>
          <x:t xml:space="preserve">14</x:t>
        </x:is>
      </x:c>
      <x:c r="U104" s="2" t="inlineStr">
        <x:is>
          <x:t xml:space="preserve">14</x:t>
        </x:is>
      </x:c>
      <x:c r="V104" s="2" t="n"/>
      <x:c r="W104" s="2" t="inlineStr">
        <x:is>
          <x:t xml:space="preserve">Arcana +5, Deception +4, Perception +4, Stealth +3</x:t>
        </x:is>
      </x:c>
      <x:c r="X104" s="2" t="inlineStr">
        <x:is>
          <x:t xml:space="preserve">Darkvision 60 ft.; Passive Perception 14</x:t>
        </x:is>
      </x:c>
      <x:c r="Y104" s="2" t="inlineStr">
        <x:is>
          <x:t xml:space="preserve">Common, Elvish, Sylvan</x:t>
        </x:is>
      </x:c>
      <x:c r="Z104" s="2" t="inlineStr">
        <x:is>
          <x:t xml:space="preserve">Amphibious. The hag can breathe air and water. Coven Magic. While within 30 feet of at least two hag allies, the hag can cast one of the following spells, requiring no Material components, using the spell’s normal casting time, and using Intelligence as the spell- casting ability (spell save DC 11): Augury, Find Familiar, Identify, Locate Object, Scrying, or Unseen Servant. The hag must finish a Long Rest before using this trait to cast that spell again. Mimicry. The hag can mimic animal sounds and hu- manoid voices. A creature that hears the sounds can tell they are imitations only with a successful DC 14 Wisdom (Insight) check.</x:t>
        </x:is>
      </x:c>
      <x:c r="AA104" s="2" t="inlineStr">
        <x:is>
          <x:t xml:space="preserve">Multiattack. The hag makes two Claw attacks. Claw. Melee Attack Roll: +6, reach 5 ft. Hit: 8 (1d8 + 4) Slashing damage plus 3 (1d6) Poison damage. Spellcasting. The hag casts one of the following spells, requiring no Material components and using Wisdom as the spellcasting ability (spell save DC 12, +4 to hit with spell attacks): At Will: Dancing Lights, Disguise Self (24-hour du- ration), Invisibility (self only, and the hag leaves no tracks while Invisible), Minor Illusion, Ray of Sickness (level 3 version) Grick</x:t>
        </x:is>
      </x:c>
      <x:c r="AB104" s="2" t="n"/>
      <x:c r="AC104" s="2" t="n"/>
      <x:c r="AD104" s="2" t="n"/>
      <x:c r="AE104" s="2" t="inlineStr">
        <x:is>
          <x:t xml:space="preserve">Includes Spellcasting; see Traits/Actions text</x:t>
        </x:is>
      </x:c>
      <x:c r="AF104" s="2" t="inlineStr">
        <x:is>
          <x:t xml:space="preserve">Imported from SRD 5.2.1 p. 295 Index of Stat Blocks</x:t>
        </x:is>
      </x:c>
      <x:c r="AG104" s="2" t="inlineStr">
        <x:is>
          <x:t xml:space="preserve">https://www.dndbeyond.com/srd</x:t>
        </x:is>
      </x:c>
    </x:row>
    <x:row r="105" ht="18" customHeight="1">
      <x:c r="A105" s="2" t="inlineStr">
        <x:is>
          <x:t xml:space="preserve">Grick</x:t>
        </x:is>
      </x:c>
      <x:c r="B105" s="2" t="inlineStr">
        <x:is>
          <x:t xml:space="preserve">SRD 5.2.1</x:t>
        </x:is>
      </x:c>
      <x:c r="C105" s="2" t="inlineStr">
        <x:is>
          <x:t xml:space="preserve">Aberration</x:t>
        </x:is>
      </x:c>
      <x:c r="D105" s="2" t="inlineStr">
        <x:is>
          <x:t xml:space="preserve">Medium</x:t>
        </x:is>
      </x:c>
      <x:c r="E105" s="2" t="inlineStr">
        <x:is>
          <x:t xml:space="preserve">Unaligned</x:t>
        </x:is>
      </x:c>
      <x:c r="F105" s="2" t="inlineStr">
        <x:is>
          <x:t xml:space="preserve">2</x:t>
        </x:is>
      </x:c>
      <x:c r="G105" s="2" t="inlineStr">
        <x:is>
          <x:t xml:space="preserve">450</x:t>
        </x:is>
      </x:c>
      <x:c r="H105" s="2" t="inlineStr">
        <x:is>
          <x:t xml:space="preserve">14</x:t>
        </x:is>
      </x:c>
      <x:c r="I105" s="2" t="inlineStr">
        <x:is>
          <x:t xml:space="preserve">54</x:t>
        </x:is>
      </x:c>
      <x:c r="J105" s="2" t="inlineStr">
        <x:is>
          <x:t xml:space="preserve">30 ft., Climb 30 ft.</x:t>
        </x:is>
      </x:c>
      <x:c r="K105" s="2" t="inlineStr">
        <x:is>
          <x:t xml:space="preserve">2</x:t>
        </x:is>
      </x:c>
      <x:c r="L105" s="2" t="inlineStr">
        <x:is>
          <x:t xml:space="preserve">12</x:t>
        </x:is>
      </x:c>
      <x:c r="M105" s="2" t="n"/>
      <x:c r="N105" s="2" t="inlineStr">
        <x:is>
          <x:t xml:space="preserve">4</x:t>
        </x:is>
      </x:c>
      <x:c r="O105" s="2" t="inlineStr">
        <x:is>
          <x:t xml:space="preserve">2</x:t>
        </x:is>
      </x:c>
      <x:c r="P105" s="2" t="inlineStr">
        <x:is>
          <x:t xml:space="preserve">14</x:t>
        </x:is>
      </x:c>
      <x:c r="Q105" s="2" t="inlineStr">
        <x:is>
          <x:t xml:space="preserve">14</x:t>
        </x:is>
      </x:c>
      <x:c r="R105" s="2" t="inlineStr">
        <x:is>
          <x:t xml:space="preserve">11</x:t>
        </x:is>
      </x:c>
      <x:c r="S105" s="2" t="inlineStr">
        <x:is>
          <x:t xml:space="preserve">3</x:t>
        </x:is>
      </x:c>
      <x:c r="T105" s="2" t="inlineStr">
        <x:is>
          <x:t xml:space="preserve">14</x:t>
        </x:is>
      </x:c>
      <x:c r="U105" s="2" t="inlineStr">
        <x:is>
          <x:t xml:space="preserve">5</x:t>
        </x:is>
      </x:c>
      <x:c r="V105" s="2" t="n"/>
      <x:c r="W105" s="2" t="inlineStr">
        <x:is>
          <x:t xml:space="preserve">Stealth +4</x:t>
        </x:is>
      </x:c>
      <x:c r="X105" s="2" t="inlineStr">
        <x:is>
          <x:t xml:space="preserve">Darkvision 60 ft.; Passive Perception 12</x:t>
        </x:is>
      </x:c>
      <x:c r="Y105" s="2" t="inlineStr">
        <x:is>
          <x:t xml:space="preserve">None</x:t>
        </x:is>
      </x:c>
      <x:c r="Z105" s="2" t="n"/>
      <x:c r="AA105" s="2" t="inlineStr">
        <x:is>
          <x:t xml:space="preserve">Multiattack. The grick makes one Beak attack and one Tentacles attack. Beak. Melee Attack Roll: +4, reach 5 ft. Hit: 9 (2d6 + 2) Piercing damage. Tentacles. Melee Attack Roll: +4, reach 5 ft. Hit: 7 (1d10 + 2) Slashing damage. If the target is a Medium or smaller creature, it has the Grappled condition (escape DC 12) from all four tentacles. Griffon</x:t>
        </x:is>
      </x:c>
      <x:c r="AB105" s="2" t="n"/>
      <x:c r="AC105" s="2" t="n"/>
      <x:c r="AD105" s="2" t="n"/>
      <x:c r="AE105" s="2" t="n"/>
      <x:c r="AF105" s="2" t="inlineStr">
        <x:is>
          <x:t xml:space="preserve">Imported from SRD 5.2.1 p. 295 Index of Stat Blocks</x:t>
        </x:is>
      </x:c>
      <x:c r="AG105" s="2" t="inlineStr">
        <x:is>
          <x:t xml:space="preserve">https://www.dndbeyond.com/srd</x:t>
        </x:is>
      </x:c>
    </x:row>
    <x:row r="106" ht="18" customHeight="1">
      <x:c r="A106" s="2" t="inlineStr">
        <x:is>
          <x:t xml:space="preserve">Griffon</x:t>
        </x:is>
      </x:c>
      <x:c r="B106" s="2" t="inlineStr">
        <x:is>
          <x:t xml:space="preserve">SRD 5.2.1</x:t>
        </x:is>
      </x:c>
      <x:c r="C106" s="2" t="inlineStr">
        <x:is>
          <x:t xml:space="preserve">Monstrosity</x:t>
        </x:is>
      </x:c>
      <x:c r="D106" s="2" t="inlineStr">
        <x:is>
          <x:t xml:space="preserve">Large</x:t>
        </x:is>
      </x:c>
      <x:c r="E106" s="2" t="inlineStr">
        <x:is>
          <x:t xml:space="preserve">Unaligned</x:t>
        </x:is>
      </x:c>
      <x:c r="F106" s="2" t="inlineStr">
        <x:is>
          <x:t xml:space="preserve">2</x:t>
        </x:is>
      </x:c>
      <x:c r="G106" s="2" t="inlineStr">
        <x:is>
          <x:t xml:space="preserve">450</x:t>
        </x:is>
      </x:c>
      <x:c r="H106" s="2" t="inlineStr">
        <x:is>
          <x:t xml:space="preserve">12</x:t>
        </x:is>
      </x:c>
      <x:c r="I106" s="2" t="inlineStr">
        <x:is>
          <x:t xml:space="preserve">59</x:t>
        </x:is>
      </x:c>
      <x:c r="J106" s="2" t="inlineStr">
        <x:is>
          <x:t xml:space="preserve">30 ft., Fly 80 ft.</x:t>
        </x:is>
      </x:c>
      <x:c r="K106" s="2" t="inlineStr">
        <x:is>
          <x:t xml:space="preserve">2</x:t>
        </x:is>
      </x:c>
      <x:c r="L106" s="2" t="inlineStr">
        <x:is>
          <x:t xml:space="preserve">15</x:t>
        </x:is>
      </x:c>
      <x:c r="M106" s="2" t="n"/>
      <x:c r="N106" s="2" t="inlineStr">
        <x:is>
          <x:t xml:space="preserve">6</x:t>
        </x:is>
      </x:c>
      <x:c r="O106" s="2" t="inlineStr">
        <x:is>
          <x:t xml:space="preserve">2</x:t>
        </x:is>
      </x:c>
      <x:c r="P106" s="2" t="inlineStr">
        <x:is>
          <x:t xml:space="preserve">18</x:t>
        </x:is>
      </x:c>
      <x:c r="Q106" s="2" t="inlineStr">
        <x:is>
          <x:t xml:space="preserve">15</x:t>
        </x:is>
      </x:c>
      <x:c r="R106" s="2" t="inlineStr">
        <x:is>
          <x:t xml:space="preserve">16</x:t>
        </x:is>
      </x:c>
      <x:c r="S106" s="2" t="inlineStr">
        <x:is>
          <x:t xml:space="preserve">2</x:t>
        </x:is>
      </x:c>
      <x:c r="T106" s="2" t="inlineStr">
        <x:is>
          <x:t xml:space="preserve">13</x:t>
        </x:is>
      </x:c>
      <x:c r="U106" s="2" t="inlineStr">
        <x:is>
          <x:t xml:space="preserve">8</x:t>
        </x:is>
      </x:c>
      <x:c r="V106" s="2" t="n"/>
      <x:c r="W106" s="2" t="inlineStr">
        <x:is>
          <x:t xml:space="preserve">Perception +5</x:t>
        </x:is>
      </x:c>
      <x:c r="X106" s="2" t="inlineStr">
        <x:is>
          <x:t xml:space="preserve">Darkvision 60 ft.; Passive Perception 15</x:t>
        </x:is>
      </x:c>
      <x:c r="Y106" s="2" t="inlineStr">
        <x:is>
          <x:t xml:space="preserve">None</x:t>
        </x:is>
      </x:c>
      <x:c r="Z106" s="2" t="n"/>
      <x:c r="AA106" s="2" t="inlineStr">
        <x:is>
          <x:t xml:space="preserve">Multiattack. The griffon makes two Rend attacks. Rend. Melee Attack Roll: +6, reach 5 ft. Hit: 8 (1d8 + 4) Piercing damage. If the target is a Medium or smaller creature, it has the Grappled condition (escape DC 14) from both of the griffon’s front claws. Grimlock</x:t>
        </x:is>
      </x:c>
      <x:c r="AB106" s="2" t="n"/>
      <x:c r="AC106" s="2" t="n"/>
      <x:c r="AD106" s="2" t="n"/>
      <x:c r="AE106" s="2" t="n"/>
      <x:c r="AF106" s="2" t="inlineStr">
        <x:is>
          <x:t xml:space="preserve">Imported from SRD 5.2.1 p. 295 Index of Stat Blocks</x:t>
        </x:is>
      </x:c>
      <x:c r="AG106" s="2" t="inlineStr">
        <x:is>
          <x:t xml:space="preserve">https://www.dndbeyond.com/srd</x:t>
        </x:is>
      </x:c>
    </x:row>
    <x:row r="107" ht="18" customHeight="1">
      <x:c r="A107" s="2" t="inlineStr">
        <x:is>
          <x:t xml:space="preserve">Grimlock</x:t>
        </x:is>
      </x:c>
      <x:c r="B107" s="2" t="inlineStr">
        <x:is>
          <x:t xml:space="preserve">SRD 5.2.1</x:t>
        </x:is>
      </x:c>
      <x:c r="C107" s="2" t="inlineStr">
        <x:is>
          <x:t xml:space="preserve">Aberration</x:t>
        </x:is>
      </x:c>
      <x:c r="D107" s="2" t="inlineStr">
        <x:is>
          <x:t xml:space="preserve">Medium</x:t>
        </x:is>
      </x:c>
      <x:c r="E107" s="2" t="inlineStr">
        <x:is>
          <x:t xml:space="preserve">Neutral Evil</x:t>
        </x:is>
      </x:c>
      <x:c r="F107" s="2" t="inlineStr">
        <x:is>
          <x:t xml:space="preserve">1/4</x:t>
        </x:is>
      </x:c>
      <x:c r="G107" s="2" t="inlineStr">
        <x:is>
          <x:t xml:space="preserve">50</x:t>
        </x:is>
      </x:c>
      <x:c r="H107" s="2" t="inlineStr">
        <x:is>
          <x:t xml:space="preserve">11</x:t>
        </x:is>
      </x:c>
      <x:c r="I107" s="2" t="inlineStr">
        <x:is>
          <x:t xml:space="preserve">11</x:t>
        </x:is>
      </x:c>
      <x:c r="J107" s="2" t="inlineStr">
        <x:is>
          <x:t xml:space="preserve">30 ft., Climb 30 ft.</x:t>
        </x:is>
      </x:c>
      <x:c r="K107" s="2" t="inlineStr">
        <x:is>
          <x:t xml:space="preserve">2</x:t>
        </x:is>
      </x:c>
      <x:c r="L107" s="2" t="inlineStr">
        <x:is>
          <x:t xml:space="preserve">13</x:t>
        </x:is>
      </x:c>
      <x:c r="M107" s="2" t="n"/>
      <x:c r="N107" s="2" t="inlineStr">
        <x:is>
          <x:t xml:space="preserve">5</x:t>
        </x:is>
      </x:c>
      <x:c r="O107" s="2" t="inlineStr">
        <x:is>
          <x:t xml:space="preserve">1</x:t>
        </x:is>
      </x:c>
      <x:c r="P107" s="2" t="inlineStr">
        <x:is>
          <x:t xml:space="preserve">16</x:t>
        </x:is>
      </x:c>
      <x:c r="Q107" s="2" t="inlineStr">
        <x:is>
          <x:t xml:space="preserve">12</x:t>
        </x:is>
      </x:c>
      <x:c r="R107" s="2" t="inlineStr">
        <x:is>
          <x:t xml:space="preserve">12</x:t>
        </x:is>
      </x:c>
      <x:c r="S107" s="2" t="inlineStr">
        <x:is>
          <x:t xml:space="preserve">9</x:t>
        </x:is>
      </x:c>
      <x:c r="T107" s="2" t="inlineStr">
        <x:is>
          <x:t xml:space="preserve">8</x:t>
        </x:is>
      </x:c>
      <x:c r="U107" s="2" t="inlineStr">
        <x:is>
          <x:t xml:space="preserve">6</x:t>
        </x:is>
      </x:c>
      <x:c r="V107" s="2" t="n"/>
      <x:c r="W107" s="2" t="inlineStr">
        <x:is>
          <x:t xml:space="preserve">Athletics +5, Perception +3, Stealth +5</x:t>
        </x:is>
      </x:c>
      <x:c r="X107" s="2" t="inlineStr">
        <x:is>
          <x:t xml:space="preserve">Blindsight 30 ft.; Passive Perception 13</x:t>
        </x:is>
      </x:c>
      <x:c r="Y107" s="2" t="inlineStr">
        <x:is>
          <x:t xml:space="preserve">None</x:t>
        </x:is>
      </x:c>
      <x:c r="Z107" s="2" t="n"/>
      <x:c r="AA107" s="2" t="inlineStr">
        <x:is>
          <x:t xml:space="preserve">Bone Cudgel. Melee Attack Roll: +5, reach 5 ft. Hit: 6 (1d6 + 3) Bludgeoning damage plus 2 (1d4) Psy- chic damage. Guardian Naga</x:t>
        </x:is>
      </x:c>
      <x:c r="AB107" s="2" t="n"/>
      <x:c r="AC107" s="2" t="n"/>
      <x:c r="AD107" s="2" t="n"/>
      <x:c r="AE107" s="2" t="n"/>
      <x:c r="AF107" s="2" t="inlineStr">
        <x:is>
          <x:t xml:space="preserve">Imported from SRD 5.2.1 p. 296 Index of Stat Blocks</x:t>
        </x:is>
      </x:c>
      <x:c r="AG107" s="2" t="inlineStr">
        <x:is>
          <x:t xml:space="preserve">https://www.dndbeyond.com/srd</x:t>
        </x:is>
      </x:c>
    </x:row>
    <x:row r="108" ht="18" customHeight="1">
      <x:c r="A108" s="2" t="inlineStr">
        <x:is>
          <x:t xml:space="preserve">Guardian Naga</x:t>
        </x:is>
      </x:c>
      <x:c r="B108" s="2" t="inlineStr">
        <x:is>
          <x:t xml:space="preserve">SRD 5.2.1</x:t>
        </x:is>
      </x:c>
      <x:c r="C108" s="2" t="inlineStr">
        <x:is>
          <x:t xml:space="preserve">Celestial</x:t>
        </x:is>
      </x:c>
      <x:c r="D108" s="2" t="inlineStr">
        <x:is>
          <x:t xml:space="preserve">Large</x:t>
        </x:is>
      </x:c>
      <x:c r="E108" s="2" t="inlineStr">
        <x:is>
          <x:t xml:space="preserve">Lawful Good</x:t>
        </x:is>
      </x:c>
      <x:c r="F108" s="2" t="inlineStr">
        <x:is>
          <x:t xml:space="preserve">10</x:t>
        </x:is>
      </x:c>
      <x:c r="G108" s="2" t="inlineStr">
        <x:is>
          <x:t xml:space="preserve">5900</x:t>
        </x:is>
      </x:c>
      <x:c r="H108" s="2" t="inlineStr">
        <x:is>
          <x:t xml:space="preserve">18</x:t>
        </x:is>
      </x:c>
      <x:c r="I108" s="2" t="inlineStr">
        <x:is>
          <x:t xml:space="preserve">136</x:t>
        </x:is>
      </x:c>
      <x:c r="J108" s="2" t="inlineStr">
        <x:is>
          <x:t xml:space="preserve">40 ft., Climb 40 ft., Swim 40 ft.</x:t>
        </x:is>
      </x:c>
      <x:c r="K108" s="2" t="inlineStr">
        <x:is>
          <x:t xml:space="preserve">4</x:t>
        </x:is>
      </x:c>
      <x:c r="L108" s="2" t="inlineStr">
        <x:is>
          <x:t xml:space="preserve">14</x:t>
        </x:is>
      </x:c>
      <x:c r="M108" s="2" t="inlineStr">
        <x:is>
          <x:t xml:space="preserve">16</x:t>
        </x:is>
      </x:c>
      <x:c r="N108" s="2" t="inlineStr">
        <x:is>
          <x:t xml:space="preserve">8</x:t>
        </x:is>
      </x:c>
      <x:c r="O108" s="2" t="inlineStr">
        <x:is>
          <x:t xml:space="preserve">4</x:t>
        </x:is>
      </x:c>
      <x:c r="P108" s="2" t="inlineStr">
        <x:is>
          <x:t xml:space="preserve">19</x:t>
        </x:is>
      </x:c>
      <x:c r="Q108" s="2" t="inlineStr">
        <x:is>
          <x:t xml:space="preserve">18</x:t>
        </x:is>
      </x:c>
      <x:c r="R108" s="2" t="inlineStr">
        <x:is>
          <x:t xml:space="preserve">16</x:t>
        </x:is>
      </x:c>
      <x:c r="S108" s="2" t="inlineStr">
        <x:is>
          <x:t xml:space="preserve">16</x:t>
        </x:is>
      </x:c>
      <x:c r="T108" s="2" t="inlineStr">
        <x:is>
          <x:t xml:space="preserve">19</x:t>
        </x:is>
      </x:c>
      <x:c r="U108" s="2" t="inlineStr">
        <x:is>
          <x:t xml:space="preserve">18</x:t>
        </x:is>
      </x:c>
      <x:c r="V108" s="2" t="inlineStr">
        <x:is>
          <x:t xml:space="preserve">DEX +8, CON +7, INT +7, WIS +8, CHA +8</x:t>
        </x:is>
      </x:c>
      <x:c r="W108" s="2" t="inlineStr">
        <x:is>
          <x:t xml:space="preserve">Arcana +11, History +11, Religion +11</x:t>
        </x:is>
      </x:c>
      <x:c r="X108" s="2" t="inlineStr">
        <x:is>
          <x:t xml:space="preserve">Darkvision 60 ft.; Passive Perception 14</x:t>
        </x:is>
      </x:c>
      <x:c r="Y108" s="2" t="inlineStr">
        <x:is>
          <x:t xml:space="preserve">Celestial, Common</x:t>
        </x:is>
      </x:c>
      <x:c r="Z108" s="2" t="inlineStr">
        <x:is>
          <x:t xml:space="preserve">Celestial Restoration. If the naga dies, it returns to life in 1d6 days and regains all its Hit Points unless Dispel Evil and Good is cast on its remains.</x:t>
        </x:is>
      </x:c>
      <x:c r="AA108" s="2" t="inlineStr">
        <x:is>
          <x:t xml:space="preserve">Multiattack. The naga makes two Bite attacks. It can replace any attack with a use of Poisonous Spittle. Bite. Melee Attack Roll: +8, reach 10 ft. Hit: 17 (2d12 + 4) Piercing damage plus 22 (4d10) Poison damage. Poisonous Spittle. Constitution Saving Throw: DC 16, one creature the naga can see within 60 feet. Failure: 31 (7d8) Poison damage, and the target has the Blinded condition until the start of the naga’s next turn. Success: Half damage only. Spellcasting. The naga casts one of the following spells, requiring no Somatic or Material components and using Wisdom as the spellcasting ability (spell save DC 16): At Will: Thaumaturgy 1/Day Each: Clairvoyance, Cure Wounds (level 6 ver- sion), Flame Strike (level 6 version), Geas, True Seeing Guards</x:t>
        </x:is>
      </x:c>
      <x:c r="AB108" s="2" t="n"/>
      <x:c r="AC108" s="2" t="n"/>
      <x:c r="AD108" s="2" t="n"/>
      <x:c r="AE108" s="2" t="inlineStr">
        <x:is>
          <x:t xml:space="preserve">Includes Spellcasting; see Traits/Actions text</x:t>
        </x:is>
      </x:c>
      <x:c r="AF108" s="2" t="inlineStr">
        <x:is>
          <x:t xml:space="preserve">Imported from SRD 5.2.1 p. 296 Index of Stat Blocks</x:t>
        </x:is>
      </x:c>
      <x:c r="AG108" s="2" t="inlineStr">
        <x:is>
          <x:t xml:space="preserve">https://www.dndbeyond.com/srd</x:t>
        </x:is>
      </x:c>
    </x:row>
    <x:row r="109" ht="18" customHeight="1">
      <x:c r="A109" s="2" t="inlineStr">
        <x:is>
          <x:t xml:space="preserve">Guard</x:t>
        </x:is>
      </x:c>
      <x:c r="B109" s="2" t="inlineStr">
        <x:is>
          <x:t xml:space="preserve">SRD 5.2.1</x:t>
        </x:is>
      </x:c>
      <x:c r="C109" s="2" t="inlineStr">
        <x:is>
          <x:t xml:space="preserve">Humanoid</x:t>
        </x:is>
      </x:c>
      <x:c r="D109" s="2" t="inlineStr">
        <x:is>
          <x:t xml:space="preserve">Medium or Small</x:t>
        </x:is>
      </x:c>
      <x:c r="E109" s="2" t="inlineStr">
        <x:is>
          <x:t xml:space="preserve">Neutral</x:t>
        </x:is>
      </x:c>
      <x:c r="F109" s="2" t="inlineStr">
        <x:is>
          <x:t xml:space="preserve">1/8</x:t>
        </x:is>
      </x:c>
      <x:c r="G109" s="2" t="inlineStr">
        <x:is>
          <x:t xml:space="preserve">25</x:t>
        </x:is>
      </x:c>
      <x:c r="H109" s="2" t="inlineStr">
        <x:is>
          <x:t xml:space="preserve">16</x:t>
        </x:is>
      </x:c>
      <x:c r="I109" s="2" t="inlineStr">
        <x:is>
          <x:t xml:space="preserve">11</x:t>
        </x:is>
      </x:c>
      <x:c r="J109" s="2" t="inlineStr">
        <x:is>
          <x:t xml:space="preserve">30 ft.</x:t>
        </x:is>
      </x:c>
      <x:c r="K109" s="2" t="inlineStr">
        <x:is>
          <x:t xml:space="preserve">2</x:t>
        </x:is>
      </x:c>
      <x:c r="L109" s="2" t="inlineStr">
        <x:is>
          <x:t xml:space="preserve">12</x:t>
        </x:is>
      </x:c>
      <x:c r="M109" s="2" t="n"/>
      <x:c r="N109" s="2" t="inlineStr">
        <x:is>
          <x:t xml:space="preserve">3</x:t>
        </x:is>
      </x:c>
      <x:c r="O109" s="2" t="inlineStr">
        <x:is>
          <x:t xml:space="preserve">1</x:t>
        </x:is>
      </x:c>
      <x:c r="P109" s="2" t="inlineStr">
        <x:is>
          <x:t xml:space="preserve">13</x:t>
        </x:is>
      </x:c>
      <x:c r="Q109" s="2" t="inlineStr">
        <x:is>
          <x:t xml:space="preserve">12</x:t>
        </x:is>
      </x:c>
      <x:c r="R109" s="2" t="inlineStr">
        <x:is>
          <x:t xml:space="preserve">12</x:t>
        </x:is>
      </x:c>
      <x:c r="S109" s="2" t="inlineStr">
        <x:is>
          <x:t xml:space="preserve">10</x:t>
        </x:is>
      </x:c>
      <x:c r="T109" s="2" t="inlineStr">
        <x:is>
          <x:t xml:space="preserve">11</x:t>
        </x:is>
      </x:c>
      <x:c r="U109" s="2" t="inlineStr">
        <x:is>
          <x:t xml:space="preserve">10</x:t>
        </x:is>
      </x:c>
      <x:c r="V109" s="2" t="n"/>
      <x:c r="W109" s="2" t="inlineStr">
        <x:is>
          <x:t xml:space="preserve">Perception +2</x:t>
        </x:is>
      </x:c>
      <x:c r="X109" s="2" t="inlineStr">
        <x:is>
          <x:t xml:space="preserve">Passive Perception 12</x:t>
        </x:is>
      </x:c>
      <x:c r="Y109" s="2" t="inlineStr">
        <x:is>
          <x:t xml:space="preserve">Common</x:t>
        </x:is>
      </x:c>
      <x:c r="Z109" s="2" t="n"/>
      <x:c r="AA109" s="2" t="inlineStr">
        <x:is>
          <x:t xml:space="preserve">Spear. Melee or Ranged Attack Roll: +3, reach 5 ft. or range 20/60 ft. Hit: 4 (1d6 + 1) Piercing damage.</x:t>
        </x:is>
      </x:c>
      <x:c r="AB109" s="2" t="n"/>
      <x:c r="AC109" s="2" t="n"/>
      <x:c r="AD109" s="2" t="n"/>
      <x:c r="AE109" s="2" t="n"/>
      <x:c r="AF109" s="2" t="inlineStr">
        <x:is>
          <x:t xml:space="preserve">Imported from SRD 5.2.1 p. 296 Index of Stat Blocks</x:t>
        </x:is>
      </x:c>
      <x:c r="AG109" s="2" t="inlineStr">
        <x:is>
          <x:t xml:space="preserve">https://www.dndbeyond.com/srd</x:t>
        </x:is>
      </x:c>
    </x:row>
    <x:row r="110" ht="18" customHeight="1">
      <x:c r="A110" s="2" t="inlineStr">
        <x:is>
          <x:t xml:space="preserve">Guard Captain</x:t>
        </x:is>
      </x:c>
      <x:c r="B110" s="2" t="inlineStr">
        <x:is>
          <x:t xml:space="preserve">SRD 5.2.1</x:t>
        </x:is>
      </x:c>
      <x:c r="C110" s="2" t="inlineStr">
        <x:is>
          <x:t xml:space="preserve">Humanoid</x:t>
        </x:is>
      </x:c>
      <x:c r="D110" s="2" t="inlineStr">
        <x:is>
          <x:t xml:space="preserve">Medium or Small</x:t>
        </x:is>
      </x:c>
      <x:c r="E110" s="2" t="inlineStr">
        <x:is>
          <x:t xml:space="preserve">Neutral</x:t>
        </x:is>
      </x:c>
      <x:c r="F110" s="2" t="inlineStr">
        <x:is>
          <x:t xml:space="preserve">4</x:t>
        </x:is>
      </x:c>
      <x:c r="G110" s="2" t="inlineStr">
        <x:is>
          <x:t xml:space="preserve">1100</x:t>
        </x:is>
      </x:c>
      <x:c r="H110" s="2" t="inlineStr">
        <x:is>
          <x:t xml:space="preserve">18</x:t>
        </x:is>
      </x:c>
      <x:c r="I110" s="2" t="inlineStr">
        <x:is>
          <x:t xml:space="preserve">75</x:t>
        </x:is>
      </x:c>
      <x:c r="J110" s="2" t="inlineStr">
        <x:is>
          <x:t xml:space="preserve">30 ft.</x:t>
        </x:is>
      </x:c>
      <x:c r="K110" s="2" t="inlineStr">
        <x:is>
          <x:t xml:space="preserve">2</x:t>
        </x:is>
      </x:c>
      <x:c r="L110" s="2" t="inlineStr">
        <x:is>
          <x:t xml:space="preserve">14</x:t>
        </x:is>
      </x:c>
      <x:c r="M110" s="2" t="n"/>
      <x:c r="N110" s="2" t="inlineStr">
        <x:is>
          <x:t xml:space="preserve">6</x:t>
        </x:is>
      </x:c>
      <x:c r="O110" s="2" t="inlineStr">
        <x:is>
          <x:t xml:space="preserve">4</x:t>
        </x:is>
      </x:c>
      <x:c r="P110" s="2" t="inlineStr">
        <x:is>
          <x:t xml:space="preserve">18</x:t>
        </x:is>
      </x:c>
      <x:c r="Q110" s="2" t="inlineStr">
        <x:is>
          <x:t xml:space="preserve">14</x:t>
        </x:is>
      </x:c>
      <x:c r="R110" s="2" t="inlineStr">
        <x:is>
          <x:t xml:space="preserve">16</x:t>
        </x:is>
      </x:c>
      <x:c r="S110" s="2" t="inlineStr">
        <x:is>
          <x:t xml:space="preserve">12</x:t>
        </x:is>
      </x:c>
      <x:c r="T110" s="2" t="inlineStr">
        <x:is>
          <x:t xml:space="preserve">14</x:t>
        </x:is>
      </x:c>
      <x:c r="U110" s="2" t="inlineStr">
        <x:is>
          <x:t xml:space="preserve">13</x:t>
        </x:is>
      </x:c>
      <x:c r="V110" s="2" t="n"/>
      <x:c r="W110" s="2" t="inlineStr">
        <x:is>
          <x:t xml:space="preserve">Athletics +6, Perception +4</x:t>
        </x:is>
      </x:c>
      <x:c r="X110" s="2" t="inlineStr">
        <x:is>
          <x:t xml:space="preserve">Passive Perception 14</x:t>
        </x:is>
      </x:c>
      <x:c r="Y110" s="2" t="inlineStr">
        <x:is>
          <x:t xml:space="preserve">Common</x:t>
        </x:is>
      </x:c>
      <x:c r="Z110" s="2" t="n"/>
      <x:c r="AA110" s="2" t="inlineStr">
        <x:is>
          <x:t xml:space="preserve">Multiattack. The guard makes two attacks, using Javelin or Longsword in any combination. Javelin. Melee or Ranged Attack Roll: +6, reach 5 ft. or range 30/120 ft. Hit: 14 (3d6 + 4) Piercing damage. Longsword. Melee Attack Roll: +6, reach 5 ft. Hit: 15 (2d10 + 4) Slashing damage. Half-Dragon</x:t>
        </x:is>
      </x:c>
      <x:c r="AB110" s="2" t="n"/>
      <x:c r="AC110" s="2" t="n"/>
      <x:c r="AD110" s="2" t="n"/>
      <x:c r="AE110" s="2" t="n"/>
      <x:c r="AF110" s="2" t="inlineStr">
        <x:is>
          <x:t xml:space="preserve">Imported from SRD 5.2.1 p. 296 Index of Stat Blocks</x:t>
        </x:is>
      </x:c>
      <x:c r="AG110" s="2" t="inlineStr">
        <x:is>
          <x:t xml:space="preserve">https://www.dndbeyond.com/srd</x:t>
        </x:is>
      </x:c>
    </x:row>
    <x:row r="111" ht="18" customHeight="1">
      <x:c r="A111" s="2" t="inlineStr">
        <x:is>
          <x:t xml:space="preserve">Half-Dragon</x:t>
        </x:is>
      </x:c>
      <x:c r="B111" s="2" t="inlineStr">
        <x:is>
          <x:t xml:space="preserve">SRD 5.2.1</x:t>
        </x:is>
      </x:c>
      <x:c r="C111" s="2" t="inlineStr">
        <x:is>
          <x:t xml:space="preserve">Dragon</x:t>
        </x:is>
      </x:c>
      <x:c r="D111" s="2" t="inlineStr">
        <x:is>
          <x:t xml:space="preserve">Medium</x:t>
        </x:is>
      </x:c>
      <x:c r="E111" s="2" t="inlineStr">
        <x:is>
          <x:t xml:space="preserve">Neutral</x:t>
        </x:is>
      </x:c>
      <x:c r="F111" s="2" t="inlineStr">
        <x:is>
          <x:t xml:space="preserve">5</x:t>
        </x:is>
      </x:c>
      <x:c r="G111" s="2" t="inlineStr">
        <x:is>
          <x:t xml:space="preserve">1800</x:t>
        </x:is>
      </x:c>
      <x:c r="H111" s="2" t="inlineStr">
        <x:is>
          <x:t xml:space="preserve">18</x:t>
        </x:is>
      </x:c>
      <x:c r="I111" s="2" t="inlineStr">
        <x:is>
          <x:t xml:space="preserve">105</x:t>
        </x:is>
      </x:c>
      <x:c r="J111" s="2" t="inlineStr">
        <x:is>
          <x:t xml:space="preserve">40 ft.</x:t>
        </x:is>
      </x:c>
      <x:c r="K111" s="2" t="inlineStr">
        <x:is>
          <x:t xml:space="preserve">3</x:t>
        </x:is>
      </x:c>
      <x:c r="L111" s="2" t="inlineStr">
        <x:is>
          <x:t xml:space="preserve">15</x:t>
        </x:is>
      </x:c>
      <x:c r="M111" s="2" t="n"/>
      <x:c r="N111" s="2" t="inlineStr">
        <x:is>
          <x:t xml:space="preserve">7</x:t>
        </x:is>
      </x:c>
      <x:c r="O111" s="2" t="inlineStr">
        <x:is>
          <x:t xml:space="preserve">5</x:t>
        </x:is>
      </x:c>
      <x:c r="P111" s="2" t="inlineStr">
        <x:is>
          <x:t xml:space="preserve">19</x:t>
        </x:is>
      </x:c>
      <x:c r="Q111" s="2" t="inlineStr">
        <x:is>
          <x:t xml:space="preserve">14</x:t>
        </x:is>
      </x:c>
      <x:c r="R111" s="2" t="inlineStr">
        <x:is>
          <x:t xml:space="preserve">16</x:t>
        </x:is>
      </x:c>
      <x:c r="S111" s="2" t="inlineStr">
        <x:is>
          <x:t xml:space="preserve">10</x:t>
        </x:is>
      </x:c>
      <x:c r="T111" s="2" t="inlineStr">
        <x:is>
          <x:t xml:space="preserve">15</x:t>
        </x:is>
      </x:c>
      <x:c r="U111" s="2" t="inlineStr">
        <x:is>
          <x:t xml:space="preserve">14</x:t>
        </x:is>
      </x:c>
      <x:c r="V111" s="2" t="inlineStr">
        <x:is>
          <x:t xml:space="preserve">DEX +5, WIS +5</x:t>
        </x:is>
      </x:c>
      <x:c r="W111" s="2" t="inlineStr">
        <x:is>
          <x:t xml:space="preserve">Athletics +7, Perception +5, Stealth +5</x:t>
        </x:is>
      </x:c>
      <x:c r="X111" s="2" t="inlineStr">
        <x:is>
          <x:t xml:space="preserve">Blindsight 10 ft., Darkvision 60 ft.; Passive Perception 15</x:t>
        </x:is>
      </x:c>
      <x:c r="Y111" s="2" t="inlineStr">
        <x:is>
          <x:t xml:space="preserve">Common, Draconic</x:t>
        </x:is>
      </x:c>
      <x:c r="Z111" s="2" t="inlineStr">
        <x:is>
          <x:t xml:space="preserve">Draconic Origin. The half-dragon is related to a type of dragon associated with one of the following damage types (GM’s choice): Acid, Cold, Fire, Lightning, or Poi- son. This choice affects other aspects of the stat block.</x:t>
        </x:is>
      </x:c>
      <x:c r="AA111" s="2" t="inlineStr">
        <x:is>
          <x:t xml:space="preserve">Multiattack. The half-dragon makes two Claw attacks. Claw. Melee Attack Roll: +7, reach 10 ft. Hit: 6 (1d4 + 4) Slashing damage plus 7 (2d6) damage of the type chosen for the Draconic Origin trait. Dragon’s Breath (Recharge 5-6). Dexterity Saving Throw: DC 14, each creature in a 30-foot Cone. Failure: 28 (8d6) damage of the type chosen for the Draconic Origin trait. Success: Half damage.</x:t>
        </x:is>
      </x:c>
      <x:c r="AB111" s="2" t="inlineStr">
        <x:is>
          <x:t xml:space="preserve">Leap. The half-dragon jumps up to 30 feet by spending 10 feet of movement. Harpy</x:t>
        </x:is>
      </x:c>
      <x:c r="AC111" s="2" t="n"/>
      <x:c r="AD111" s="2" t="n"/>
      <x:c r="AE111" s="2" t="n"/>
      <x:c r="AF111" s="2" t="inlineStr">
        <x:is>
          <x:t xml:space="preserve">Imported from SRD 5.2.1 p. 297 Index of Stat Blocks</x:t>
        </x:is>
      </x:c>
      <x:c r="AG111" s="2" t="inlineStr">
        <x:is>
          <x:t xml:space="preserve">https://www.dndbeyond.com/srd</x:t>
        </x:is>
      </x:c>
    </x:row>
    <x:row r="112" ht="18" customHeight="1">
      <x:c r="A112" s="2" t="inlineStr">
        <x:is>
          <x:t xml:space="preserve">Harpy</x:t>
        </x:is>
      </x:c>
      <x:c r="B112" s="2" t="inlineStr">
        <x:is>
          <x:t xml:space="preserve">SRD 5.2.1</x:t>
        </x:is>
      </x:c>
      <x:c r="C112" s="2" t="inlineStr">
        <x:is>
          <x:t xml:space="preserve">Monstrosity</x:t>
        </x:is>
      </x:c>
      <x:c r="D112" s="2" t="inlineStr">
        <x:is>
          <x:t xml:space="preserve">Medium</x:t>
        </x:is>
      </x:c>
      <x:c r="E112" s="2" t="inlineStr">
        <x:is>
          <x:t xml:space="preserve">Chaotic Evil</x:t>
        </x:is>
      </x:c>
      <x:c r="F112" s="2" t="inlineStr">
        <x:is>
          <x:t xml:space="preserve">1</x:t>
        </x:is>
      </x:c>
      <x:c r="G112" s="2" t="inlineStr">
        <x:is>
          <x:t xml:space="preserve">200</x:t>
        </x:is>
      </x:c>
      <x:c r="H112" s="2" t="inlineStr">
        <x:is>
          <x:t xml:space="preserve">11</x:t>
        </x:is>
      </x:c>
      <x:c r="I112" s="2" t="inlineStr">
        <x:is>
          <x:t xml:space="preserve">38</x:t>
        </x:is>
      </x:c>
      <x:c r="J112" s="2" t="inlineStr">
        <x:is>
          <x:t xml:space="preserve">20 ft., Fly 40 ft.</x:t>
        </x:is>
      </x:c>
      <x:c r="K112" s="2" t="inlineStr">
        <x:is>
          <x:t xml:space="preserve">2</x:t>
        </x:is>
      </x:c>
      <x:c r="L112" s="2" t="inlineStr">
        <x:is>
          <x:t xml:space="preserve">10</x:t>
        </x:is>
      </x:c>
      <x:c r="M112" s="2" t="inlineStr">
        <x:is>
          <x:t xml:space="preserve">11</x:t>
        </x:is>
      </x:c>
      <x:c r="N112" s="2" t="inlineStr">
        <x:is>
          <x:t xml:space="preserve">3</x:t>
        </x:is>
      </x:c>
      <x:c r="O112" s="2" t="inlineStr">
        <x:is>
          <x:t xml:space="preserve">1</x:t>
        </x:is>
      </x:c>
      <x:c r="P112" s="2" t="inlineStr">
        <x:is>
          <x:t xml:space="preserve">12</x:t>
        </x:is>
      </x:c>
      <x:c r="Q112" s="2" t="inlineStr">
        <x:is>
          <x:t xml:space="preserve">13</x:t>
        </x:is>
      </x:c>
      <x:c r="R112" s="2" t="inlineStr">
        <x:is>
          <x:t xml:space="preserve">12</x:t>
        </x:is>
      </x:c>
      <x:c r="S112" s="2" t="inlineStr">
        <x:is>
          <x:t xml:space="preserve">7</x:t>
        </x:is>
      </x:c>
      <x:c r="T112" s="2" t="inlineStr">
        <x:is>
          <x:t xml:space="preserve">10</x:t>
        </x:is>
      </x:c>
      <x:c r="U112" s="2" t="inlineStr">
        <x:is>
          <x:t xml:space="preserve">13</x:t>
        </x:is>
      </x:c>
      <x:c r="V112" s="2" t="n"/>
      <x:c r="W112" s="2" t="n"/>
      <x:c r="X112" s="2" t="inlineStr">
        <x:is>
          <x:t xml:space="preserve">Passive Perception 10</x:t>
        </x:is>
      </x:c>
      <x:c r="Y112" s="2" t="inlineStr">
        <x:is>
          <x:t xml:space="preserve">Common</x:t>
        </x:is>
      </x:c>
      <x:c r="Z112" s="2" t="n"/>
      <x:c r="AA112" s="2" t="inlineStr">
        <x:is>
          <x:t xml:space="preserve">Claw. Melee Attack Roll: +3, reach 5 ft. Hit: 6 (2d4 + 1) Slashing damage. Luring Song. The harpy sings a magical melody, which lasts until the harpy’s Concentration ends on it. Wisdom Saving Throw: DC 11, each Humanoid and Giant in a 300-foot Emanation originating from the harpy when the song starts. Failure: The target has the Charmed condition until the song ends and repeats the save at the end of each of its turns. While Charmed, the target has the Incapacitated condition and ignores the Luring Song of other harpies. If the target is more than 5 feet from the harpy, the target moves on its turn toward the harpy by the most direct route, trying to get within 5 feet of the harpy. It doesn’t avoid Opportunity Attacks; however, before moving into damaging terrain (such as lava or a pit) and whenever it takes damage from a source other than the harpy, the target repeats the save. Success: The target is immune to this harpy’s Luring Song for 24 hours. Hell Hound</x:t>
        </x:is>
      </x:c>
      <x:c r="AB112" s="2" t="n"/>
      <x:c r="AC112" s="2" t="n"/>
      <x:c r="AD112" s="2" t="n"/>
      <x:c r="AE112" s="2" t="n"/>
      <x:c r="AF112" s="2" t="inlineStr">
        <x:is>
          <x:t xml:space="preserve">Imported from SRD 5.2.1 p. 297 Index of Stat Blocks</x:t>
        </x:is>
      </x:c>
      <x:c r="AG112" s="2" t="inlineStr">
        <x:is>
          <x:t xml:space="preserve">https://www.dndbeyond.com/srd</x:t>
        </x:is>
      </x:c>
    </x:row>
    <x:row r="113" ht="18" customHeight="1">
      <x:c r="A113" s="2" t="inlineStr">
        <x:is>
          <x:t xml:space="preserve">Hell Hound</x:t>
        </x:is>
      </x:c>
      <x:c r="B113" s="2" t="inlineStr">
        <x:is>
          <x:t xml:space="preserve">SRD 5.2.1</x:t>
        </x:is>
      </x:c>
      <x:c r="C113" s="2" t="inlineStr">
        <x:is>
          <x:t xml:space="preserve">Fiend</x:t>
        </x:is>
      </x:c>
      <x:c r="D113" s="2" t="inlineStr">
        <x:is>
          <x:t xml:space="preserve">Medium</x:t>
        </x:is>
      </x:c>
      <x:c r="E113" s="2" t="inlineStr">
        <x:is>
          <x:t xml:space="preserve">Lawful Evil</x:t>
        </x:is>
      </x:c>
      <x:c r="F113" s="2" t="inlineStr">
        <x:is>
          <x:t xml:space="preserve">3</x:t>
        </x:is>
      </x:c>
      <x:c r="G113" s="2" t="inlineStr">
        <x:is>
          <x:t xml:space="preserve">700</x:t>
        </x:is>
      </x:c>
      <x:c r="H113" s="2" t="inlineStr">
        <x:is>
          <x:t xml:space="preserve">15</x:t>
        </x:is>
      </x:c>
      <x:c r="I113" s="2" t="inlineStr">
        <x:is>
          <x:t xml:space="preserve">58</x:t>
        </x:is>
      </x:c>
      <x:c r="J113" s="2" t="inlineStr">
        <x:is>
          <x:t xml:space="preserve">50 ft.</x:t>
        </x:is>
      </x:c>
      <x:c r="K113" s="2" t="inlineStr">
        <x:is>
          <x:t xml:space="preserve">2</x:t>
        </x:is>
      </x:c>
      <x:c r="L113" s="2" t="inlineStr">
        <x:is>
          <x:t xml:space="preserve">15</x:t>
        </x:is>
      </x:c>
      <x:c r="M113" s="2" t="inlineStr">
        <x:is>
          <x:t xml:space="preserve">12</x:t>
        </x:is>
      </x:c>
      <x:c r="N113" s="2" t="inlineStr">
        <x:is>
          <x:t xml:space="preserve">5</x:t>
        </x:is>
      </x:c>
      <x:c r="O113" s="2" t="inlineStr">
        <x:is>
          <x:t xml:space="preserve">1</x:t>
        </x:is>
      </x:c>
      <x:c r="P113" s="2" t="inlineStr">
        <x:is>
          <x:t xml:space="preserve">17</x:t>
        </x:is>
      </x:c>
      <x:c r="Q113" s="2" t="inlineStr">
        <x:is>
          <x:t xml:space="preserve">12</x:t>
        </x:is>
      </x:c>
      <x:c r="R113" s="2" t="inlineStr">
        <x:is>
          <x:t xml:space="preserve">14</x:t>
        </x:is>
      </x:c>
      <x:c r="S113" s="2" t="inlineStr">
        <x:is>
          <x:t xml:space="preserve">6</x:t>
        </x:is>
      </x:c>
      <x:c r="T113" s="2" t="inlineStr">
        <x:is>
          <x:t xml:space="preserve">13</x:t>
        </x:is>
      </x:c>
      <x:c r="U113" s="2" t="inlineStr">
        <x:is>
          <x:t xml:space="preserve">6</x:t>
        </x:is>
      </x:c>
      <x:c r="V113" s="2" t="n"/>
      <x:c r="W113" s="2" t="inlineStr">
        <x:is>
          <x:t xml:space="preserve">Perception +5</x:t>
        </x:is>
      </x:c>
      <x:c r="X113" s="2" t="inlineStr">
        <x:is>
          <x:t xml:space="preserve">Darkvision 60 ft.; Passive Perception 15</x:t>
        </x:is>
      </x:c>
      <x:c r="Y113" s="2" t="inlineStr">
        <x:is>
          <x:t xml:space="preserve">Understands Infernal but can’t speak</x:t>
        </x:is>
      </x:c>
      <x:c r="Z113" s="2" t="inlineStr">
        <x:is>
          <x:t xml:space="preserve">Pack Tactics. The hound has Advantage on an attack roll against a creature if at least one of the hound’s al- lies is within 5 feet of the creature and the ally doesn’t have the Incapacitated condition.</x:t>
        </x:is>
      </x:c>
      <x:c r="AA113" s="2" t="inlineStr">
        <x:is>
          <x:t xml:space="preserve">Multiattack. The hound makes two Bite attacks. Bite. Melee Attack Roll: +5, reach 5 ft. Hit: 7 (1d8 + 3) Piercing damage plus 3 (1d6) Fire damage. Fire Breath (Recharge 5-6). Dexterity Saving Throw: DC 12, each creature in a 15-foot Cone. Failure: 17 (5d6) Fire damage. Success: Half damage. Hezrou</x:t>
        </x:is>
      </x:c>
      <x:c r="AB113" s="2" t="n"/>
      <x:c r="AC113" s="2" t="n"/>
      <x:c r="AD113" s="2" t="n"/>
      <x:c r="AE113" s="2" t="n"/>
      <x:c r="AF113" s="2" t="inlineStr">
        <x:is>
          <x:t xml:space="preserve">Imported from SRD 5.2.1 p. 297 Index of Stat Blocks</x:t>
        </x:is>
      </x:c>
      <x:c r="AG113" s="2" t="inlineStr">
        <x:is>
          <x:t xml:space="preserve">https://www.dndbeyond.com/srd</x:t>
        </x:is>
      </x:c>
    </x:row>
    <x:row r="114" ht="18" customHeight="1">
      <x:c r="A114" s="2" t="inlineStr">
        <x:is>
          <x:t xml:space="preserve">Hezrou</x:t>
        </x:is>
      </x:c>
      <x:c r="B114" s="2" t="inlineStr">
        <x:is>
          <x:t xml:space="preserve">SRD 5.2.1</x:t>
        </x:is>
      </x:c>
      <x:c r="C114" s="2" t="inlineStr">
        <x:is>
          <x:t xml:space="preserve">Fiend (Demon)</x:t>
        </x:is>
      </x:c>
      <x:c r="D114" s="2" t="inlineStr">
        <x:is>
          <x:t xml:space="preserve">Large</x:t>
        </x:is>
      </x:c>
      <x:c r="E114" s="2" t="inlineStr">
        <x:is>
          <x:t xml:space="preserve">Chaotic Evil</x:t>
        </x:is>
      </x:c>
      <x:c r="F114" s="2" t="inlineStr">
        <x:is>
          <x:t xml:space="preserve">8</x:t>
        </x:is>
      </x:c>
      <x:c r="G114" s="2" t="inlineStr">
        <x:is>
          <x:t xml:space="preserve">3900</x:t>
        </x:is>
      </x:c>
      <x:c r="H114" s="2" t="inlineStr">
        <x:is>
          <x:t xml:space="preserve">18</x:t>
        </x:is>
      </x:c>
      <x:c r="I114" s="2" t="inlineStr">
        <x:is>
          <x:t xml:space="preserve">157</x:t>
        </x:is>
      </x:c>
      <x:c r="J114" s="2" t="inlineStr">
        <x:is>
          <x:t xml:space="preserve">30 ft.</x:t>
        </x:is>
      </x:c>
      <x:c r="K114" s="2" t="inlineStr">
        <x:is>
          <x:t xml:space="preserve">3</x:t>
        </x:is>
      </x:c>
      <x:c r="L114" s="2" t="inlineStr">
        <x:is>
          <x:t xml:space="preserve">11</x:t>
        </x:is>
      </x:c>
      <x:c r="M114" s="2" t="inlineStr">
        <x:is>
          <x:t xml:space="preserve">16</x:t>
        </x:is>
      </x:c>
      <x:c r="N114" s="2" t="inlineStr">
        <x:is>
          <x:t xml:space="preserve">7</x:t>
        </x:is>
      </x:c>
      <x:c r="O114" s="2" t="inlineStr">
        <x:is>
          <x:t xml:space="preserve">6</x:t>
        </x:is>
      </x:c>
      <x:c r="P114" s="2" t="inlineStr">
        <x:is>
          <x:t xml:space="preserve">19</x:t>
        </x:is>
      </x:c>
      <x:c r="Q114" s="2" t="inlineStr">
        <x:is>
          <x:t xml:space="preserve">17</x:t>
        </x:is>
      </x:c>
      <x:c r="R114" s="2" t="inlineStr">
        <x:is>
          <x:t xml:space="preserve">20</x:t>
        </x:is>
      </x:c>
      <x:c r="S114" s="2" t="inlineStr">
        <x:is>
          <x:t xml:space="preserve">5</x:t>
        </x:is>
      </x:c>
      <x:c r="T114" s="2" t="inlineStr">
        <x:is>
          <x:t xml:space="preserve">12</x:t>
        </x:is>
      </x:c>
      <x:c r="U114" s="2" t="inlineStr">
        <x:is>
          <x:t xml:space="preserve">13</x:t>
        </x:is>
      </x:c>
      <x:c r="V114" s="2" t="inlineStr">
        <x:is>
          <x:t xml:space="preserve">STR +7, CON +8, WIS +4</x:t>
        </x:is>
      </x:c>
      <x:c r="W114" s="2" t="n"/>
      <x:c r="X114" s="2" t="inlineStr">
        <x:is>
          <x:t xml:space="preserve">Darkvision 120 ft.; Passive Perception 11</x:t>
        </x:is>
      </x:c>
      <x:c r="Y114" s="2" t="inlineStr">
        <x:is>
          <x:t xml:space="preserve">Abyssal; telepathy 120 ft.</x:t>
        </x:is>
      </x:c>
      <x:c r="Z114" s="2" t="inlineStr">
        <x:is>
          <x:t xml:space="preserve">Demonic Restoration. If the hezrou dies outside the Abyss, its body dissolves into ichor, and it gains a new body instantly, reviving with all its Hit Points some- where in the Abyss. Magic Resistance. The hezrou has Advantage on saving throws against spells and other magical effects. Stench. Constitution Saving Throw: DC 16, any creature that starts its turn in a 10-foot Emanation originating from the hezrou. Failure: The target has the Poisoned condition until the start of its next turn.</x:t>
        </x:is>
      </x:c>
      <x:c r="AA114" s="2" t="inlineStr">
        <x:is>
          <x:t xml:space="preserve">Multiattack. The hezrou makes three Rend attacks. Rend. Melee Attack Roll: +7, reach 5 ft. Hit: 6 (1d4 + 4) Slashing damage plus 9 (2d8) Poison damage.</x:t>
        </x:is>
      </x:c>
      <x:c r="AB114" s="2" t="inlineStr">
        <x:is>
          <x:t xml:space="preserve">Leap. The hezrou jumps up to 30 feet by spending 10 feet of movement. Hill Giant</x:t>
        </x:is>
      </x:c>
      <x:c r="AC114" s="2" t="n"/>
      <x:c r="AD114" s="2" t="n"/>
      <x:c r="AE114" s="2" t="n"/>
      <x:c r="AF114" s="2" t="inlineStr">
        <x:is>
          <x:t xml:space="preserve">Imported from SRD 5.2.1 p. 298 Index of Stat Blocks</x:t>
        </x:is>
      </x:c>
      <x:c r="AG114" s="2" t="inlineStr">
        <x:is>
          <x:t xml:space="preserve">https://www.dndbeyond.com/srd</x:t>
        </x:is>
      </x:c>
    </x:row>
    <x:row r="115" ht="18" customHeight="1">
      <x:c r="A115" s="2" t="inlineStr">
        <x:is>
          <x:t xml:space="preserve">Hill Giant</x:t>
        </x:is>
      </x:c>
      <x:c r="B115" s="2" t="inlineStr">
        <x:is>
          <x:t xml:space="preserve">SRD 5.2.1</x:t>
        </x:is>
      </x:c>
      <x:c r="C115" s="2" t="inlineStr">
        <x:is>
          <x:t xml:space="preserve">Giant</x:t>
        </x:is>
      </x:c>
      <x:c r="D115" s="2" t="inlineStr">
        <x:is>
          <x:t xml:space="preserve">Huge</x:t>
        </x:is>
      </x:c>
      <x:c r="E115" s="2" t="inlineStr">
        <x:is>
          <x:t xml:space="preserve">Chaotic Evil</x:t>
        </x:is>
      </x:c>
      <x:c r="F115" s="2" t="inlineStr">
        <x:is>
          <x:t xml:space="preserve">5</x:t>
        </x:is>
      </x:c>
      <x:c r="G115" s="2" t="inlineStr">
        <x:is>
          <x:t xml:space="preserve">1800</x:t>
        </x:is>
      </x:c>
      <x:c r="H115" s="2" t="inlineStr">
        <x:is>
          <x:t xml:space="preserve">13</x:t>
        </x:is>
      </x:c>
      <x:c r="I115" s="2" t="inlineStr">
        <x:is>
          <x:t xml:space="preserve">105</x:t>
        </x:is>
      </x:c>
      <x:c r="J115" s="2" t="inlineStr">
        <x:is>
          <x:t xml:space="preserve">40 ft.</x:t>
        </x:is>
      </x:c>
      <x:c r="K115" s="2" t="inlineStr">
        <x:is>
          <x:t xml:space="preserve">3</x:t>
        </x:is>
      </x:c>
      <x:c r="L115" s="2" t="inlineStr">
        <x:is>
          <x:t xml:space="preserve">12</x:t>
        </x:is>
      </x:c>
      <x:c r="M115" s="2" t="n"/>
      <x:c r="N115" s="2" t="inlineStr">
        <x:is>
          <x:t xml:space="preserve">8</x:t>
        </x:is>
      </x:c>
      <x:c r="O115" s="2" t="inlineStr">
        <x:is>
          <x:t xml:space="preserve">2</x:t>
        </x:is>
      </x:c>
      <x:c r="P115" s="2" t="inlineStr">
        <x:is>
          <x:t xml:space="preserve">21</x:t>
        </x:is>
      </x:c>
      <x:c r="Q115" s="2" t="inlineStr">
        <x:is>
          <x:t xml:space="preserve">8</x:t>
        </x:is>
      </x:c>
      <x:c r="R115" s="2" t="inlineStr">
        <x:is>
          <x:t xml:space="preserve">19</x:t>
        </x:is>
      </x:c>
      <x:c r="S115" s="2" t="inlineStr">
        <x:is>
          <x:t xml:space="preserve">5</x:t>
        </x:is>
      </x:c>
      <x:c r="T115" s="2" t="inlineStr">
        <x:is>
          <x:t xml:space="preserve">9</x:t>
        </x:is>
      </x:c>
      <x:c r="U115" s="2" t="inlineStr">
        <x:is>
          <x:t xml:space="preserve">6</x:t>
        </x:is>
      </x:c>
      <x:c r="V115" s="2" t="n"/>
      <x:c r="W115" s="2" t="inlineStr">
        <x:is>
          <x:t xml:space="preserve">Perception +2</x:t>
        </x:is>
      </x:c>
      <x:c r="X115" s="2" t="inlineStr">
        <x:is>
          <x:t xml:space="preserve">Passive Perception 12</x:t>
        </x:is>
      </x:c>
      <x:c r="Y115" s="2" t="inlineStr">
        <x:is>
          <x:t xml:space="preserve">Giant</x:t>
        </x:is>
      </x:c>
      <x:c r="Z115" s="2" t="n"/>
      <x:c r="AA115" s="2" t="inlineStr">
        <x:is>
          <x:t xml:space="preserve">Multiattack. The giant makes two attacks, using Tree Club or Trash Lob in any combination. Tree Club. Melee Attack Roll: +8, reach 10 ft. Hit: 18 (3d8 + 5) Bludgeoning damage. If the target is a Large or smaller creature, it has the Prone condition. Trash Lob. Ranged Attack Roll: +8, range 60/240 ft. Hit: 16 (2d10 + 5) Bludgeoning damage, and the target has the Poisoned condition until the end of its next turn. Hippogriff</x:t>
        </x:is>
      </x:c>
      <x:c r="AB115" s="2" t="n"/>
      <x:c r="AC115" s="2" t="n"/>
      <x:c r="AD115" s="2" t="n"/>
      <x:c r="AE115" s="2" t="n"/>
      <x:c r="AF115" s="2" t="inlineStr">
        <x:is>
          <x:t xml:space="preserve">Imported from SRD 5.2.1 p. 298 Index of Stat Blocks</x:t>
        </x:is>
      </x:c>
      <x:c r="AG115" s="2" t="inlineStr">
        <x:is>
          <x:t xml:space="preserve">https://www.dndbeyond.com/srd</x:t>
        </x:is>
      </x:c>
    </x:row>
    <x:row r="116" ht="18" customHeight="1">
      <x:c r="A116" s="2" t="inlineStr">
        <x:is>
          <x:t xml:space="preserve">Hippogriff</x:t>
        </x:is>
      </x:c>
      <x:c r="B116" s="2" t="inlineStr">
        <x:is>
          <x:t xml:space="preserve">SRD 5.2.1</x:t>
        </x:is>
      </x:c>
      <x:c r="C116" s="2" t="inlineStr">
        <x:is>
          <x:t xml:space="preserve">Monstrosity</x:t>
        </x:is>
      </x:c>
      <x:c r="D116" s="2" t="inlineStr">
        <x:is>
          <x:t xml:space="preserve">Large</x:t>
        </x:is>
      </x:c>
      <x:c r="E116" s="2" t="inlineStr">
        <x:is>
          <x:t xml:space="preserve">Unaligned</x:t>
        </x:is>
      </x:c>
      <x:c r="F116" s="2" t="inlineStr">
        <x:is>
          <x:t xml:space="preserve">1</x:t>
        </x:is>
      </x:c>
      <x:c r="G116" s="2" t="inlineStr">
        <x:is>
          <x:t xml:space="preserve">200</x:t>
        </x:is>
      </x:c>
      <x:c r="H116" s="2" t="inlineStr">
        <x:is>
          <x:t xml:space="preserve">11</x:t>
        </x:is>
      </x:c>
      <x:c r="I116" s="2" t="inlineStr">
        <x:is>
          <x:t xml:space="preserve">26</x:t>
        </x:is>
      </x:c>
      <x:c r="J116" s="2" t="inlineStr">
        <x:is>
          <x:t xml:space="preserve">40 ft., Fly 60 ft.</x:t>
        </x:is>
      </x:c>
      <x:c r="K116" s="2" t="inlineStr">
        <x:is>
          <x:t xml:space="preserve">2</x:t>
        </x:is>
      </x:c>
      <x:c r="L116" s="2" t="inlineStr">
        <x:is>
          <x:t xml:space="preserve">15</x:t>
        </x:is>
      </x:c>
      <x:c r="M116" s="2" t="n"/>
      <x:c r="N116" s="2" t="inlineStr">
        <x:is>
          <x:t xml:space="preserve">5</x:t>
        </x:is>
      </x:c>
      <x:c r="O116" s="2" t="inlineStr">
        <x:is>
          <x:t xml:space="preserve">1</x:t>
        </x:is>
      </x:c>
      <x:c r="P116" s="2" t="inlineStr">
        <x:is>
          <x:t xml:space="preserve">17</x:t>
        </x:is>
      </x:c>
      <x:c r="Q116" s="2" t="inlineStr">
        <x:is>
          <x:t xml:space="preserve">13</x:t>
        </x:is>
      </x:c>
      <x:c r="R116" s="2" t="inlineStr">
        <x:is>
          <x:t xml:space="preserve">13</x:t>
        </x:is>
      </x:c>
      <x:c r="S116" s="2" t="inlineStr">
        <x:is>
          <x:t xml:space="preserve">2</x:t>
        </x:is>
      </x:c>
      <x:c r="T116" s="2" t="inlineStr">
        <x:is>
          <x:t xml:space="preserve">12</x:t>
        </x:is>
      </x:c>
      <x:c r="U116" s="2" t="inlineStr">
        <x:is>
          <x:t xml:space="preserve">8</x:t>
        </x:is>
      </x:c>
      <x:c r="V116" s="2" t="n"/>
      <x:c r="W116" s="2" t="inlineStr">
        <x:is>
          <x:t xml:space="preserve">Perception +5</x:t>
        </x:is>
      </x:c>
      <x:c r="X116" s="2" t="inlineStr">
        <x:is>
          <x:t xml:space="preserve">Passive Perception 15</x:t>
        </x:is>
      </x:c>
      <x:c r="Y116" s="2" t="inlineStr">
        <x:is>
          <x:t xml:space="preserve">None</x:t>
        </x:is>
      </x:c>
      <x:c r="Z116" s="2" t="inlineStr">
        <x:is>
          <x:t xml:space="preserve">Flyby. The hippogriff doesn’t provoke an Opportunity Attack when it flies out of an enemy’s reach.</x:t>
        </x:is>
      </x:c>
      <x:c r="AA116" s="2" t="inlineStr">
        <x:is>
          <x:t xml:space="preserve">Multiattack. The hippogriff makes two Rend attacks. Rend. Melee Attack Roll: +5, reach 5 ft. Hit: 7 (1d8 + 3) Slashing damage. Hobgoblins</x:t>
        </x:is>
      </x:c>
      <x:c r="AB116" s="2" t="n"/>
      <x:c r="AC116" s="2" t="n"/>
      <x:c r="AD116" s="2" t="n"/>
      <x:c r="AE116" s="2" t="n"/>
      <x:c r="AF116" s="2" t="inlineStr">
        <x:is>
          <x:t xml:space="preserve">Imported from SRD 5.2.1 p. 298 Index of Stat Blocks</x:t>
        </x:is>
      </x:c>
      <x:c r="AG116" s="2" t="inlineStr">
        <x:is>
          <x:t xml:space="preserve">https://www.dndbeyond.com/srd</x:t>
        </x:is>
      </x:c>
    </x:row>
    <x:row r="117" ht="18" customHeight="1">
      <x:c r="A117" s="2" t="inlineStr">
        <x:is>
          <x:t xml:space="preserve">Hobgoblin Warrior</x:t>
        </x:is>
      </x:c>
      <x:c r="B117" s="2" t="inlineStr">
        <x:is>
          <x:t xml:space="preserve">SRD 5.2.1</x:t>
        </x:is>
      </x:c>
      <x:c r="C117" s="2" t="inlineStr">
        <x:is>
          <x:t xml:space="preserve">Fey (Goblinoid)</x:t>
        </x:is>
      </x:c>
      <x:c r="D117" s="2" t="inlineStr">
        <x:is>
          <x:t xml:space="preserve">Medium</x:t>
        </x:is>
      </x:c>
      <x:c r="E117" s="2" t="inlineStr">
        <x:is>
          <x:t xml:space="preserve">Lawful Evil</x:t>
        </x:is>
      </x:c>
      <x:c r="F117" s="2" t="inlineStr">
        <x:is>
          <x:t xml:space="preserve">1/2</x:t>
        </x:is>
      </x:c>
      <x:c r="G117" s="2" t="inlineStr">
        <x:is>
          <x:t xml:space="preserve">100</x:t>
        </x:is>
      </x:c>
      <x:c r="H117" s="2" t="inlineStr">
        <x:is>
          <x:t xml:space="preserve">18</x:t>
        </x:is>
      </x:c>
      <x:c r="I117" s="2" t="inlineStr">
        <x:is>
          <x:t xml:space="preserve">11</x:t>
        </x:is>
      </x:c>
      <x:c r="J117" s="2" t="inlineStr">
        <x:is>
          <x:t xml:space="preserve">30 ft.</x:t>
        </x:is>
      </x:c>
      <x:c r="K117" s="2" t="inlineStr">
        <x:is>
          <x:t xml:space="preserve">2</x:t>
        </x:is>
      </x:c>
      <x:c r="L117" s="2" t="inlineStr">
        <x:is>
          <x:t xml:space="preserve">10</x:t>
        </x:is>
      </x:c>
      <x:c r="M117" s="2" t="n"/>
      <x:c r="N117" s="2" t="inlineStr">
        <x:is>
          <x:t xml:space="preserve">3</x:t>
        </x:is>
      </x:c>
      <x:c r="O117" s="2" t="inlineStr">
        <x:is>
          <x:t xml:space="preserve">3</x:t>
        </x:is>
      </x:c>
      <x:c r="P117" s="2" t="inlineStr">
        <x:is>
          <x:t xml:space="preserve">13</x:t>
        </x:is>
      </x:c>
      <x:c r="Q117" s="2" t="inlineStr">
        <x:is>
          <x:t xml:space="preserve">12</x:t>
        </x:is>
      </x:c>
      <x:c r="R117" s="2" t="inlineStr">
        <x:is>
          <x:t xml:space="preserve">12</x:t>
        </x:is>
      </x:c>
      <x:c r="S117" s="2" t="inlineStr">
        <x:is>
          <x:t xml:space="preserve">10</x:t>
        </x:is>
      </x:c>
      <x:c r="T117" s="2" t="inlineStr">
        <x:is>
          <x:t xml:space="preserve">10</x:t>
        </x:is>
      </x:c>
      <x:c r="U117" s="2" t="inlineStr">
        <x:is>
          <x:t xml:space="preserve">9</x:t>
        </x:is>
      </x:c>
      <x:c r="V117" s="2" t="n"/>
      <x:c r="W117" s="2" t="n"/>
      <x:c r="X117" s="2" t="inlineStr">
        <x:is>
          <x:t xml:space="preserve">Darkvision 60 ft.; Passive Perception 10</x:t>
        </x:is>
      </x:c>
      <x:c r="Y117" s="2" t="inlineStr">
        <x:is>
          <x:t xml:space="preserve">Common, Goblin</x:t>
        </x:is>
      </x:c>
      <x:c r="Z117" s="2" t="inlineStr">
        <x:is>
          <x:t xml:space="preserve">Pack Tactics. The hobgoblin has Advantage on an at- tack roll against a creature if at least one of the hobgob- lin’s allies is within 5 feet of the creature and the ally doesn’t have the Incapacitated condition.</x:t>
        </x:is>
      </x:c>
      <x:c r="AA117" s="2" t="inlineStr">
        <x:is>
          <x:t xml:space="preserve">Longsword. Melee Attack Roll: +3, reach 5 ft. Hit: 12 (2d10 + 1) Slashing damage. Longbow. Ranged Attack Roll: +3, range 150/600 ft. Hit: 5 (1d8 + 1) Piercing damage plus 7 (3d4) Poi- son damage.</x:t>
        </x:is>
      </x:c>
      <x:c r="AB117" s="2" t="n"/>
      <x:c r="AC117" s="2" t="n"/>
      <x:c r="AD117" s="2" t="n"/>
      <x:c r="AE117" s="2" t="n"/>
      <x:c r="AF117" s="2" t="inlineStr">
        <x:is>
          <x:t xml:space="preserve">Imported from SRD 5.2.1 p. 298 Index of Stat Blocks</x:t>
        </x:is>
      </x:c>
      <x:c r="AG117" s="2" t="inlineStr">
        <x:is>
          <x:t xml:space="preserve">https://www.dndbeyond.com/srd</x:t>
        </x:is>
      </x:c>
    </x:row>
    <x:row r="118" ht="18" customHeight="1">
      <x:c r="A118" s="2" t="inlineStr">
        <x:is>
          <x:t xml:space="preserve">Hobgoblin Captain</x:t>
        </x:is>
      </x:c>
      <x:c r="B118" s="2" t="inlineStr">
        <x:is>
          <x:t xml:space="preserve">SRD 5.2.1</x:t>
        </x:is>
      </x:c>
      <x:c r="C118" s="2" t="inlineStr">
        <x:is>
          <x:t xml:space="preserve">Fey (Goblinoid)</x:t>
        </x:is>
      </x:c>
      <x:c r="D118" s="2" t="inlineStr">
        <x:is>
          <x:t xml:space="preserve">Medium</x:t>
        </x:is>
      </x:c>
      <x:c r="E118" s="2" t="inlineStr">
        <x:is>
          <x:t xml:space="preserve">Lawful Evil</x:t>
        </x:is>
      </x:c>
      <x:c r="F118" s="2" t="inlineStr">
        <x:is>
          <x:t xml:space="preserve">3</x:t>
        </x:is>
      </x:c>
      <x:c r="G118" s="2" t="inlineStr">
        <x:is>
          <x:t xml:space="preserve">700</x:t>
        </x:is>
      </x:c>
      <x:c r="H118" s="2" t="inlineStr">
        <x:is>
          <x:t xml:space="preserve">17</x:t>
        </x:is>
      </x:c>
      <x:c r="I118" s="2" t="inlineStr">
        <x:is>
          <x:t xml:space="preserve">58</x:t>
        </x:is>
      </x:c>
      <x:c r="J118" s="2" t="inlineStr">
        <x:is>
          <x:t xml:space="preserve">30 ft.</x:t>
        </x:is>
      </x:c>
      <x:c r="K118" s="2" t="inlineStr">
        <x:is>
          <x:t xml:space="preserve">2</x:t>
        </x:is>
      </x:c>
      <x:c r="L118" s="2" t="inlineStr">
        <x:is>
          <x:t xml:space="preserve">10</x:t>
        </x:is>
      </x:c>
      <x:c r="M118" s="2" t="n"/>
      <x:c r="N118" s="2" t="inlineStr">
        <x:is>
          <x:t xml:space="preserve">4</x:t>
        </x:is>
      </x:c>
      <x:c r="O118" s="2" t="inlineStr">
        <x:is>
          <x:t xml:space="preserve">4</x:t>
        </x:is>
      </x:c>
      <x:c r="P118" s="2" t="inlineStr">
        <x:is>
          <x:t xml:space="preserve">15</x:t>
        </x:is>
      </x:c>
      <x:c r="Q118" s="2" t="inlineStr">
        <x:is>
          <x:t xml:space="preserve">14</x:t>
        </x:is>
      </x:c>
      <x:c r="R118" s="2" t="inlineStr">
        <x:is>
          <x:t xml:space="preserve">14</x:t>
        </x:is>
      </x:c>
      <x:c r="S118" s="2" t="inlineStr">
        <x:is>
          <x:t xml:space="preserve">12</x:t>
        </x:is>
      </x:c>
      <x:c r="T118" s="2" t="inlineStr">
        <x:is>
          <x:t xml:space="preserve">10</x:t>
        </x:is>
      </x:c>
      <x:c r="U118" s="2" t="inlineStr">
        <x:is>
          <x:t xml:space="preserve">13</x:t>
        </x:is>
      </x:c>
      <x:c r="V118" s="2" t="n"/>
      <x:c r="W118" s="2" t="n"/>
      <x:c r="X118" s="2" t="inlineStr">
        <x:is>
          <x:t xml:space="preserve">Darkvision 60 ft.; Passive Perception 10</x:t>
        </x:is>
      </x:c>
      <x:c r="Y118" s="2" t="inlineStr">
        <x:is>
          <x:t xml:space="preserve">Common, Goblin</x:t>
        </x:is>
      </x:c>
      <x:c r="Z118" s="2" t="inlineStr">
        <x:is>
          <x:t xml:space="preserve">Aura of Authority. While in a 10-foot Emanation origi- nating from the hobgoblin, the hobgoblin and its allies have Advantage on attack rolls and saving throws, provided the hobgoblin doesn’t have the Incapacitated condition.</x:t>
        </x:is>
      </x:c>
      <x:c r="AA118" s="2" t="inlineStr">
        <x:is>
          <x:t xml:space="preserve">Multiattack. The hobgoblin makes two attacks, using Greatsword or Longbow in any combination. Greatsword. Melee Attack Roll: +4, reach 5 ft. Hit: 9 (2d6 + 2) Slashing damage plus 3 (1d6) Poison damage. Longbow. Ranged Attack Roll: +4, range 150/600 ft. Hit: 6 (1d8 + 2) Piercing damage plus 5 (2d4) Poi- son damage. Homunculus</x:t>
        </x:is>
      </x:c>
      <x:c r="AB118" s="2" t="n"/>
      <x:c r="AC118" s="2" t="n"/>
      <x:c r="AD118" s="2" t="n"/>
      <x:c r="AE118" s="2" t="n"/>
      <x:c r="AF118" s="2" t="inlineStr">
        <x:is>
          <x:t xml:space="preserve">Imported from SRD 5.2.1 p. 299 Index of Stat Blocks</x:t>
        </x:is>
      </x:c>
      <x:c r="AG118" s="2" t="inlineStr">
        <x:is>
          <x:t xml:space="preserve">https://www.dndbeyond.com/srd</x:t>
        </x:is>
      </x:c>
    </x:row>
    <x:row r="119" ht="18" customHeight="1">
      <x:c r="A119" s="2" t="inlineStr">
        <x:is>
          <x:t xml:space="preserve">Homunculus</x:t>
        </x:is>
      </x:c>
      <x:c r="B119" s="2" t="inlineStr">
        <x:is>
          <x:t xml:space="preserve">SRD 5.2.1</x:t>
        </x:is>
      </x:c>
      <x:c r="C119" s="2" t="inlineStr">
        <x:is>
          <x:t xml:space="preserve">Construct</x:t>
        </x:is>
      </x:c>
      <x:c r="D119" s="2" t="inlineStr">
        <x:is>
          <x:t xml:space="preserve">Tiny</x:t>
        </x:is>
      </x:c>
      <x:c r="E119" s="2" t="inlineStr">
        <x:is>
          <x:t xml:space="preserve">Neutral</x:t>
        </x:is>
      </x:c>
      <x:c r="F119" s="2" t="inlineStr">
        <x:is>
          <x:t xml:space="preserve">0</x:t>
        </x:is>
      </x:c>
      <x:c r="G119" s="2" t="inlineStr">
        <x:is>
          <x:t xml:space="preserve">10</x:t>
        </x:is>
      </x:c>
      <x:c r="H119" s="2" t="inlineStr">
        <x:is>
          <x:t xml:space="preserve">13</x:t>
        </x:is>
      </x:c>
      <x:c r="I119" s="2" t="inlineStr">
        <x:is>
          <x:t xml:space="preserve">4</x:t>
        </x:is>
      </x:c>
      <x:c r="J119" s="2" t="inlineStr">
        <x:is>
          <x:t xml:space="preserve">20 ft., Fly 40 ft.</x:t>
        </x:is>
      </x:c>
      <x:c r="K119" s="2" t="inlineStr">
        <x:is>
          <x:t xml:space="preserve">2</x:t>
        </x:is>
      </x:c>
      <x:c r="L119" s="2" t="inlineStr">
        <x:is>
          <x:t xml:space="preserve">10</x:t>
        </x:is>
      </x:c>
      <x:c r="M119" s="2" t="inlineStr">
        <x:is>
          <x:t xml:space="preserve">12</x:t>
        </x:is>
      </x:c>
      <x:c r="N119" s="2" t="inlineStr">
        <x:is>
          <x:t xml:space="preserve">4</x:t>
        </x:is>
      </x:c>
      <x:c r="O119" s="2" t="inlineStr">
        <x:is>
          <x:t xml:space="preserve">2</x:t>
        </x:is>
      </x:c>
      <x:c r="P119" s="2" t="inlineStr">
        <x:is>
          <x:t xml:space="preserve">4</x:t>
        </x:is>
      </x:c>
      <x:c r="Q119" s="2" t="inlineStr">
        <x:is>
          <x:t xml:space="preserve">15</x:t>
        </x:is>
      </x:c>
      <x:c r="R119" s="2" t="inlineStr">
        <x:is>
          <x:t xml:space="preserve">14</x:t>
        </x:is>
      </x:c>
      <x:c r="S119" s="2" t="inlineStr">
        <x:is>
          <x:t xml:space="preserve">10</x:t>
        </x:is>
      </x:c>
      <x:c r="T119" s="2" t="inlineStr">
        <x:is>
          <x:t xml:space="preserve">10</x:t>
        </x:is>
      </x:c>
      <x:c r="U119" s="2" t="inlineStr">
        <x:is>
          <x:t xml:space="preserve">7</x:t>
        </x:is>
      </x:c>
      <x:c r="V119" s="2" t="inlineStr">
        <x:is>
          <x:t xml:space="preserve">WIS +2, CHA +0</x:t>
        </x:is>
      </x:c>
      <x:c r="W119" s="2" t="n"/>
      <x:c r="X119" s="2" t="inlineStr">
        <x:is>
          <x:t xml:space="preserve">Darkvision 60 ft.; Passive Perception 10</x:t>
        </x:is>
      </x:c>
      <x:c r="Y119" s="2" t="inlineStr">
        <x:is>
          <x:t xml:space="preserve">Understands Common plus one other language but can’t speak</x:t>
        </x:is>
      </x:c>
      <x:c r="Z119" s="2" t="inlineStr">
        <x:is>
          <x:t xml:space="preserve">Telepathic Bond. While the homunculus is on the same plane of existence as its master, the two of them can communicate telepathically with each other.</x:t>
        </x:is>
      </x:c>
      <x:c r="AA119" s="2" t="inlineStr">
        <x:is>
          <x:t xml:space="preserve">Bite. Melee Attack Roll: +4, reach 5 ft. Hit: 1 Piercing damage, and the target is subjected to the following effect. Constitution Saving Throw: DC 12. Failure: The target has the Poisoned condition until the end of the homunculus’s next turn. Failure by 5 or More: The tar- get has the Poisoned condition for 1 minute. While Poi- soned, the target has the Unconscious condition, which ends early if the target takes any damage. Horned Devil</x:t>
        </x:is>
      </x:c>
      <x:c r="AB119" s="2" t="n"/>
      <x:c r="AC119" s="2" t="n"/>
      <x:c r="AD119" s="2" t="n"/>
      <x:c r="AE119" s="2" t="n"/>
      <x:c r="AF119" s="2" t="inlineStr">
        <x:is>
          <x:t xml:space="preserve">Imported from SRD 5.2.1 p. 299 Index of Stat Blocks</x:t>
        </x:is>
      </x:c>
      <x:c r="AG119" s="2" t="inlineStr">
        <x:is>
          <x:t xml:space="preserve">https://www.dndbeyond.com/srd</x:t>
        </x:is>
      </x:c>
    </x:row>
    <x:row r="120" ht="18" customHeight="1">
      <x:c r="A120" s="2" t="inlineStr">
        <x:is>
          <x:t xml:space="preserve">Horned Devil</x:t>
        </x:is>
      </x:c>
      <x:c r="B120" s="2" t="inlineStr">
        <x:is>
          <x:t xml:space="preserve">SRD 5.2.1</x:t>
        </x:is>
      </x:c>
      <x:c r="C120" s="2" t="inlineStr">
        <x:is>
          <x:t xml:space="preserve">Fiend (Devil)</x:t>
        </x:is>
      </x:c>
      <x:c r="D120" s="2" t="inlineStr">
        <x:is>
          <x:t xml:space="preserve">Large</x:t>
        </x:is>
      </x:c>
      <x:c r="E120" s="2" t="inlineStr">
        <x:is>
          <x:t xml:space="preserve">Lawful Evil</x:t>
        </x:is>
      </x:c>
      <x:c r="F120" s="2" t="inlineStr">
        <x:is>
          <x:t xml:space="preserve">11</x:t>
        </x:is>
      </x:c>
      <x:c r="G120" s="2" t="inlineStr">
        <x:is>
          <x:t xml:space="preserve">7200</x:t>
        </x:is>
      </x:c>
      <x:c r="H120" s="2" t="inlineStr">
        <x:is>
          <x:t xml:space="preserve">18</x:t>
        </x:is>
      </x:c>
      <x:c r="I120" s="2" t="inlineStr">
        <x:is>
          <x:t xml:space="preserve">199</x:t>
        </x:is>
      </x:c>
      <x:c r="J120" s="2" t="inlineStr">
        <x:is>
          <x:t xml:space="preserve">30 ft., Fly 60 ft.</x:t>
        </x:is>
      </x:c>
      <x:c r="K120" s="2" t="inlineStr">
        <x:is>
          <x:t xml:space="preserve">4</x:t>
        </x:is>
      </x:c>
      <x:c r="L120" s="2" t="inlineStr">
        <x:is>
          <x:t xml:space="preserve">13</x:t>
        </x:is>
      </x:c>
      <x:c r="M120" s="2" t="inlineStr">
        <x:is>
          <x:t xml:space="preserve">17</x:t>
        </x:is>
      </x:c>
      <x:c r="N120" s="2" t="inlineStr">
        <x:is>
          <x:t xml:space="preserve">10</x:t>
        </x:is>
      </x:c>
      <x:c r="O120" s="2" t="inlineStr">
        <x:is>
          <x:t xml:space="preserve">7</x:t>
        </x:is>
      </x:c>
      <x:c r="P120" s="2" t="inlineStr">
        <x:is>
          <x:t xml:space="preserve">22</x:t>
        </x:is>
      </x:c>
      <x:c r="Q120" s="2" t="inlineStr">
        <x:is>
          <x:t xml:space="preserve">17</x:t>
        </x:is>
      </x:c>
      <x:c r="R120" s="2" t="inlineStr">
        <x:is>
          <x:t xml:space="preserve">21</x:t>
        </x:is>
      </x:c>
      <x:c r="S120" s="2" t="inlineStr">
        <x:is>
          <x:t xml:space="preserve">12</x:t>
        </x:is>
      </x:c>
      <x:c r="T120" s="2" t="inlineStr">
        <x:is>
          <x:t xml:space="preserve">16</x:t>
        </x:is>
      </x:c>
      <x:c r="U120" s="2" t="inlineStr">
        <x:is>
          <x:t xml:space="preserve">18</x:t>
        </x:is>
      </x:c>
      <x:c r="V120" s="2" t="inlineStr">
        <x:is>
          <x:t xml:space="preserve">STR +10, DEX +7, WIS +7, CHA +8</x:t>
        </x:is>
      </x:c>
      <x:c r="W120" s="2" t="n"/>
      <x:c r="X120" s="2" t="inlineStr">
        <x:is>
          <x:t xml:space="preserve">Darkvision 150 ft. (unimpeded by magical Darkness); Passive Perception 13</x:t>
        </x:is>
      </x:c>
      <x:c r="Y120" s="2" t="inlineStr">
        <x:is>
          <x:t xml:space="preserve">Infernal; telepathy 120 ft.</x:t>
        </x:is>
      </x:c>
      <x:c r="Z120" s="2" t="inlineStr">
        <x:is>
          <x:t xml:space="preserve">Diabolical Restoration. If the devil dies outside the Nine Hells, its body disappears in sulfurous smoke, and it gains a new body instantly, reviving with all its Hit Points somewhere in the Nine Hells. Magic Resistance. The devil has Advantage on saving throws against spells and other magical effects.</x:t>
        </x:is>
      </x:c>
      <x:c r="AA120" s="2" t="inlineStr">
        <x:is>
          <x:t xml:space="preserve">Multiattack. The devil makes three attacks, using Sear- ing Fork or Hurl Flame in any combination. It can re- place one attack with a use of Infernal Tail. Searing Fork. Melee Attack Roll: +10, reach 10 ft. Hit: 15 (2d8 + 6) Piercing damage plus 9 (2d8) Fire damage. Hurl Flame. Ranged Attack Roll: +8, range 150 ft. Hit: 26 (5d8 + 4) Fire damage. If the target is a flammable object that isn’t being worn or carried, it starts burning. Infernal Tail. Dexterity Saving Throw: DC 17, one crea- ture the devil can see within 10 feet. Failure: 10 (1d8 + 6) Necrotic damage, and the target receives an infer- nal wound if it doesn’t have one. While wounded, the target loses 10 (3d6) Hit Points at the start of each of its turns. The wound closes after 1 minute, after a spell restores Hit Points to the target, or after the target or a creature within 5 feet of it takes an action to stanch the wound, doing so by succeeding on a DC 17 Wisdom (Medicine) check. Hydra</x:t>
        </x:is>
      </x:c>
      <x:c r="AB120" s="2" t="n"/>
      <x:c r="AC120" s="2" t="n"/>
      <x:c r="AD120" s="2" t="n"/>
      <x:c r="AE120" s="2" t="n"/>
      <x:c r="AF120" s="2" t="inlineStr">
        <x:is>
          <x:t xml:space="preserve">Imported from SRD 5.2.1 p. 299 Index of Stat Blocks</x:t>
        </x:is>
      </x:c>
      <x:c r="AG120" s="2" t="inlineStr">
        <x:is>
          <x:t xml:space="preserve">https://www.dndbeyond.com/srd</x:t>
        </x:is>
      </x:c>
    </x:row>
    <x:row r="121" ht="18" customHeight="1">
      <x:c r="A121" s="2" t="inlineStr">
        <x:is>
          <x:t xml:space="preserve">Hydra</x:t>
        </x:is>
      </x:c>
      <x:c r="B121" s="2" t="inlineStr">
        <x:is>
          <x:t xml:space="preserve">SRD 5.2.1</x:t>
        </x:is>
      </x:c>
      <x:c r="C121" s="2" t="inlineStr">
        <x:is>
          <x:t xml:space="preserve">Monstrosity</x:t>
        </x:is>
      </x:c>
      <x:c r="D121" s="2" t="inlineStr">
        <x:is>
          <x:t xml:space="preserve">Huge</x:t>
        </x:is>
      </x:c>
      <x:c r="E121" s="2" t="inlineStr">
        <x:is>
          <x:t xml:space="preserve">Unaligned</x:t>
        </x:is>
      </x:c>
      <x:c r="F121" s="2" t="inlineStr">
        <x:is>
          <x:t xml:space="preserve">8</x:t>
        </x:is>
      </x:c>
      <x:c r="G121" s="2" t="inlineStr">
        <x:is>
          <x:t xml:space="preserve">3900</x:t>
        </x:is>
      </x:c>
      <x:c r="H121" s="2" t="inlineStr">
        <x:is>
          <x:t xml:space="preserve">15</x:t>
        </x:is>
      </x:c>
      <x:c r="I121" s="2" t="inlineStr">
        <x:is>
          <x:t xml:space="preserve">184</x:t>
        </x:is>
      </x:c>
      <x:c r="J121" s="2" t="inlineStr">
        <x:is>
          <x:t xml:space="preserve">40 ft., Swim 40 ft.</x:t>
        </x:is>
      </x:c>
      <x:c r="K121" s="2" t="inlineStr">
        <x:is>
          <x:t xml:space="preserve">3</x:t>
        </x:is>
      </x:c>
      <x:c r="L121" s="2" t="inlineStr">
        <x:is>
          <x:t xml:space="preserve">16</x:t>
        </x:is>
      </x:c>
      <x:c r="M121" s="2" t="n"/>
      <x:c r="N121" s="2" t="inlineStr">
        <x:is>
          <x:t xml:space="preserve">8</x:t>
        </x:is>
      </x:c>
      <x:c r="O121" s="2" t="inlineStr">
        <x:is>
          <x:t xml:space="preserve">4</x:t>
        </x:is>
      </x:c>
      <x:c r="P121" s="2" t="inlineStr">
        <x:is>
          <x:t xml:space="preserve">20</x:t>
        </x:is>
      </x:c>
      <x:c r="Q121" s="2" t="inlineStr">
        <x:is>
          <x:t xml:space="preserve">12</x:t>
        </x:is>
      </x:c>
      <x:c r="R121" s="2" t="inlineStr">
        <x:is>
          <x:t xml:space="preserve">20</x:t>
        </x:is>
      </x:c>
      <x:c r="S121" s="2" t="inlineStr">
        <x:is>
          <x:t xml:space="preserve">2</x:t>
        </x:is>
      </x:c>
      <x:c r="T121" s="2" t="inlineStr">
        <x:is>
          <x:t xml:space="preserve">10</x:t>
        </x:is>
      </x:c>
      <x:c r="U121" s="2" t="inlineStr">
        <x:is>
          <x:t xml:space="preserve">7</x:t>
        </x:is>
      </x:c>
      <x:c r="V121" s="2" t="n"/>
      <x:c r="W121" s="2" t="inlineStr">
        <x:is>
          <x:t xml:space="preserve">Perception +6</x:t>
        </x:is>
      </x:c>
      <x:c r="X121" s="2" t="inlineStr">
        <x:is>
          <x:t xml:space="preserve">Darkvision 60 ft.; Passive Perception 16</x:t>
        </x:is>
      </x:c>
      <x:c r="Y121" s="2" t="inlineStr">
        <x:is>
          <x:t xml:space="preserve">None</x:t>
        </x:is>
      </x:c>
      <x:c r="Z121" s="2" t="inlineStr">
        <x:is>
          <x:t xml:space="preserve">Hold Breath. The hydra can hold its breath for 1 hour. Multiple Heads. The hydra has five heads. Whenever the hydra takes 25 damage or more on a single turn, one of its heads dies. The hydra dies if all its heads are dead. At the end of each of its turns when it has at least one living head, the hydra grows two heads for each of its heads that died since its last turn, unless it has taken Fire damage since its last turn. The hydra regains 20 Hit Points when it grows new heads. Reactive Heads. For each head the hydra has beyond one, it gets an extra Reaction that can be used only for Opportunity Attacks.</x:t>
        </x:is>
      </x:c>
      <x:c r="AA121" s="2" t="inlineStr">
        <x:is>
          <x:t xml:space="preserve">Multiattack. The hydra makes as many Bite attacks as it has heads. Bite. Melee Attack Roll: +8, reach 10 ft. Hit: 10 (1d10 + 5) Piercing damage. Ice Devil</x:t>
        </x:is>
      </x:c>
      <x:c r="AB121" s="2" t="n"/>
      <x:c r="AC121" s="2" t="n"/>
      <x:c r="AD121" s="2" t="n"/>
      <x:c r="AE121" s="2" t="n"/>
      <x:c r="AF121" s="2" t="inlineStr">
        <x:is>
          <x:t xml:space="preserve">Imported from SRD 5.2.1 p. 300 Index of Stat Blocks</x:t>
        </x:is>
      </x:c>
      <x:c r="AG121" s="2" t="inlineStr">
        <x:is>
          <x:t xml:space="preserve">https://www.dndbeyond.com/srd</x:t>
        </x:is>
      </x:c>
    </x:row>
    <x:row r="122" ht="18" customHeight="1">
      <x:c r="A122" s="2" t="inlineStr">
        <x:is>
          <x:t xml:space="preserve">Ice Devil</x:t>
        </x:is>
      </x:c>
      <x:c r="B122" s="2" t="inlineStr">
        <x:is>
          <x:t xml:space="preserve">SRD 5.2.1</x:t>
        </x:is>
      </x:c>
      <x:c r="C122" s="2" t="inlineStr">
        <x:is>
          <x:t xml:space="preserve">Fiend (Devil)</x:t>
        </x:is>
      </x:c>
      <x:c r="D122" s="2" t="inlineStr">
        <x:is>
          <x:t xml:space="preserve">Large</x:t>
        </x:is>
      </x:c>
      <x:c r="E122" s="2" t="inlineStr">
        <x:is>
          <x:t xml:space="preserve">Lawful Evil</x:t>
        </x:is>
      </x:c>
      <x:c r="F122" s="2" t="inlineStr">
        <x:is>
          <x:t xml:space="preserve">14</x:t>
        </x:is>
      </x:c>
      <x:c r="G122" s="2" t="inlineStr">
        <x:is>
          <x:t xml:space="preserve">11500</x:t>
        </x:is>
      </x:c>
      <x:c r="H122" s="2" t="inlineStr">
        <x:is>
          <x:t xml:space="preserve">18</x:t>
        </x:is>
      </x:c>
      <x:c r="I122" s="2" t="inlineStr">
        <x:is>
          <x:t xml:space="preserve">228</x:t>
        </x:is>
      </x:c>
      <x:c r="J122" s="2" t="inlineStr">
        <x:is>
          <x:t xml:space="preserve">40 ft.</x:t>
        </x:is>
      </x:c>
      <x:c r="K122" s="2" t="inlineStr">
        <x:is>
          <x:t xml:space="preserve">5</x:t>
        </x:is>
      </x:c>
      <x:c r="L122" s="2" t="inlineStr">
        <x:is>
          <x:t xml:space="preserve">17</x:t>
        </x:is>
      </x:c>
      <x:c r="M122" s="2" t="n"/>
      <x:c r="N122" s="2" t="inlineStr">
        <x:is>
          <x:t xml:space="preserve">10</x:t>
        </x:is>
      </x:c>
      <x:c r="O122" s="2" t="inlineStr">
        <x:is>
          <x:t xml:space="preserve">7</x:t>
        </x:is>
      </x:c>
      <x:c r="P122" s="2" t="inlineStr">
        <x:is>
          <x:t xml:space="preserve">21</x:t>
        </x:is>
      </x:c>
      <x:c r="Q122" s="2" t="inlineStr">
        <x:is>
          <x:t xml:space="preserve">14</x:t>
        </x:is>
      </x:c>
      <x:c r="R122" s="2" t="inlineStr">
        <x:is>
          <x:t xml:space="preserve">18</x:t>
        </x:is>
      </x:c>
      <x:c r="S122" s="2" t="inlineStr">
        <x:is>
          <x:t xml:space="preserve">18</x:t>
        </x:is>
      </x:c>
      <x:c r="T122" s="2" t="inlineStr">
        <x:is>
          <x:t xml:space="preserve">15</x:t>
        </x:is>
      </x:c>
      <x:c r="U122" s="2" t="inlineStr">
        <x:is>
          <x:t xml:space="preserve">18</x:t>
        </x:is>
      </x:c>
      <x:c r="V122" s="2" t="inlineStr">
        <x:is>
          <x:t xml:space="preserve">DEX +7, CON +9, WIS +7, CHA +9</x:t>
        </x:is>
      </x:c>
      <x:c r="W122" s="2" t="inlineStr">
        <x:is>
          <x:t xml:space="preserve">Insight +7, Perception +7, Persuasion +9</x:t>
        </x:is>
      </x:c>
      <x:c r="X122" s="2" t="inlineStr">
        <x:is>
          <x:t xml:space="preserve">Blindsight 120 ft.; Passive Perception 17</x:t>
        </x:is>
      </x:c>
      <x:c r="Y122" s="2" t="inlineStr">
        <x:is>
          <x:t xml:space="preserve">Infernal; telepathy 120 ft.</x:t>
        </x:is>
      </x:c>
      <x:c r="Z122" s="2" t="inlineStr">
        <x:is>
          <x:t xml:space="preserve">Diabolical Restoration. If the devil dies outside the Nine Hells, its body disappears in sulfurous smoke, and it gains a new body instantly, reviving with all its Hit Points somewhere in the Nine Hells. Magic Resistance. The devil has Advantage on saving throws against spells and other magical effects.</x:t>
        </x:is>
      </x:c>
      <x:c r="AA122" s="2" t="inlineStr">
        <x:is>
          <x:t xml:space="preserve">Multiattack. The devil makes three Ice Spear attacks. It can replace one attack with a Tail attack. Ice Spear. Melee or Ranged Attack Roll: +10, reach 5 ft. or range 30/120 ft. Hit: 14 (2d8 + 5) Piercing damage plus 10 (3d6) Cold damage. Until the end of its next turn, the target can’t take a Bonus Action or Reaction, its Speed decreases by 10 feet, and it can move or take one action on its turn, not both. Hit or Miss: The spear magically returns to the devil’s hand immediately after a ranged attack. Tail. Melee Attack Roll: +10, reach 10 ft. Hit: 15 (3d6 + 5) Bludgeoning damage plus 18 (4d8) Cold damage. Ice Wall (Recharge 6). The devil casts Wall of Ice (level 8 version), requiring no spell components and using In- telligence as the spellcasting ability (spell save DC 17). Imp</x:t>
        </x:is>
      </x:c>
      <x:c r="AB122" s="2" t="n"/>
      <x:c r="AC122" s="2" t="n"/>
      <x:c r="AD122" s="2" t="n"/>
      <x:c r="AE122" s="2" t="n"/>
      <x:c r="AF122" s="2" t="inlineStr">
        <x:is>
          <x:t xml:space="preserve">Imported from SRD 5.2.1 p. 300 Index of Stat Blocks</x:t>
        </x:is>
      </x:c>
      <x:c r="AG122" s="2" t="inlineStr">
        <x:is>
          <x:t xml:space="preserve">https://www.dndbeyond.com/srd</x:t>
        </x:is>
      </x:c>
    </x:row>
    <x:row r="123" ht="18" customHeight="1">
      <x:c r="A123" s="2" t="inlineStr">
        <x:is>
          <x:t xml:space="preserve">Imp</x:t>
        </x:is>
      </x:c>
      <x:c r="B123" s="2" t="inlineStr">
        <x:is>
          <x:t xml:space="preserve">SRD 5.2.1</x:t>
        </x:is>
      </x:c>
      <x:c r="C123" s="2" t="inlineStr">
        <x:is>
          <x:t xml:space="preserve">Fiend (Devil)</x:t>
        </x:is>
      </x:c>
      <x:c r="D123" s="2" t="inlineStr">
        <x:is>
          <x:t xml:space="preserve">Tiny</x:t>
        </x:is>
      </x:c>
      <x:c r="E123" s="2" t="inlineStr">
        <x:is>
          <x:t xml:space="preserve">Lawful Evil</x:t>
        </x:is>
      </x:c>
      <x:c r="F123" s="2" t="inlineStr">
        <x:is>
          <x:t xml:space="preserve">1</x:t>
        </x:is>
      </x:c>
      <x:c r="G123" s="2" t="inlineStr">
        <x:is>
          <x:t xml:space="preserve">200</x:t>
        </x:is>
      </x:c>
      <x:c r="H123" s="2" t="inlineStr">
        <x:is>
          <x:t xml:space="preserve">13</x:t>
        </x:is>
      </x:c>
      <x:c r="I123" s="2" t="inlineStr">
        <x:is>
          <x:t xml:space="preserve">21</x:t>
        </x:is>
      </x:c>
      <x:c r="J123" s="2" t="inlineStr">
        <x:is>
          <x:t xml:space="preserve">20 ft., Fly 40 ft.</x:t>
        </x:is>
      </x:c>
      <x:c r="K123" s="2" t="inlineStr">
        <x:is>
          <x:t xml:space="preserve">2</x:t>
        </x:is>
      </x:c>
      <x:c r="L123" s="2" t="inlineStr">
        <x:is>
          <x:t xml:space="preserve">11</x:t>
        </x:is>
      </x:c>
      <x:c r="M123" s="2" t="n"/>
      <x:c r="N123" s="2" t="inlineStr">
        <x:is>
          <x:t xml:space="preserve">5</x:t>
        </x:is>
      </x:c>
      <x:c r="O123" s="2" t="inlineStr">
        <x:is>
          <x:t xml:space="preserve">3</x:t>
        </x:is>
      </x:c>
      <x:c r="P123" s="2" t="inlineStr">
        <x:is>
          <x:t xml:space="preserve">6</x:t>
        </x:is>
      </x:c>
      <x:c r="Q123" s="2" t="inlineStr">
        <x:is>
          <x:t xml:space="preserve">17</x:t>
        </x:is>
      </x:c>
      <x:c r="R123" s="2" t="inlineStr">
        <x:is>
          <x:t xml:space="preserve">13</x:t>
        </x:is>
      </x:c>
      <x:c r="S123" s="2" t="inlineStr">
        <x:is>
          <x:t xml:space="preserve">11</x:t>
        </x:is>
      </x:c>
      <x:c r="T123" s="2" t="inlineStr">
        <x:is>
          <x:t xml:space="preserve">12</x:t>
        </x:is>
      </x:c>
      <x:c r="U123" s="2" t="inlineStr">
        <x:is>
          <x:t xml:space="preserve">14</x:t>
        </x:is>
      </x:c>
      <x:c r="V123" s="2" t="n"/>
      <x:c r="W123" s="2" t="inlineStr">
        <x:is>
          <x:t xml:space="preserve">Deception +4, Insight +3, Stealth +5</x:t>
        </x:is>
      </x:c>
      <x:c r="X123" s="2" t="inlineStr">
        <x:is>
          <x:t xml:space="preserve">Darkvision 120 ft. (unimpeded by magical Darkness); Passive Perception 11</x:t>
        </x:is>
      </x:c>
      <x:c r="Y123" s="2" t="inlineStr">
        <x:is>
          <x:t xml:space="preserve">Common, Infernal</x:t>
        </x:is>
      </x:c>
      <x:c r="Z123" s="2" t="inlineStr">
        <x:is>
          <x:t xml:space="preserve">Magic Resistance. The imp has Advantage on saving throws against spells and other magical effects.</x:t>
        </x:is>
      </x:c>
      <x:c r="AA123" s="2" t="inlineStr">
        <x:is>
          <x:t xml:space="preserve">Sting. Melee Attack Roll: +5, reach 5 ft. Hit: 6 (1d6 + 3) Piercing damage plus 7 (2d6) Poison damage. Invisibility. The imp casts Invisibility on itself, requiring no spell components and using Charisma as the spell- casting ability. Shape-Shift. The imp shape-shifts to resemble a rat (Speed 20 ft.), a raven (20 ft., Fly 60 ft.), or a spider (20 ft., Climb 20 ft.), or it returns to its true form. Its game statistics are the same in each form, except for its Speed. Any equipment it is wearing or carrying isn’t transformed. Incubus</x:t>
        </x:is>
      </x:c>
      <x:c r="AB123" s="2" t="n"/>
      <x:c r="AC123" s="2" t="n"/>
      <x:c r="AD123" s="2" t="n"/>
      <x:c r="AE123" s="2" t="n"/>
      <x:c r="AF123" s="2" t="inlineStr">
        <x:is>
          <x:t xml:space="preserve">Imported from SRD 5.2.1 p. 300 Index of Stat Blocks</x:t>
        </x:is>
      </x:c>
      <x:c r="AG123" s="2" t="inlineStr">
        <x:is>
          <x:t xml:space="preserve">https://www.dndbeyond.com/srd</x:t>
        </x:is>
      </x:c>
    </x:row>
    <x:row r="124" ht="18" customHeight="1">
      <x:c r="A124" s="2" t="inlineStr">
        <x:is>
          <x:t xml:space="preserve">Incubus</x:t>
        </x:is>
      </x:c>
      <x:c r="B124" s="2" t="inlineStr">
        <x:is>
          <x:t xml:space="preserve">SRD 5.2.1</x:t>
        </x:is>
      </x:c>
      <x:c r="C124" s="2" t="inlineStr">
        <x:is>
          <x:t xml:space="preserve">Fiend</x:t>
        </x:is>
      </x:c>
      <x:c r="D124" s="2" t="inlineStr">
        <x:is>
          <x:t xml:space="preserve">Medium</x:t>
        </x:is>
      </x:c>
      <x:c r="E124" s="2" t="inlineStr">
        <x:is>
          <x:t xml:space="preserve">Neutral Evil</x:t>
        </x:is>
      </x:c>
      <x:c r="F124" s="2" t="inlineStr">
        <x:is>
          <x:t xml:space="preserve">4</x:t>
        </x:is>
      </x:c>
      <x:c r="G124" s="2" t="inlineStr">
        <x:is>
          <x:t xml:space="preserve">1100</x:t>
        </x:is>
      </x:c>
      <x:c r="H124" s="2" t="inlineStr">
        <x:is>
          <x:t xml:space="preserve">15</x:t>
        </x:is>
      </x:c>
      <x:c r="I124" s="2" t="inlineStr">
        <x:is>
          <x:t xml:space="preserve">66</x:t>
        </x:is>
      </x:c>
      <x:c r="J124" s="2" t="inlineStr">
        <x:is>
          <x:t xml:space="preserve">30 ft., Fly 60 ft.</x:t>
        </x:is>
      </x:c>
      <x:c r="K124" s="2" t="inlineStr">
        <x:is>
          <x:t xml:space="preserve">2</x:t>
        </x:is>
      </x:c>
      <x:c r="L124" s="2" t="inlineStr">
        <x:is>
          <x:t xml:space="preserve">15</x:t>
        </x:is>
      </x:c>
      <x:c r="M124" s="2" t="inlineStr">
        <x:is>
          <x:t xml:space="preserve">15</x:t>
        </x:is>
      </x:c>
      <x:c r="N124" s="2" t="inlineStr">
        <x:is>
          <x:t xml:space="preserve">7</x:t>
        </x:is>
      </x:c>
      <x:c r="O124" s="2" t="inlineStr">
        <x:is>
          <x:t xml:space="preserve">3</x:t>
        </x:is>
      </x:c>
      <x:c r="P124" s="2" t="inlineStr">
        <x:is>
          <x:t xml:space="preserve">8</x:t>
        </x:is>
      </x:c>
      <x:c r="Q124" s="2" t="inlineStr">
        <x:is>
          <x:t xml:space="preserve">17</x:t>
        </x:is>
      </x:c>
      <x:c r="R124" s="2" t="inlineStr">
        <x:is>
          <x:t xml:space="preserve">13</x:t>
        </x:is>
      </x:c>
      <x:c r="S124" s="2" t="inlineStr">
        <x:is>
          <x:t xml:space="preserve">15</x:t>
        </x:is>
      </x:c>
      <x:c r="T124" s="2" t="inlineStr">
        <x:is>
          <x:t xml:space="preserve">12</x:t>
        </x:is>
      </x:c>
      <x:c r="U124" s="2" t="inlineStr">
        <x:is>
          <x:t xml:space="preserve">20</x:t>
        </x:is>
      </x:c>
      <x:c r="V124" s="2" t="n"/>
      <x:c r="W124" s="2" t="inlineStr">
        <x:is>
          <x:t xml:space="preserve">Deception +9, Insight +5, Perception +5, Persuasion +9, Stealth +7</x:t>
        </x:is>
      </x:c>
      <x:c r="X124" s="2" t="inlineStr">
        <x:is>
          <x:t xml:space="preserve">Darkvision 60 ft.; Passive Perception 15</x:t>
        </x:is>
      </x:c>
      <x:c r="Y124" s="2" t="inlineStr">
        <x:is>
          <x:t xml:space="preserve">Abyssal, Common, Infernal; telepathy 60 ft.</x:t>
        </x:is>
      </x:c>
      <x:c r="Z124" s="2" t="inlineStr">
        <x:is>
          <x:t xml:space="preserve">Succubus Form. When the incubus finishes a Long Rest, it can shape-shift into a Succubus, using that stat block instead of this one. Any equipment it is wearing or carrying isn’t transformed.</x:t>
        </x:is>
      </x:c>
      <x:c r="AA124" s="2" t="inlineStr">
        <x:is>
          <x:t xml:space="preserve">Multiattack. The incubus makes two Restless Touch attacks. Restless Touch. Melee Attack Roll: +7, reach 5 ft. Hit: 15 (3d6 + 5) Psychic damage, and the target is cursed for 24 hours or until the incubus dies. Until the curse ends, the target gains no benefit from finishing Short Rests. Spellcasting. The incubus casts one of the following spells, requiring no Material components and using Charisma as the spellcasting ability (spell save DC 15): At Will: Disguise Self, Etherealness 1/Day Each: Dream, Hypnotic Pattern</x:t>
        </x:is>
      </x:c>
      <x:c r="AB124" s="2" t="inlineStr">
        <x:is>
          <x:t xml:space="preserve">Nightmare (Recharge 6). Wisdom Saving Throw: DC 15, one creature the incubus can see within 60 feet. Failure: If the target has 20 Hit Points or fewer, it has the Unconscious condition for 1 hour, until it takes damage, or until a creature within 5 feet of it takes an action to wake it. Otherwise, the target takes 18 (4d8) Psychic damage. Invisible Stalker</x:t>
        </x:is>
      </x:c>
      <x:c r="AC124" s="2" t="n"/>
      <x:c r="AD124" s="2" t="n"/>
      <x:c r="AE124" s="2" t="inlineStr">
        <x:is>
          <x:t xml:space="preserve">Includes Spellcasting; see Traits/Actions text</x:t>
        </x:is>
      </x:c>
      <x:c r="AF124" s="2" t="inlineStr">
        <x:is>
          <x:t xml:space="preserve">Imported from SRD 5.2.1 p. 301 Index of Stat Blocks</x:t>
        </x:is>
      </x:c>
      <x:c r="AG124" s="2" t="inlineStr">
        <x:is>
          <x:t xml:space="preserve">https://www.dndbeyond.com/srd</x:t>
        </x:is>
      </x:c>
    </x:row>
    <x:row r="125" ht="18" customHeight="1">
      <x:c r="A125" s="2" t="inlineStr">
        <x:is>
          <x:t xml:space="preserve">Invisible Stalker</x:t>
        </x:is>
      </x:c>
      <x:c r="B125" s="2" t="inlineStr">
        <x:is>
          <x:t xml:space="preserve">SRD 5.2.1</x:t>
        </x:is>
      </x:c>
      <x:c r="C125" s="2" t="inlineStr">
        <x:is>
          <x:t xml:space="preserve">Elemental</x:t>
        </x:is>
      </x:c>
      <x:c r="D125" s="2" t="inlineStr">
        <x:is>
          <x:t xml:space="preserve">Large</x:t>
        </x:is>
      </x:c>
      <x:c r="E125" s="2" t="inlineStr">
        <x:is>
          <x:t xml:space="preserve">Neutral</x:t>
        </x:is>
      </x:c>
      <x:c r="F125" s="2" t="inlineStr">
        <x:is>
          <x:t xml:space="preserve">6</x:t>
        </x:is>
      </x:c>
      <x:c r="G125" s="2" t="inlineStr">
        <x:is>
          <x:t xml:space="preserve">2300</x:t>
        </x:is>
      </x:c>
      <x:c r="H125" s="2" t="inlineStr">
        <x:is>
          <x:t xml:space="preserve">14</x:t>
        </x:is>
      </x:c>
      <x:c r="I125" s="2" t="inlineStr">
        <x:is>
          <x:t xml:space="preserve">97</x:t>
        </x:is>
      </x:c>
      <x:c r="J125" s="2" t="inlineStr">
        <x:is>
          <x:t xml:space="preserve">50 ft., Fly 50 ft. (hover)</x:t>
        </x:is>
      </x:c>
      <x:c r="K125" s="2" t="inlineStr">
        <x:is>
          <x:t xml:space="preserve">3</x:t>
        </x:is>
      </x:c>
      <x:c r="L125" s="2" t="inlineStr">
        <x:is>
          <x:t xml:space="preserve">18</x:t>
        </x:is>
      </x:c>
      <x:c r="M125" s="2" t="inlineStr">
        <x:is>
          <x:t xml:space="preserve">14</x:t>
        </x:is>
      </x:c>
      <x:c r="N125" s="2" t="inlineStr">
        <x:is>
          <x:t xml:space="preserve">7</x:t>
        </x:is>
      </x:c>
      <x:c r="O125" s="2" t="inlineStr">
        <x:is>
          <x:t xml:space="preserve">7</x:t>
        </x:is>
      </x:c>
      <x:c r="P125" s="2" t="inlineStr">
        <x:is>
          <x:t xml:space="preserve">16</x:t>
        </x:is>
      </x:c>
      <x:c r="Q125" s="2" t="inlineStr">
        <x:is>
          <x:t xml:space="preserve">19</x:t>
        </x:is>
      </x:c>
      <x:c r="R125" s="2" t="inlineStr">
        <x:is>
          <x:t xml:space="preserve">14</x:t>
        </x:is>
      </x:c>
      <x:c r="S125" s="2" t="inlineStr">
        <x:is>
          <x:t xml:space="preserve">10</x:t>
        </x:is>
      </x:c>
      <x:c r="T125" s="2" t="inlineStr">
        <x:is>
          <x:t xml:space="preserve">15</x:t>
        </x:is>
      </x:c>
      <x:c r="U125" s="2" t="inlineStr">
        <x:is>
          <x:t xml:space="preserve">11</x:t>
        </x:is>
      </x:c>
      <x:c r="V125" s="2" t="n"/>
      <x:c r="W125" s="2" t="inlineStr">
        <x:is>
          <x:t xml:space="preserve">Perception +8, Stealth +10</x:t>
        </x:is>
      </x:c>
      <x:c r="X125" s="2" t="inlineStr">
        <x:is>
          <x:t xml:space="preserve">Darkvision 60 ft.; Passive Perception 18</x:t>
        </x:is>
      </x:c>
      <x:c r="Y125" s="2" t="inlineStr">
        <x:is>
          <x:t xml:space="preserve">Common, Primordial (Auran)</x:t>
        </x:is>
      </x:c>
      <x:c r="Z125" s="2" t="inlineStr">
        <x:is>
          <x:t xml:space="preserve">Air Form. The stalker can enter an enemy’s space and stop there. It can move through a space as narrow as 1 inch without expending extra movement to do so. Invisibility. The stalker has the Invisible condition.</x:t>
        </x:is>
      </x:c>
      <x:c r="AA125" s="2" t="inlineStr">
        <x:is>
          <x:t xml:space="preserve">Multiattack. The stalker makes three Wind Swipe at- tacks. It can replace one attack with a use of Vortex. Wind Swipe. Melee Attack Roll: +7, reach 5 ft. Hit: 11 (2d6 + 4) Force damage. Vortex. Constitution Saving Throw: DC 14, one Large or smaller creature in the stalker’s space. Failure: 7 (1d8 + 3) Thunder damage, and the target has the Grappled condition (escape DC 13). Until the grapple ends, the target can’t cast spells with a Verbal component and takes 7 (2d6) Thunder damage at the start of each of the stalker’s turns. Iron Golem</x:t>
        </x:is>
      </x:c>
      <x:c r="AB125" s="2" t="n"/>
      <x:c r="AC125" s="2" t="n"/>
      <x:c r="AD125" s="2" t="n"/>
      <x:c r="AE125" s="2" t="n"/>
      <x:c r="AF125" s="2" t="inlineStr">
        <x:is>
          <x:t xml:space="preserve">Imported from SRD 5.2.1 p. 301 Index of Stat Blocks</x:t>
        </x:is>
      </x:c>
      <x:c r="AG125" s="2" t="inlineStr">
        <x:is>
          <x:t xml:space="preserve">https://www.dndbeyond.com/srd</x:t>
        </x:is>
      </x:c>
    </x:row>
    <x:row r="126" ht="18" customHeight="1">
      <x:c r="A126" s="2" t="inlineStr">
        <x:is>
          <x:t xml:space="preserve">Iron Golem</x:t>
        </x:is>
      </x:c>
      <x:c r="B126" s="2" t="inlineStr">
        <x:is>
          <x:t xml:space="preserve">SRD 5.2.1</x:t>
        </x:is>
      </x:c>
      <x:c r="C126" s="2" t="inlineStr">
        <x:is>
          <x:t xml:space="preserve">Construct</x:t>
        </x:is>
      </x:c>
      <x:c r="D126" s="2" t="inlineStr">
        <x:is>
          <x:t xml:space="preserve">Large</x:t>
        </x:is>
      </x:c>
      <x:c r="E126" s="2" t="inlineStr">
        <x:is>
          <x:t xml:space="preserve">Unaligned</x:t>
        </x:is>
      </x:c>
      <x:c r="F126" s="2" t="inlineStr">
        <x:is>
          <x:t xml:space="preserve">16</x:t>
        </x:is>
      </x:c>
      <x:c r="G126" s="2" t="inlineStr">
        <x:is>
          <x:t xml:space="preserve">15000</x:t>
        </x:is>
      </x:c>
      <x:c r="H126" s="2" t="inlineStr">
        <x:is>
          <x:t xml:space="preserve">20</x:t>
        </x:is>
      </x:c>
      <x:c r="I126" s="2" t="inlineStr">
        <x:is>
          <x:t xml:space="preserve">252</x:t>
        </x:is>
      </x:c>
      <x:c r="J126" s="2" t="inlineStr">
        <x:is>
          <x:t xml:space="preserve">30 ft.</x:t>
        </x:is>
      </x:c>
      <x:c r="K126" s="2" t="inlineStr">
        <x:is>
          <x:t xml:space="preserve">5</x:t>
        </x:is>
      </x:c>
      <x:c r="L126" s="2" t="inlineStr">
        <x:is>
          <x:t xml:space="preserve">10</x:t>
        </x:is>
      </x:c>
      <x:c r="M126" s="2" t="n"/>
      <x:c r="N126" s="2" t="inlineStr">
        <x:is>
          <x:t xml:space="preserve">12</x:t>
        </x:is>
      </x:c>
      <x:c r="O126" s="2" t="inlineStr">
        <x:is>
          <x:t xml:space="preserve">9</x:t>
        </x:is>
      </x:c>
      <x:c r="P126" s="2" t="inlineStr">
        <x:is>
          <x:t xml:space="preserve">24</x:t>
        </x:is>
      </x:c>
      <x:c r="Q126" s="2" t="inlineStr">
        <x:is>
          <x:t xml:space="preserve">9</x:t>
        </x:is>
      </x:c>
      <x:c r="R126" s="2" t="inlineStr">
        <x:is>
          <x:t xml:space="preserve">20</x:t>
        </x:is>
      </x:c>
      <x:c r="S126" s="2" t="inlineStr">
        <x:is>
          <x:t xml:space="preserve">3</x:t>
        </x:is>
      </x:c>
      <x:c r="T126" s="2" t="inlineStr">
        <x:is>
          <x:t xml:space="preserve">11</x:t>
        </x:is>
      </x:c>
      <x:c r="U126" s="2" t="inlineStr">
        <x:is>
          <x:t xml:space="preserve">1</x:t>
        </x:is>
      </x:c>
      <x:c r="V126" s="2" t="n"/>
      <x:c r="W126" s="2" t="n"/>
      <x:c r="X126" s="2" t="inlineStr">
        <x:is>
          <x:t xml:space="preserve">Darkvision 120 ft.; Passive Perception 10</x:t>
        </x:is>
      </x:c>
      <x:c r="Y126" s="2" t="inlineStr">
        <x:is>
          <x:t xml:space="preserve">Understands Common plus two other languages but can’t speak</x:t>
        </x:is>
      </x:c>
      <x:c r="Z126" s="2" t="inlineStr">
        <x:is>
          <x:t xml:space="preserve">Fire Absorption. Whenever the golem is subjected to Fire damage, it regains a number of Hit Points equal to the Fire damage dealt. Immutable Form. The golem can’t shape-shift. Magic Resistance. The golem has Advantage on saving throws against spells and other magical effects.</x:t>
        </x:is>
      </x:c>
      <x:c r="AA126" s="2" t="inlineStr">
        <x:is>
          <x:t xml:space="preserve">Multiattack. The golem makes two attacks, using Bladed Arm or Fiery Bolt in any combination. Bladed Arm. Melee Attack Roll: +12, reach 10 ft. Hit: 20 (3d8 + 7) Slashing damage plus 10 (3d6) Fire damage. Fiery Bolt. Ranged Attack Roll: +10, range 120 ft. Hit: 36 (8d8) Fire damage. Poison Breath (Recharge 6). Constitution Saving Throw: DC 18, each creature in a 60-foot Cone. Fail- ure: 55 (10d10) Poison damage. Success: Half damage. Knight</x:t>
        </x:is>
      </x:c>
      <x:c r="AB126" s="2" t="n"/>
      <x:c r="AC126" s="2" t="n"/>
      <x:c r="AD126" s="2" t="n"/>
      <x:c r="AE126" s="2" t="n"/>
      <x:c r="AF126" s="2" t="inlineStr">
        <x:is>
          <x:t xml:space="preserve">Imported from SRD 5.2.1 p. 302 Index of Stat Blocks</x:t>
        </x:is>
      </x:c>
      <x:c r="AG126" s="2" t="inlineStr">
        <x:is>
          <x:t xml:space="preserve">https://www.dndbeyond.com/srd</x:t>
        </x:is>
      </x:c>
    </x:row>
    <x:row r="127" ht="18" customHeight="1">
      <x:c r="A127" s="2" t="inlineStr">
        <x:is>
          <x:t xml:space="preserve">Knight</x:t>
        </x:is>
      </x:c>
      <x:c r="B127" s="2" t="inlineStr">
        <x:is>
          <x:t xml:space="preserve">SRD 5.2.1</x:t>
        </x:is>
      </x:c>
      <x:c r="C127" s="2" t="inlineStr">
        <x:is>
          <x:t xml:space="preserve">Humanoid</x:t>
        </x:is>
      </x:c>
      <x:c r="D127" s="2" t="inlineStr">
        <x:is>
          <x:t xml:space="preserve">Medium or Small</x:t>
        </x:is>
      </x:c>
      <x:c r="E127" s="2" t="inlineStr">
        <x:is>
          <x:t xml:space="preserve">Neutral</x:t>
        </x:is>
      </x:c>
      <x:c r="F127" s="2" t="inlineStr">
        <x:is>
          <x:t xml:space="preserve">3</x:t>
        </x:is>
      </x:c>
      <x:c r="G127" s="2" t="inlineStr">
        <x:is>
          <x:t xml:space="preserve">700</x:t>
        </x:is>
      </x:c>
      <x:c r="H127" s="2" t="inlineStr">
        <x:is>
          <x:t xml:space="preserve">18</x:t>
        </x:is>
      </x:c>
      <x:c r="I127" s="2" t="inlineStr">
        <x:is>
          <x:t xml:space="preserve">52</x:t>
        </x:is>
      </x:c>
      <x:c r="J127" s="2" t="inlineStr">
        <x:is>
          <x:t xml:space="preserve">30 ft.</x:t>
        </x:is>
      </x:c>
      <x:c r="K127" s="2" t="inlineStr">
        <x:is>
          <x:t xml:space="preserve">2</x:t>
        </x:is>
      </x:c>
      <x:c r="L127" s="2" t="inlineStr">
        <x:is>
          <x:t xml:space="preserve">10</x:t>
        </x:is>
      </x:c>
      <x:c r="M127" s="2" t="n"/>
      <x:c r="N127" s="2" t="inlineStr">
        <x:is>
          <x:t xml:space="preserve">5</x:t>
        </x:is>
      </x:c>
      <x:c r="O127" s="2" t="inlineStr">
        <x:is>
          <x:t xml:space="preserve">0</x:t>
        </x:is>
      </x:c>
      <x:c r="P127" s="2" t="inlineStr">
        <x:is>
          <x:t xml:space="preserve">16</x:t>
        </x:is>
      </x:c>
      <x:c r="Q127" s="2" t="inlineStr">
        <x:is>
          <x:t xml:space="preserve">11</x:t>
        </x:is>
      </x:c>
      <x:c r="R127" s="2" t="inlineStr">
        <x:is>
          <x:t xml:space="preserve">14</x:t>
        </x:is>
      </x:c>
      <x:c r="S127" s="2" t="inlineStr">
        <x:is>
          <x:t xml:space="preserve">11</x:t>
        </x:is>
      </x:c>
      <x:c r="T127" s="2" t="inlineStr">
        <x:is>
          <x:t xml:space="preserve">11</x:t>
        </x:is>
      </x:c>
      <x:c r="U127" s="2" t="inlineStr">
        <x:is>
          <x:t xml:space="preserve">15</x:t>
        </x:is>
      </x:c>
      <x:c r="V127" s="2" t="inlineStr">
        <x:is>
          <x:t xml:space="preserve">CON +4, WIS +2</x:t>
        </x:is>
      </x:c>
      <x:c r="W127" s="2" t="n"/>
      <x:c r="X127" s="2" t="inlineStr">
        <x:is>
          <x:t xml:space="preserve">Passive Perception 10</x:t>
        </x:is>
      </x:c>
      <x:c r="Y127" s="2" t="inlineStr">
        <x:is>
          <x:t xml:space="preserve">Common plus one other language</x:t>
        </x:is>
      </x:c>
      <x:c r="Z127" s="2" t="n"/>
      <x:c r="AA127" s="2" t="inlineStr">
        <x:is>
          <x:t xml:space="preserve">Multiattack. The knight makes two attacks, using Greatsword or Heavy Crossbow in any combination. Greatsword. Melee Attack Roll: +5, reach 5 ft. Hit: 10 (2d6 + 3) Slashing damage plus 4 (1d8) Radiant damage. Heavy Crossbow. Ranged Attack Roll: +2, range 100/400 ft. Hit: 11 (2d10) Piercing damage plus 4 (1d8) Radiant damage.</x:t>
        </x:is>
      </x:c>
      <x:c r="AB127" s="2" t="n"/>
      <x:c r="AC127" s="2" t="inlineStr">
        <x:is>
          <x:t xml:space="preserve">Parry. Trigger: The knight is hit by a melee attack roll while holding a weapon. Response: The knight adds 2 to its AC against that attack, possibly causing it to miss. Kobold</x:t>
        </x:is>
      </x:c>
      <x:c r="AD127" s="2" t="n"/>
      <x:c r="AE127" s="2" t="n"/>
      <x:c r="AF127" s="2" t="inlineStr">
        <x:is>
          <x:t xml:space="preserve">Imported from SRD 5.2.1 p. 302 Index of Stat Blocks</x:t>
        </x:is>
      </x:c>
      <x:c r="AG127" s="2" t="inlineStr">
        <x:is>
          <x:t xml:space="preserve">https://www.dndbeyond.com/srd</x:t>
        </x:is>
      </x:c>
    </x:row>
    <x:row r="128" ht="18" customHeight="1">
      <x:c r="A128" s="2" t="inlineStr">
        <x:is>
          <x:t xml:space="preserve">Kobold Warrior</x:t>
        </x:is>
      </x:c>
      <x:c r="B128" s="2" t="inlineStr">
        <x:is>
          <x:t xml:space="preserve">SRD 5.2.1</x:t>
        </x:is>
      </x:c>
      <x:c r="C128" s="2" t="inlineStr">
        <x:is>
          <x:t xml:space="preserve">Dragon</x:t>
        </x:is>
      </x:c>
      <x:c r="D128" s="2" t="inlineStr">
        <x:is>
          <x:t xml:space="preserve">Small</x:t>
        </x:is>
      </x:c>
      <x:c r="E128" s="2" t="inlineStr">
        <x:is>
          <x:t xml:space="preserve">Neutral</x:t>
        </x:is>
      </x:c>
      <x:c r="F128" s="2" t="inlineStr">
        <x:is>
          <x:t xml:space="preserve">1/8</x:t>
        </x:is>
      </x:c>
      <x:c r="G128" s="2" t="inlineStr">
        <x:is>
          <x:t xml:space="preserve">25</x:t>
        </x:is>
      </x:c>
      <x:c r="H128" s="2" t="inlineStr">
        <x:is>
          <x:t xml:space="preserve">14</x:t>
        </x:is>
      </x:c>
      <x:c r="I128" s="2" t="inlineStr">
        <x:is>
          <x:t xml:space="preserve">7</x:t>
        </x:is>
      </x:c>
      <x:c r="J128" s="2" t="inlineStr">
        <x:is>
          <x:t xml:space="preserve">30 ft.</x:t>
        </x:is>
      </x:c>
      <x:c r="K128" s="2" t="inlineStr">
        <x:is>
          <x:t xml:space="preserve">2</x:t>
        </x:is>
      </x:c>
      <x:c r="L128" s="2" t="inlineStr">
        <x:is>
          <x:t xml:space="preserve">8</x:t>
        </x:is>
      </x:c>
      <x:c r="M128" s="2" t="n"/>
      <x:c r="N128" s="2" t="inlineStr">
        <x:is>
          <x:t xml:space="preserve">4</x:t>
        </x:is>
      </x:c>
      <x:c r="O128" s="2" t="inlineStr">
        <x:is>
          <x:t xml:space="preserve">2</x:t>
        </x:is>
      </x:c>
      <x:c r="P128" s="2" t="inlineStr">
        <x:is>
          <x:t xml:space="preserve">7</x:t>
        </x:is>
      </x:c>
      <x:c r="Q128" s="2" t="inlineStr">
        <x:is>
          <x:t xml:space="preserve">15</x:t>
        </x:is>
      </x:c>
      <x:c r="R128" s="2" t="inlineStr">
        <x:is>
          <x:t xml:space="preserve">9</x:t>
        </x:is>
      </x:c>
      <x:c r="S128" s="2" t="inlineStr">
        <x:is>
          <x:t xml:space="preserve">8</x:t>
        </x:is>
      </x:c>
      <x:c r="T128" s="2" t="inlineStr">
        <x:is>
          <x:t xml:space="preserve">7</x:t>
        </x:is>
      </x:c>
      <x:c r="U128" s="2" t="inlineStr">
        <x:is>
          <x:t xml:space="preserve">8</x:t>
        </x:is>
      </x:c>
      <x:c r="V128" s="2" t="n"/>
      <x:c r="W128" s="2" t="n"/>
      <x:c r="X128" s="2" t="inlineStr">
        <x:is>
          <x:t xml:space="preserve">Darkvision 60 ft.; Passive Perception 8</x:t>
        </x:is>
      </x:c>
      <x:c r="Y128" s="2" t="inlineStr">
        <x:is>
          <x:t xml:space="preserve">Common, Draconic</x:t>
        </x:is>
      </x:c>
      <x:c r="Z128" s="2" t="inlineStr">
        <x:is>
          <x:t xml:space="preserve">Pack Tactics. The kobold has Advantage on an attack roll against a creature if at least one of the kobold’s al- lies is within 5 feet of the creature and the ally doesn’t have the Incapacitated condition. Sunlight Sensitivity. While in sunlight, the kobold has Disadvantage on ability checks and attack rolls.</x:t>
        </x:is>
      </x:c>
      <x:c r="AA128" s="2" t="inlineStr">
        <x:is>
          <x:t xml:space="preserve">Dagger. Melee or Ranged Attack Roll: +4, reach 5 ft. or range 20/60 ft. Hit: 4 (1d4 + 2) Piercing damage. Kraken</x:t>
        </x:is>
      </x:c>
      <x:c r="AB128" s="2" t="n"/>
      <x:c r="AC128" s="2" t="n"/>
      <x:c r="AD128" s="2" t="n"/>
      <x:c r="AE128" s="2" t="n"/>
      <x:c r="AF128" s="2" t="inlineStr">
        <x:is>
          <x:t xml:space="preserve">Imported from SRD 5.2.1 p. 302 Index of Stat Blocks</x:t>
        </x:is>
      </x:c>
      <x:c r="AG128" s="2" t="inlineStr">
        <x:is>
          <x:t xml:space="preserve">https://www.dndbeyond.com/srd</x:t>
        </x:is>
      </x:c>
    </x:row>
    <x:row r="129" ht="18" customHeight="1">
      <x:c r="A129" s="2" t="inlineStr">
        <x:is>
          <x:t xml:space="preserve">Kraken</x:t>
        </x:is>
      </x:c>
      <x:c r="B129" s="2" t="inlineStr">
        <x:is>
          <x:t xml:space="preserve">SRD 5.2.1</x:t>
        </x:is>
      </x:c>
      <x:c r="C129" s="2" t="inlineStr">
        <x:is>
          <x:t xml:space="preserve">Monstrosity (Titan)</x:t>
        </x:is>
      </x:c>
      <x:c r="D129" s="2" t="inlineStr">
        <x:is>
          <x:t xml:space="preserve">Gargantuan</x:t>
        </x:is>
      </x:c>
      <x:c r="E129" s="2" t="inlineStr">
        <x:is>
          <x:t xml:space="preserve">Chaotic Evil</x:t>
        </x:is>
      </x:c>
      <x:c r="F129" s="2" t="inlineStr">
        <x:is>
          <x:t xml:space="preserve">23</x:t>
        </x:is>
      </x:c>
      <x:c r="G129" s="2" t="inlineStr">
        <x:is>
          <x:t xml:space="preserve">50000</x:t>
        </x:is>
      </x:c>
      <x:c r="H129" s="2" t="inlineStr">
        <x:is>
          <x:t xml:space="preserve">18</x:t>
        </x:is>
      </x:c>
      <x:c r="I129" s="2" t="inlineStr">
        <x:is>
          <x:t xml:space="preserve">481</x:t>
        </x:is>
      </x:c>
      <x:c r="J129" s="2" t="inlineStr">
        <x:is>
          <x:t xml:space="preserve">30 ft., Swim 120 ft.</x:t>
        </x:is>
      </x:c>
      <x:c r="K129" s="2" t="inlineStr">
        <x:is>
          <x:t xml:space="preserve">7</x:t>
        </x:is>
      </x:c>
      <x:c r="L129" s="2" t="inlineStr">
        <x:is>
          <x:t xml:space="preserve">21</x:t>
        </x:is>
      </x:c>
      <x:c r="M129" s="2" t="inlineStr">
        <x:is>
          <x:t xml:space="preserve">25</x:t>
        </x:is>
      </x:c>
      <x:c r="N129" s="2" t="inlineStr">
        <x:is>
          <x:t xml:space="preserve">17</x:t>
        </x:is>
      </x:c>
      <x:c r="O129" s="2" t="inlineStr">
        <x:is>
          <x:t xml:space="preserve">14</x:t>
        </x:is>
      </x:c>
      <x:c r="P129" s="2" t="inlineStr">
        <x:is>
          <x:t xml:space="preserve">30</x:t>
        </x:is>
      </x:c>
      <x:c r="Q129" s="2" t="inlineStr">
        <x:is>
          <x:t xml:space="preserve">11</x:t>
        </x:is>
      </x:c>
      <x:c r="R129" s="2" t="inlineStr">
        <x:is>
          <x:t xml:space="preserve">26</x:t>
        </x:is>
      </x:c>
      <x:c r="S129" s="2" t="inlineStr">
        <x:is>
          <x:t xml:space="preserve">22</x:t>
        </x:is>
      </x:c>
      <x:c r="T129" s="2" t="inlineStr">
        <x:is>
          <x:t xml:space="preserve">18</x:t>
        </x:is>
      </x:c>
      <x:c r="U129" s="2" t="inlineStr">
        <x:is>
          <x:t xml:space="preserve">20</x:t>
        </x:is>
      </x:c>
      <x:c r="V129" s="2" t="inlineStr">
        <x:is>
          <x:t xml:space="preserve">STR +17, DEX +7, CON +15, WIS +11</x:t>
        </x:is>
      </x:c>
      <x:c r="W129" s="2" t="inlineStr">
        <x:is>
          <x:t xml:space="preserve">History +13, Perception +11</x:t>
        </x:is>
      </x:c>
      <x:c r="X129" s="2" t="inlineStr">
        <x:is>
          <x:t xml:space="preserve">Truesight 120 ft.; Passive Perception 21</x:t>
        </x:is>
      </x:c>
      <x:c r="Y129" s="2" t="inlineStr">
        <x:is>
          <x:t xml:space="preserve">Understands Abyssal, Celestial, Infernal, and Primordial but can’t speak; telepathy 120 ft.</x:t>
        </x:is>
      </x:c>
      <x:c r="Z129" s="2" t="inlineStr">
        <x:is>
          <x:t xml:space="preserve">Amphibious. The kraken can breathe air and water. Legendary Resistance (4/Day, or 5/Day in Lair). If the kraken fails a saving throw, it can choose to suc- ceed instead. Siege Monster. The kraken deals double damage to ob- jects and structures.</x:t>
        </x:is>
      </x:c>
      <x:c r="AA129" s="2" t="inlineStr">
        <x:is>
          <x:t xml:space="preserve">Multiattack. The kraken makes two Tentacle attacks and uses Fling, Lightning Strike, or Swallow. Tentacle. Melee Attack Roll: +17, reach 30 ft. Hit: 24 (4d6 + 10) Bludgeoning damage. The target has the Grappled condition (escape DC 20) from one of ten tentacles, and it has the Restrained condition until the grapple ends. Fling. The kraken throws a Large or smaller creature Grappled by it to a space it can see within 60 feet of itself that isn’t in the air. Dexterity Saving Throw: DC 25, the creature thrown and each creature in the des- tination space. Failure: 18 (4d8) Bludgeoning damage, and the target has the Prone condition. Success: Half damage only. Lightning Strike. Dexterity Saving Throw: DC 23, one creature the kraken can see within 120 feet. Failure: 33 (6d10) Lightning damage. Success: Half damage. Swallow. Dexterity Saving Throw: DC 25, one creature Grappled by the kraken (it can have up to four crea- tures swallowed at a time). Failure: 23 (3d8 + 10) Pierc- ing damage. If the target is Large or smaller, it is swal- lowed and no longer Grappled. A swallowed creature has the Restrained condition, has Total Cover against attacks and other effects outside the kraken, and takes 24 (7d6) Acid damage at the start of each of its turns. If the kraken takes 50 damage or more on a single turn from a creature inside it, the kraken must succeed on a DC 25 Constitution saving throw at the end of that turn or regurgitate all swallowed creatures, each of which falls in a space within 10 feet of the kraken with the Prone condition. If the kraken dies, any swallowed creature no longer has the Restrained condition and can escape from the corpse using 15 feet of movement, exiting Prone.</x:t>
        </x:is>
      </x:c>
      <x:c r="AB129" s="2" t="n"/>
      <x:c r="AC129" s="2" t="n"/>
      <x:c r="AD129" s="2" t="inlineStr">
        <x:is>
          <x:t xml:space="preserve">Legendary Action Uses: 3 (4 in Lair). Immediately after another creature’s turn, the kraken can expend a use to take one of the following actions. The kraken regains all expended uses at the start of each of its turns. Storm Bolt. The kraken uses Lightning Strike. Toxic Ink. Constitution Saving Throw: DC 23, each creature in a 15-foot Emanation originating from the kraken while it is underwater. Failure: The target has the Blinded and Poisoned conditions until the end of the kraken’s next turn. The kraken then moves up to its Speed. Failure or Success: The kraken can’t take this action again until the start of its next turn. Lamia</x:t>
        </x:is>
      </x:c>
      <x:c r="AE129" s="2" t="n"/>
      <x:c r="AF129" s="2" t="inlineStr">
        <x:is>
          <x:t xml:space="preserve">Imported from SRD 5.2.1 p. 303 Index of Stat Blocks</x:t>
        </x:is>
      </x:c>
      <x:c r="AG129" s="2" t="inlineStr">
        <x:is>
          <x:t xml:space="preserve">https://www.dndbeyond.com/srd</x:t>
        </x:is>
      </x:c>
    </x:row>
    <x:row r="130" ht="18" customHeight="1">
      <x:c r="A130" s="2" t="inlineStr">
        <x:is>
          <x:t xml:space="preserve">Lamia</x:t>
        </x:is>
      </x:c>
      <x:c r="B130" s="2" t="inlineStr">
        <x:is>
          <x:t xml:space="preserve">SRD 5.2.1</x:t>
        </x:is>
      </x:c>
      <x:c r="C130" s="2" t="inlineStr">
        <x:is>
          <x:t xml:space="preserve">Fiend</x:t>
        </x:is>
      </x:c>
      <x:c r="D130" s="2" t="inlineStr">
        <x:is>
          <x:t xml:space="preserve">Large</x:t>
        </x:is>
      </x:c>
      <x:c r="E130" s="2" t="inlineStr">
        <x:is>
          <x:t xml:space="preserve">Chaotic Evil</x:t>
        </x:is>
      </x:c>
      <x:c r="F130" s="2" t="inlineStr">
        <x:is>
          <x:t xml:space="preserve">4</x:t>
        </x:is>
      </x:c>
      <x:c r="G130" s="2" t="inlineStr">
        <x:is>
          <x:t xml:space="preserve">1100</x:t>
        </x:is>
      </x:c>
      <x:c r="H130" s="2" t="inlineStr">
        <x:is>
          <x:t xml:space="preserve">13</x:t>
        </x:is>
      </x:c>
      <x:c r="I130" s="2" t="inlineStr">
        <x:is>
          <x:t xml:space="preserve">97</x:t>
        </x:is>
      </x:c>
      <x:c r="J130" s="2" t="inlineStr">
        <x:is>
          <x:t xml:space="preserve">40 ft.</x:t>
        </x:is>
      </x:c>
      <x:c r="K130" s="2" t="inlineStr">
        <x:is>
          <x:t xml:space="preserve">2</x:t>
        </x:is>
      </x:c>
      <x:c r="L130" s="2" t="inlineStr">
        <x:is>
          <x:t xml:space="preserve">12</x:t>
        </x:is>
      </x:c>
      <x:c r="M130" s="2" t="inlineStr">
        <x:is>
          <x:t xml:space="preserve">13</x:t>
        </x:is>
      </x:c>
      <x:c r="N130" s="2" t="inlineStr">
        <x:is>
          <x:t xml:space="preserve">5</x:t>
        </x:is>
      </x:c>
      <x:c r="O130" s="2" t="inlineStr">
        <x:is>
          <x:t xml:space="preserve">1</x:t>
        </x:is>
      </x:c>
      <x:c r="P130" s="2" t="inlineStr">
        <x:is>
          <x:t xml:space="preserve">16</x:t>
        </x:is>
      </x:c>
      <x:c r="Q130" s="2" t="inlineStr">
        <x:is>
          <x:t xml:space="preserve">13</x:t>
        </x:is>
      </x:c>
      <x:c r="R130" s="2" t="inlineStr">
        <x:is>
          <x:t xml:space="preserve">15</x:t>
        </x:is>
      </x:c>
      <x:c r="S130" s="2" t="inlineStr">
        <x:is>
          <x:t xml:space="preserve">14</x:t>
        </x:is>
      </x:c>
      <x:c r="T130" s="2" t="inlineStr">
        <x:is>
          <x:t xml:space="preserve">15</x:t>
        </x:is>
      </x:c>
      <x:c r="U130" s="2" t="inlineStr">
        <x:is>
          <x:t xml:space="preserve">16</x:t>
        </x:is>
      </x:c>
      <x:c r="V130" s="2" t="n"/>
      <x:c r="W130" s="2" t="inlineStr">
        <x:is>
          <x:t xml:space="preserve">Deception +7, Insight +4, Stealth +5</x:t>
        </x:is>
      </x:c>
      <x:c r="X130" s="2" t="inlineStr">
        <x:is>
          <x:t xml:space="preserve">Darkvision 60 ft.; Passive Perception 12</x:t>
        </x:is>
      </x:c>
      <x:c r="Y130" s="2" t="inlineStr">
        <x:is>
          <x:t xml:space="preserve">Abyssal, Common</x:t>
        </x:is>
      </x:c>
      <x:c r="Z130" s="2" t="n"/>
      <x:c r="AA130" s="2" t="inlineStr">
        <x:is>
          <x:t xml:space="preserve">Multiattack. The lamia makes two Claw attacks. It can replace one attack with a use of Corrupting Touch. Claw. Melee Attack Roll: +5, reach 5 ft. Hit: 7 (1d8 + 3) Slashing damage plus 7 (2d6) Psychic damage. Corrupting Touch. Wisdom Saving Throw: DC 13, one creature the lamia can see within 5 feet. Failure: 13 (3d8) Psychic damage, and the target is cursed for 1 hour. Until the curse ends, the target has the Charmed and Poisoned conditions. Spellcasting. The lamia casts one of the following spells, requiring no Material components and using Charisma as the spellcasting ability (spell save DC 13): At Will: Disguise Self (can appear as a Large or Medium biped), Minor Illusion 1/Day Each: Geas, Major Image, Scrying</x:t>
        </x:is>
      </x:c>
      <x:c r="AB130" s="2" t="inlineStr">
        <x:is>
          <x:t xml:space="preserve">Leap. The lamia jumps up to 30 feet by spending 10 feet of movement. Lemure</x:t>
        </x:is>
      </x:c>
      <x:c r="AC130" s="2" t="n"/>
      <x:c r="AD130" s="2" t="n"/>
      <x:c r="AE130" s="2" t="inlineStr">
        <x:is>
          <x:t xml:space="preserve">Includes Spellcasting; see Traits/Actions text</x:t>
        </x:is>
      </x:c>
      <x:c r="AF130" s="2" t="inlineStr">
        <x:is>
          <x:t xml:space="preserve">Imported from SRD 5.2.1 p. 303 Index of Stat Blocks</x:t>
        </x:is>
      </x:c>
      <x:c r="AG130" s="2" t="inlineStr">
        <x:is>
          <x:t xml:space="preserve">https://www.dndbeyond.com/srd</x:t>
        </x:is>
      </x:c>
    </x:row>
    <x:row r="131" ht="18" customHeight="1">
      <x:c r="A131" s="2" t="inlineStr">
        <x:is>
          <x:t xml:space="preserve">Lemure</x:t>
        </x:is>
      </x:c>
      <x:c r="B131" s="2" t="inlineStr">
        <x:is>
          <x:t xml:space="preserve">SRD 5.2.1</x:t>
        </x:is>
      </x:c>
      <x:c r="C131" s="2" t="inlineStr">
        <x:is>
          <x:t xml:space="preserve">Fiend (Devil)</x:t>
        </x:is>
      </x:c>
      <x:c r="D131" s="2" t="inlineStr">
        <x:is>
          <x:t xml:space="preserve">Medium</x:t>
        </x:is>
      </x:c>
      <x:c r="E131" s="2" t="inlineStr">
        <x:is>
          <x:t xml:space="preserve">Lawful Evil</x:t>
        </x:is>
      </x:c>
      <x:c r="F131" s="2" t="inlineStr">
        <x:is>
          <x:t xml:space="preserve">0</x:t>
        </x:is>
      </x:c>
      <x:c r="G131" s="2" t="inlineStr">
        <x:is>
          <x:t xml:space="preserve">10</x:t>
        </x:is>
      </x:c>
      <x:c r="H131" s="2" t="inlineStr">
        <x:is>
          <x:t xml:space="preserve">9</x:t>
        </x:is>
      </x:c>
      <x:c r="I131" s="2" t="inlineStr">
        <x:is>
          <x:t xml:space="preserve">9</x:t>
        </x:is>
      </x:c>
      <x:c r="J131" s="2" t="inlineStr">
        <x:is>
          <x:t xml:space="preserve">20 ft.</x:t>
        </x:is>
      </x:c>
      <x:c r="K131" s="2" t="inlineStr">
        <x:is>
          <x:t xml:space="preserve">2</x:t>
        </x:is>
      </x:c>
      <x:c r="L131" s="2" t="inlineStr">
        <x:is>
          <x:t xml:space="preserve">10</x:t>
        </x:is>
      </x:c>
      <x:c r="M131" s="2" t="n"/>
      <x:c r="N131" s="2" t="inlineStr">
        <x:is>
          <x:t xml:space="preserve">2</x:t>
        </x:is>
      </x:c>
      <x:c r="O131" s="2" t="inlineStr">
        <x:is>
          <x:t xml:space="preserve">-3</x:t>
        </x:is>
      </x:c>
      <x:c r="P131" s="2" t="inlineStr">
        <x:is>
          <x:t xml:space="preserve">10</x:t>
        </x:is>
      </x:c>
      <x:c r="Q131" s="2" t="inlineStr">
        <x:is>
          <x:t xml:space="preserve">5</x:t>
        </x:is>
      </x:c>
      <x:c r="R131" s="2" t="inlineStr">
        <x:is>
          <x:t xml:space="preserve">11</x:t>
        </x:is>
      </x:c>
      <x:c r="S131" s="2" t="inlineStr">
        <x:is>
          <x:t xml:space="preserve">1</x:t>
        </x:is>
      </x:c>
      <x:c r="T131" s="2" t="inlineStr">
        <x:is>
          <x:t xml:space="preserve">11</x:t>
        </x:is>
      </x:c>
      <x:c r="U131" s="2" t="inlineStr">
        <x:is>
          <x:t xml:space="preserve">3</x:t>
        </x:is>
      </x:c>
      <x:c r="V131" s="2" t="n"/>
      <x:c r="W131" s="2" t="n"/>
      <x:c r="X131" s="2" t="inlineStr">
        <x:is>
          <x:t xml:space="preserve">Darkvision 120 ft. (unimpeded by magical Darkness); Passive Perception 10</x:t>
        </x:is>
      </x:c>
      <x:c r="Y131" s="2" t="inlineStr">
        <x:is>
          <x:t xml:space="preserve">Understands Infernal but can’t speak</x:t>
        </x:is>
      </x:c>
      <x:c r="Z131" s="2" t="inlineStr">
        <x:is>
          <x:t xml:space="preserve">Hellish Restoration. If the lemure dies in the Nine Hells, it revives with all its Hit Points in 1d10 days un- less it is killed by a creature under the effects of a Bless spell or its remains are sprinkled with Holy Water.</x:t>
        </x:is>
      </x:c>
      <x:c r="AA131" s="2" t="inlineStr">
        <x:is>
          <x:t xml:space="preserve">Vile Slime. Melee Attack Roll: +2, reach 5 ft. Hit: 2 (1d4) Poison damage. Lich</x:t>
        </x:is>
      </x:c>
      <x:c r="AB131" s="2" t="n"/>
      <x:c r="AC131" s="2" t="n"/>
      <x:c r="AD131" s="2" t="n"/>
      <x:c r="AE131" s="2" t="n"/>
      <x:c r="AF131" s="2" t="inlineStr">
        <x:is>
          <x:t xml:space="preserve">Imported from SRD 5.2.1 p. 304 Index of Stat Blocks</x:t>
        </x:is>
      </x:c>
      <x:c r="AG131" s="2" t="inlineStr">
        <x:is>
          <x:t xml:space="preserve">https://www.dndbeyond.com/srd</x:t>
        </x:is>
      </x:c>
    </x:row>
    <x:row r="132" ht="18" customHeight="1">
      <x:c r="A132" s="2" t="inlineStr">
        <x:is>
          <x:t xml:space="preserve">Lich</x:t>
        </x:is>
      </x:c>
      <x:c r="B132" s="2" t="inlineStr">
        <x:is>
          <x:t xml:space="preserve">SRD 5.2.1</x:t>
        </x:is>
      </x:c>
      <x:c r="C132" s="2" t="inlineStr">
        <x:is>
          <x:t xml:space="preserve">Undead (Wizard)</x:t>
        </x:is>
      </x:c>
      <x:c r="D132" s="2" t="inlineStr">
        <x:is>
          <x:t xml:space="preserve">Medium</x:t>
        </x:is>
      </x:c>
      <x:c r="E132" s="2" t="inlineStr">
        <x:is>
          <x:t xml:space="preserve">Neutral Evil</x:t>
        </x:is>
      </x:c>
      <x:c r="F132" s="2" t="inlineStr">
        <x:is>
          <x:t xml:space="preserve">21</x:t>
        </x:is>
      </x:c>
      <x:c r="G132" s="2" t="inlineStr">
        <x:is>
          <x:t xml:space="preserve">33000</x:t>
        </x:is>
      </x:c>
      <x:c r="H132" s="2" t="inlineStr">
        <x:is>
          <x:t xml:space="preserve">20</x:t>
        </x:is>
      </x:c>
      <x:c r="I132" s="2" t="inlineStr">
        <x:is>
          <x:t xml:space="preserve">315</x:t>
        </x:is>
      </x:c>
      <x:c r="J132" s="2" t="inlineStr">
        <x:is>
          <x:t xml:space="preserve">30 ft.</x:t>
        </x:is>
      </x:c>
      <x:c r="K132" s="2" t="inlineStr">
        <x:is>
          <x:t xml:space="preserve">7</x:t>
        </x:is>
      </x:c>
      <x:c r="L132" s="2" t="inlineStr">
        <x:is>
          <x:t xml:space="preserve">19</x:t>
        </x:is>
      </x:c>
      <x:c r="M132" s="2" t="inlineStr">
        <x:is>
          <x:t xml:space="preserve">20</x:t>
        </x:is>
      </x:c>
      <x:c r="N132" s="2" t="inlineStr">
        <x:is>
          <x:t xml:space="preserve">12</x:t>
        </x:is>
      </x:c>
      <x:c r="O132" s="2" t="inlineStr">
        <x:is>
          <x:t xml:space="preserve">17</x:t>
        </x:is>
      </x:c>
      <x:c r="P132" s="2" t="inlineStr">
        <x:is>
          <x:t xml:space="preserve">11</x:t>
        </x:is>
      </x:c>
      <x:c r="Q132" s="2" t="inlineStr">
        <x:is>
          <x:t xml:space="preserve">16</x:t>
        </x:is>
      </x:c>
      <x:c r="R132" s="2" t="inlineStr">
        <x:is>
          <x:t xml:space="preserve">16</x:t>
        </x:is>
      </x:c>
      <x:c r="S132" s="2" t="inlineStr">
        <x:is>
          <x:t xml:space="preserve">21</x:t>
        </x:is>
      </x:c>
      <x:c r="T132" s="2" t="inlineStr">
        <x:is>
          <x:t xml:space="preserve">14</x:t>
        </x:is>
      </x:c>
      <x:c r="U132" s="2" t="inlineStr">
        <x:is>
          <x:t xml:space="preserve">16</x:t>
        </x:is>
      </x:c>
      <x:c r="V132" s="2" t="inlineStr">
        <x:is>
          <x:t xml:space="preserve">DEX +10, CON +10, INT +12, WIS +9</x:t>
        </x:is>
      </x:c>
      <x:c r="W132" s="2" t="inlineStr">
        <x:is>
          <x:t xml:space="preserve">Arcana +19, History +12, Insight +9, Perception +9</x:t>
        </x:is>
      </x:c>
      <x:c r="X132" s="2" t="inlineStr">
        <x:is>
          <x:t xml:space="preserve">Truesight 120 ft.; Passive Perception 19</x:t>
        </x:is>
      </x:c>
      <x:c r="Y132" s="2" t="inlineStr">
        <x:is>
          <x:t xml:space="preserve">All</x:t>
        </x:is>
      </x:c>
      <x:c r="Z132" s="2" t="inlineStr">
        <x:is>
          <x:t xml:space="preserve">Legendary Resistance (4/Day, or 5/Day in Lair). If the lich fails a saving throw, it can choose to suc- ceed instead. Spirit Jar. If destroyed, the lich reforms in 1d10 days if it has a spirit jar, reviving with all its Hit Points. The new body appears in an unoccupied space within the lich’s lair.</x:t>
        </x:is>
      </x:c>
      <x:c r="AA132" s="2" t="inlineStr">
        <x:is>
          <x:t xml:space="preserve">Multiattack. The lich makes three attacks, using El- dritch Burst or Paralyzing Touch in any combination. Eldritch Burst. Melee or Ranged Attack Roll: +12, reach 5 ft. or range 120 ft. Hit: 31 (4d12 + 5) Force damage. Paralyzing Touch. Melee Attack Roll: +12, reach 5 ft. Hit: 15 (3d6 + 5) Cold damage, and the target has the Paralyzed condition until the start of the lich’s next turn. Spellcasting. The lich casts one of the following spells, using Intelligence as the spellcasting ability (spell save DC 20): At Will: Detect Magic, Detect Thoughts, Dispel Magic, Fireball (level 5 version), Invisibility, Lightning Bolt (level 5 version), Mage Hand, Prestidigitation 2/Day Each: Animate Dead, Dimension Door, Plane Shift 1/Day Each: Chain Lightning, Finger of Death, Power Word Kill, Scrying</x:t>
        </x:is>
      </x:c>
      <x:c r="AB132" s="2" t="n"/>
      <x:c r="AC132" s="2" t="inlineStr">
        <x:is>
          <x:t xml:space="preserve">Protective Magic. The lich casts Counterspell or Shield in response to the spell’s trigger, using the same spell- casting ability as Spellcasting.</x:t>
        </x:is>
      </x:c>
      <x:c r="AD132" s="2" t="inlineStr">
        <x:is>
          <x:t xml:space="preserve">Legendary Action Uses: 3 (4 in Lair). Immediately after another creature’s turn, the lich can expend a use to take one of the following actions. The lich regains all expended uses at the start of each of its turns. Deathly Teleport. The lich teleports up to 60 feet to an unoccupied space it can see, and each creature within 10 feet of the space it left takes 11 (2d10) Ne- crotic damage. Disrupt Life. Constitution Saving Throw: DC 20, each creature that isn’t an Undead in a 20-foot Emanation originating from the lich. Failure: 31 (9d6) Necrotic damage. Success: Half damage. Failure or Success: The lich can’t take this action again until the start of its next turn. Frightening Gaze. The lich casts Fear, using the same spellcasting ability as Spellcasting. The lich can’t take this action again until the start of its next turn. Mages</x:t>
        </x:is>
      </x:c>
      <x:c r="AE132" s="2" t="inlineStr">
        <x:is>
          <x:t xml:space="preserve">Includes Spellcasting; see Traits/Actions text</x:t>
        </x:is>
      </x:c>
      <x:c r="AF132" s="2" t="inlineStr">
        <x:is>
          <x:t xml:space="preserve">Imported from SRD 5.2.1 p. 304 Index of Stat Blocks</x:t>
        </x:is>
      </x:c>
      <x:c r="AG132" s="2" t="inlineStr">
        <x:is>
          <x:t xml:space="preserve">https://www.dndbeyond.com/srd</x:t>
        </x:is>
      </x:c>
    </x:row>
    <x:row r="133" ht="18" customHeight="1">
      <x:c r="A133" s="2" t="inlineStr">
        <x:is>
          <x:t xml:space="preserve">Mage</x:t>
        </x:is>
      </x:c>
      <x:c r="B133" s="2" t="inlineStr">
        <x:is>
          <x:t xml:space="preserve">SRD 5.2.1</x:t>
        </x:is>
      </x:c>
      <x:c r="C133" s="2" t="inlineStr">
        <x:is>
          <x:t xml:space="preserve">Humanoid (Wizard)</x:t>
        </x:is>
      </x:c>
      <x:c r="D133" s="2" t="inlineStr">
        <x:is>
          <x:t xml:space="preserve">Medium or Small</x:t>
        </x:is>
      </x:c>
      <x:c r="E133" s="2" t="inlineStr">
        <x:is>
          <x:t xml:space="preserve">Neutral</x:t>
        </x:is>
      </x:c>
      <x:c r="F133" s="2" t="inlineStr">
        <x:is>
          <x:t xml:space="preserve">6</x:t>
        </x:is>
      </x:c>
      <x:c r="G133" s="2" t="inlineStr">
        <x:is>
          <x:t xml:space="preserve">2300</x:t>
        </x:is>
      </x:c>
      <x:c r="H133" s="2" t="inlineStr">
        <x:is>
          <x:t xml:space="preserve">15</x:t>
        </x:is>
      </x:c>
      <x:c r="I133" s="2" t="inlineStr">
        <x:is>
          <x:t xml:space="preserve">81</x:t>
        </x:is>
      </x:c>
      <x:c r="J133" s="2" t="inlineStr">
        <x:is>
          <x:t xml:space="preserve">30 ft.</x:t>
        </x:is>
      </x:c>
      <x:c r="K133" s="2" t="inlineStr">
        <x:is>
          <x:t xml:space="preserve">3</x:t>
        </x:is>
      </x:c>
      <x:c r="L133" s="2" t="inlineStr">
        <x:is>
          <x:t xml:space="preserve">14</x:t>
        </x:is>
      </x:c>
      <x:c r="M133" s="2" t="n"/>
      <x:c r="N133" s="2" t="inlineStr">
        <x:is>
          <x:t xml:space="preserve">6</x:t>
        </x:is>
      </x:c>
      <x:c r="O133" s="2" t="inlineStr">
        <x:is>
          <x:t xml:space="preserve">2</x:t>
        </x:is>
      </x:c>
      <x:c r="P133" s="2" t="inlineStr">
        <x:is>
          <x:t xml:space="preserve">9</x:t>
        </x:is>
      </x:c>
      <x:c r="Q133" s="2" t="inlineStr">
        <x:is>
          <x:t xml:space="preserve">14</x:t>
        </x:is>
      </x:c>
      <x:c r="R133" s="2" t="inlineStr">
        <x:is>
          <x:t xml:space="preserve">11</x:t>
        </x:is>
      </x:c>
      <x:c r="S133" s="2" t="inlineStr">
        <x:is>
          <x:t xml:space="preserve">17</x:t>
        </x:is>
      </x:c>
      <x:c r="T133" s="2" t="inlineStr">
        <x:is>
          <x:t xml:space="preserve">12</x:t>
        </x:is>
      </x:c>
      <x:c r="U133" s="2" t="inlineStr">
        <x:is>
          <x:t xml:space="preserve">11</x:t>
        </x:is>
      </x:c>
      <x:c r="V133" s="2" t="inlineStr">
        <x:is>
          <x:t xml:space="preserve">INT +6, WIS +4</x:t>
        </x:is>
      </x:c>
      <x:c r="W133" s="2" t="inlineStr">
        <x:is>
          <x:t xml:space="preserve">Arcana +6, History +6, Perception +4</x:t>
        </x:is>
      </x:c>
      <x:c r="X133" s="2" t="inlineStr">
        <x:is>
          <x:t xml:space="preserve">Passive Perception 14</x:t>
        </x:is>
      </x:c>
      <x:c r="Y133" s="2" t="inlineStr">
        <x:is>
          <x:t xml:space="preserve">Common plus three other languages</x:t>
        </x:is>
      </x:c>
      <x:c r="Z133" s="2" t="n"/>
      <x:c r="AA133" s="2" t="inlineStr">
        <x:is>
          <x:t xml:space="preserve">Multiattack. The mage makes three Arcane Burst attacks. Arcane Burst. Melee or Ranged Attack Roll: +6, reach 5 ft. or range 120 ft. Hit: 16 (3d8 + 3) Force damage. Spellcasting. The mage casts one of the following spells, using Intelligence as the spellcasting ability (spell save DC 14): At Will: Detect Magic, Light, Mage Armor (included in AC), Mage Hand, Prestidigitation 2/Day Each: Fireball (level 4 version), Invisibility 1/Day Each: Cone of Cold, Fly</x:t>
        </x:is>
      </x:c>
      <x:c r="AB133" s="2" t="inlineStr">
        <x:is>
          <x:t xml:space="preserve">Misty Step (3/Day). The mage casts Misty Step, using the same spellcasting ability as Spellcasting.</x:t>
        </x:is>
      </x:c>
      <x:c r="AC133" s="2" t="inlineStr">
        <x:is>
          <x:t xml:space="preserve">Protective Magic (3/Day). The mage casts Counterspell or Shield in response to the spell’s trigger, using the same spellcasting ability as Spellcasting.</x:t>
        </x:is>
      </x:c>
      <x:c r="AD133" s="2" t="n"/>
      <x:c r="AE133" s="2" t="inlineStr">
        <x:is>
          <x:t xml:space="preserve">Includes Spellcasting; see Traits/Actions text</x:t>
        </x:is>
      </x:c>
      <x:c r="AF133" s="2" t="inlineStr">
        <x:is>
          <x:t xml:space="preserve">Imported from SRD 5.2.1 p. 305 Index of Stat Blocks</x:t>
        </x:is>
      </x:c>
      <x:c r="AG133" s="2" t="inlineStr">
        <x:is>
          <x:t xml:space="preserve">https://www.dndbeyond.com/srd</x:t>
        </x:is>
      </x:c>
    </x:row>
    <x:row r="134" ht="18" customHeight="1">
      <x:c r="A134" s="2" t="inlineStr">
        <x:is>
          <x:t xml:space="preserve">Archmage</x:t>
        </x:is>
      </x:c>
      <x:c r="B134" s="2" t="inlineStr">
        <x:is>
          <x:t xml:space="preserve">SRD 5.2.1</x:t>
        </x:is>
      </x:c>
      <x:c r="C134" s="2" t="inlineStr">
        <x:is>
          <x:t xml:space="preserve">Humanoid (Wizard)</x:t>
        </x:is>
      </x:c>
      <x:c r="D134" s="2" t="inlineStr">
        <x:is>
          <x:t xml:space="preserve">Medium or Small</x:t>
        </x:is>
      </x:c>
      <x:c r="E134" s="2" t="inlineStr">
        <x:is>
          <x:t xml:space="preserve">Neutral</x:t>
        </x:is>
      </x:c>
      <x:c r="F134" s="2" t="inlineStr">
        <x:is>
          <x:t xml:space="preserve">12</x:t>
        </x:is>
      </x:c>
      <x:c r="G134" s="2" t="inlineStr">
        <x:is>
          <x:t xml:space="preserve">8000</x:t>
        </x:is>
      </x:c>
      <x:c r="H134" s="2" t="inlineStr">
        <x:is>
          <x:t xml:space="preserve">17</x:t>
        </x:is>
      </x:c>
      <x:c r="I134" s="2" t="inlineStr">
        <x:is>
          <x:t xml:space="preserve">170</x:t>
        </x:is>
      </x:c>
      <x:c r="J134" s="2" t="inlineStr">
        <x:is>
          <x:t xml:space="preserve">30 ft.</x:t>
        </x:is>
      </x:c>
      <x:c r="K134" s="2" t="inlineStr">
        <x:is>
          <x:t xml:space="preserve">4</x:t>
        </x:is>
      </x:c>
      <x:c r="L134" s="2" t="inlineStr">
        <x:is>
          <x:t xml:space="preserve">16</x:t>
        </x:is>
      </x:c>
      <x:c r="M134" s="2" t="n"/>
      <x:c r="N134" s="2" t="inlineStr">
        <x:is>
          <x:t xml:space="preserve">9</x:t>
        </x:is>
      </x:c>
      <x:c r="O134" s="2" t="inlineStr">
        <x:is>
          <x:t xml:space="preserve">7</x:t>
        </x:is>
      </x:c>
      <x:c r="P134" s="2" t="inlineStr">
        <x:is>
          <x:t xml:space="preserve">10</x:t>
        </x:is>
      </x:c>
      <x:c r="Q134" s="2" t="inlineStr">
        <x:is>
          <x:t xml:space="preserve">14</x:t>
        </x:is>
      </x:c>
      <x:c r="R134" s="2" t="inlineStr">
        <x:is>
          <x:t xml:space="preserve">12</x:t>
        </x:is>
      </x:c>
      <x:c r="S134" s="2" t="inlineStr">
        <x:is>
          <x:t xml:space="preserve">20</x:t>
        </x:is>
      </x:c>
      <x:c r="T134" s="2" t="inlineStr">
        <x:is>
          <x:t xml:space="preserve">15</x:t>
        </x:is>
      </x:c>
      <x:c r="U134" s="2" t="inlineStr">
        <x:is>
          <x:t xml:space="preserve">16</x:t>
        </x:is>
      </x:c>
      <x:c r="V134" s="2" t="inlineStr">
        <x:is>
          <x:t xml:space="preserve">INT +9, WIS +6</x:t>
        </x:is>
      </x:c>
      <x:c r="W134" s="2" t="inlineStr">
        <x:is>
          <x:t xml:space="preserve">Arcana +13, History +9, Perception +6</x:t>
        </x:is>
      </x:c>
      <x:c r="X134" s="2" t="inlineStr">
        <x:is>
          <x:t xml:space="preserve">Passive Perception 16</x:t>
        </x:is>
      </x:c>
      <x:c r="Y134" s="2" t="inlineStr">
        <x:is>
          <x:t xml:space="preserve">Common plus five other languages</x:t>
        </x:is>
      </x:c>
      <x:c r="Z134" s="2" t="inlineStr">
        <x:is>
          <x:t xml:space="preserve">Magic Resistance. The archmage has Advantage on saving throws against spells and other magical effects.</x:t>
        </x:is>
      </x:c>
      <x:c r="AA134" s="2" t="inlineStr">
        <x:is>
          <x:t xml:space="preserve">Multiattack. The archmage makes four Arcane Burst attacks. Arcane Burst. Melee or Ranged Attack Roll: +9, reach 5 ft. or range 150 ft. Hit: 27 (4d10 + 5) Force damage. Spellcasting. The archmage casts one of the following spells, using Intelligence as the spellcasting ability (spell save DC 17): At Will: Detect Magic, Detect Thoughts, Disguise Self, Invisibility, Light, Mage Armor (included in AC), Mage Hand, Prestidigitation 2/Day Each: Fly, Lightning Bolt (level 7 version) 1/Day Each: Cone of Cold (level 9 version), Mind Blank (cast before combat), Scrying, Teleport</x:t>
        </x:is>
      </x:c>
      <x:c r="AB134" s="2" t="inlineStr">
        <x:is>
          <x:t xml:space="preserve">Misty Step (3/Day). The mage casts Misty Step, using the same spellcasting ability as Spellcasting.</x:t>
        </x:is>
      </x:c>
      <x:c r="AC134" s="2" t="inlineStr">
        <x:is>
          <x:t xml:space="preserve">Protective Magic (3/Day). The archmage casts Coun- terspell or Shield in response to the spell’s trigger, using the same spellcasting ability as Spellcasting. Magmin</x:t>
        </x:is>
      </x:c>
      <x:c r="AD134" s="2" t="n"/>
      <x:c r="AE134" s="2" t="inlineStr">
        <x:is>
          <x:t xml:space="preserve">Includes Spellcasting; see Traits/Actions text</x:t>
        </x:is>
      </x:c>
      <x:c r="AF134" s="2" t="inlineStr">
        <x:is>
          <x:t xml:space="preserve">Imported from SRD 5.2.1 p. 305 Index of Stat Blocks</x:t>
        </x:is>
      </x:c>
      <x:c r="AG134" s="2" t="inlineStr">
        <x:is>
          <x:t xml:space="preserve">https://www.dndbeyond.com/srd</x:t>
        </x:is>
      </x:c>
    </x:row>
    <x:row r="135" ht="18" customHeight="1">
      <x:c r="A135" s="2" t="inlineStr">
        <x:is>
          <x:t xml:space="preserve">Magmin</x:t>
        </x:is>
      </x:c>
      <x:c r="B135" s="2" t="inlineStr">
        <x:is>
          <x:t xml:space="preserve">SRD 5.2.1</x:t>
        </x:is>
      </x:c>
      <x:c r="C135" s="2" t="inlineStr">
        <x:is>
          <x:t xml:space="preserve">Elemental</x:t>
        </x:is>
      </x:c>
      <x:c r="D135" s="2" t="inlineStr">
        <x:is>
          <x:t xml:space="preserve">Small</x:t>
        </x:is>
      </x:c>
      <x:c r="E135" s="2" t="inlineStr">
        <x:is>
          <x:t xml:space="preserve">Chaotic Neutral</x:t>
        </x:is>
      </x:c>
      <x:c r="F135" s="2" t="inlineStr">
        <x:is>
          <x:t xml:space="preserve">1/2</x:t>
        </x:is>
      </x:c>
      <x:c r="G135" s="2" t="inlineStr">
        <x:is>
          <x:t xml:space="preserve">100</x:t>
        </x:is>
      </x:c>
      <x:c r="H135" s="2" t="inlineStr">
        <x:is>
          <x:t xml:space="preserve">14</x:t>
        </x:is>
      </x:c>
      <x:c r="I135" s="2" t="inlineStr">
        <x:is>
          <x:t xml:space="preserve">13</x:t>
        </x:is>
      </x:c>
      <x:c r="J135" s="2" t="inlineStr">
        <x:is>
          <x:t xml:space="preserve">30 ft.</x:t>
        </x:is>
      </x:c>
      <x:c r="K135" s="2" t="inlineStr">
        <x:is>
          <x:t xml:space="preserve">2</x:t>
        </x:is>
      </x:c>
      <x:c r="L135" s="2" t="inlineStr">
        <x:is>
          <x:t xml:space="preserve">10</x:t>
        </x:is>
      </x:c>
      <x:c r="M135" s="2" t="inlineStr">
        <x:is>
          <x:t xml:space="preserve">11</x:t>
        </x:is>
      </x:c>
      <x:c r="N135" s="2" t="inlineStr">
        <x:is>
          <x:t xml:space="preserve">4</x:t>
        </x:is>
      </x:c>
      <x:c r="O135" s="2" t="inlineStr">
        <x:is>
          <x:t xml:space="preserve">2</x:t>
        </x:is>
      </x:c>
      <x:c r="P135" s="2" t="inlineStr">
        <x:is>
          <x:t xml:space="preserve">7</x:t>
        </x:is>
      </x:c>
      <x:c r="Q135" s="2" t="inlineStr">
        <x:is>
          <x:t xml:space="preserve">15</x:t>
        </x:is>
      </x:c>
      <x:c r="R135" s="2" t="inlineStr">
        <x:is>
          <x:t xml:space="preserve">12</x:t>
        </x:is>
      </x:c>
      <x:c r="S135" s="2" t="inlineStr">
        <x:is>
          <x:t xml:space="preserve">8</x:t>
        </x:is>
      </x:c>
      <x:c r="T135" s="2" t="inlineStr">
        <x:is>
          <x:t xml:space="preserve">11</x:t>
        </x:is>
      </x:c>
      <x:c r="U135" s="2" t="inlineStr">
        <x:is>
          <x:t xml:space="preserve">10</x:t>
        </x:is>
      </x:c>
      <x:c r="V135" s="2" t="n"/>
      <x:c r="W135" s="2" t="n"/>
      <x:c r="X135" s="2" t="inlineStr">
        <x:is>
          <x:t xml:space="preserve">Darkvision 60 ft.; Passive Perception 10</x:t>
        </x:is>
      </x:c>
      <x:c r="Y135" s="2" t="inlineStr">
        <x:is>
          <x:t xml:space="preserve">Primordial (Ignan)</x:t>
        </x:is>
      </x:c>
      <x:c r="Z135" s="2" t="inlineStr">
        <x:is>
          <x:t xml:space="preserve">Death Burst. The magmin explodes when it dies. Dex- terity Saving Throw: DC 11, each creature in a 10-foot Emanation originating from the magmin. Failure: 7 (2d6) Fire damage. Success: Half damage.</x:t>
        </x:is>
      </x:c>
      <x:c r="AA135" s="2" t="inlineStr">
        <x:is>
          <x:t xml:space="preserve">Touch. Melee Attack Roll: +4, reach 5 ft. Hit: 7 (2d4 + 2) Fire damage. If the target is a creature or a flammable object that isn’t being worn or carried, it starts burning.</x:t>
        </x:is>
      </x:c>
      <x:c r="AB135" s="2" t="inlineStr">
        <x:is>
          <x:t xml:space="preserve">Ignited Illumination. The magmin sets itself ablaze or extinguishes its flames. While ablaze, the magmin sheds Bright Light in a 10-foot radius and Dim Light for an additional 10 feet. Manticore</x:t>
        </x:is>
      </x:c>
      <x:c r="AC135" s="2" t="n"/>
      <x:c r="AD135" s="2" t="n"/>
      <x:c r="AE135" s="2" t="n"/>
      <x:c r="AF135" s="2" t="inlineStr">
        <x:is>
          <x:t xml:space="preserve">Imported from SRD 5.2.1 p. 305 Index of Stat Blocks</x:t>
        </x:is>
      </x:c>
      <x:c r="AG135" s="2" t="inlineStr">
        <x:is>
          <x:t xml:space="preserve">https://www.dndbeyond.com/srd</x:t>
        </x:is>
      </x:c>
    </x:row>
    <x:row r="136" ht="18" customHeight="1">
      <x:c r="A136" s="2" t="inlineStr">
        <x:is>
          <x:t xml:space="preserve">Manticore</x:t>
        </x:is>
      </x:c>
      <x:c r="B136" s="2" t="inlineStr">
        <x:is>
          <x:t xml:space="preserve">SRD 5.2.1</x:t>
        </x:is>
      </x:c>
      <x:c r="C136" s="2" t="inlineStr">
        <x:is>
          <x:t xml:space="preserve">Monstrosity</x:t>
        </x:is>
      </x:c>
      <x:c r="D136" s="2" t="inlineStr">
        <x:is>
          <x:t xml:space="preserve">Large</x:t>
        </x:is>
      </x:c>
      <x:c r="E136" s="2" t="inlineStr">
        <x:is>
          <x:t xml:space="preserve">Lawful Evil</x:t>
        </x:is>
      </x:c>
      <x:c r="F136" s="2" t="inlineStr">
        <x:is>
          <x:t xml:space="preserve">3</x:t>
        </x:is>
      </x:c>
      <x:c r="G136" s="2" t="inlineStr">
        <x:is>
          <x:t xml:space="preserve">700</x:t>
        </x:is>
      </x:c>
      <x:c r="H136" s="2" t="inlineStr">
        <x:is>
          <x:t xml:space="preserve">14</x:t>
        </x:is>
      </x:c>
      <x:c r="I136" s="2" t="inlineStr">
        <x:is>
          <x:t xml:space="preserve">68</x:t>
        </x:is>
      </x:c>
      <x:c r="J136" s="2" t="inlineStr">
        <x:is>
          <x:t xml:space="preserve">30 ft., Fly 50 ft.</x:t>
        </x:is>
      </x:c>
      <x:c r="K136" s="2" t="inlineStr">
        <x:is>
          <x:t xml:space="preserve">2</x:t>
        </x:is>
      </x:c>
      <x:c r="L136" s="2" t="inlineStr">
        <x:is>
          <x:t xml:space="preserve">11</x:t>
        </x:is>
      </x:c>
      <x:c r="M136" s="2" t="n"/>
      <x:c r="N136" s="2" t="inlineStr">
        <x:is>
          <x:t xml:space="preserve">5</x:t>
        </x:is>
      </x:c>
      <x:c r="O136" s="2" t="inlineStr">
        <x:is>
          <x:t xml:space="preserve">3</x:t>
        </x:is>
      </x:c>
      <x:c r="P136" s="2" t="inlineStr">
        <x:is>
          <x:t xml:space="preserve">17</x:t>
        </x:is>
      </x:c>
      <x:c r="Q136" s="2" t="inlineStr">
        <x:is>
          <x:t xml:space="preserve">16</x:t>
        </x:is>
      </x:c>
      <x:c r="R136" s="2" t="inlineStr">
        <x:is>
          <x:t xml:space="preserve">17</x:t>
        </x:is>
      </x:c>
      <x:c r="S136" s="2" t="inlineStr">
        <x:is>
          <x:t xml:space="preserve">7</x:t>
        </x:is>
      </x:c>
      <x:c r="T136" s="2" t="inlineStr">
        <x:is>
          <x:t xml:space="preserve">12</x:t>
        </x:is>
      </x:c>
      <x:c r="U136" s="2" t="inlineStr">
        <x:is>
          <x:t xml:space="preserve">8</x:t>
        </x:is>
      </x:c>
      <x:c r="V136" s="2" t="n"/>
      <x:c r="W136" s="2" t="n"/>
      <x:c r="X136" s="2" t="inlineStr">
        <x:is>
          <x:t xml:space="preserve">Darkvision 60 ft.; Passive Perception 11</x:t>
        </x:is>
      </x:c>
      <x:c r="Y136" s="2" t="inlineStr">
        <x:is>
          <x:t xml:space="preserve">Common</x:t>
        </x:is>
      </x:c>
      <x:c r="Z136" s="2" t="n"/>
      <x:c r="AA136" s="2" t="inlineStr">
        <x:is>
          <x:t xml:space="preserve">Multiattack. The manticore makes three attacks, using Rend or Tail Spike in any combination. Rend. Melee Attack Roll: +5, reach 5 ft. Hit: 7 (1d8 + 3) Slashing damage. Tail Spike. Ranged Attack Roll: +5, range 100/200 ft. Hit: 7 (1d8 + 3) Piercing damage. Marilith</x:t>
        </x:is>
      </x:c>
      <x:c r="AB136" s="2" t="n"/>
      <x:c r="AC136" s="2" t="n"/>
      <x:c r="AD136" s="2" t="n"/>
      <x:c r="AE136" s="2" t="n"/>
      <x:c r="AF136" s="2" t="inlineStr">
        <x:is>
          <x:t xml:space="preserve">Imported from SRD 5.2.1 p. 306 Index of Stat Blocks</x:t>
        </x:is>
      </x:c>
      <x:c r="AG136" s="2" t="inlineStr">
        <x:is>
          <x:t xml:space="preserve">https://www.dndbeyond.com/srd</x:t>
        </x:is>
      </x:c>
    </x:row>
    <x:row r="137" ht="18" customHeight="1">
      <x:c r="A137" s="2" t="inlineStr">
        <x:is>
          <x:t xml:space="preserve">Marilith</x:t>
        </x:is>
      </x:c>
      <x:c r="B137" s="2" t="inlineStr">
        <x:is>
          <x:t xml:space="preserve">SRD 5.2.1</x:t>
        </x:is>
      </x:c>
      <x:c r="C137" s="2" t="inlineStr">
        <x:is>
          <x:t xml:space="preserve">Fiend (Demon)</x:t>
        </x:is>
      </x:c>
      <x:c r="D137" s="2" t="inlineStr">
        <x:is>
          <x:t xml:space="preserve">Large</x:t>
        </x:is>
      </x:c>
      <x:c r="E137" s="2" t="inlineStr">
        <x:is>
          <x:t xml:space="preserve">Chaotic Evil</x:t>
        </x:is>
      </x:c>
      <x:c r="F137" s="2" t="inlineStr">
        <x:is>
          <x:t xml:space="preserve">16</x:t>
        </x:is>
      </x:c>
      <x:c r="G137" s="2" t="inlineStr">
        <x:is>
          <x:t xml:space="preserve">15000</x:t>
        </x:is>
      </x:c>
      <x:c r="H137" s="2" t="inlineStr">
        <x:is>
          <x:t xml:space="preserve">16</x:t>
        </x:is>
      </x:c>
      <x:c r="I137" s="2" t="inlineStr">
        <x:is>
          <x:t xml:space="preserve">220</x:t>
        </x:is>
      </x:c>
      <x:c r="J137" s="2" t="inlineStr">
        <x:is>
          <x:t xml:space="preserve">40 ft., Climb 40 ft.</x:t>
        </x:is>
      </x:c>
      <x:c r="K137" s="2" t="inlineStr">
        <x:is>
          <x:t xml:space="preserve">5</x:t>
        </x:is>
      </x:c>
      <x:c r="L137" s="2" t="inlineStr">
        <x:is>
          <x:t xml:space="preserve">18</x:t>
        </x:is>
      </x:c>
      <x:c r="M137" s="2" t="inlineStr">
        <x:is>
          <x:t xml:space="preserve">17</x:t>
        </x:is>
      </x:c>
      <x:c r="N137" s="2" t="inlineStr">
        <x:is>
          <x:t xml:space="preserve">10</x:t>
        </x:is>
      </x:c>
      <x:c r="O137" s="2" t="inlineStr">
        <x:is>
          <x:t xml:space="preserve">10</x:t>
        </x:is>
      </x:c>
      <x:c r="P137" s="2" t="inlineStr">
        <x:is>
          <x:t xml:space="preserve">18</x:t>
        </x:is>
      </x:c>
      <x:c r="Q137" s="2" t="inlineStr">
        <x:is>
          <x:t xml:space="preserve">20</x:t>
        </x:is>
      </x:c>
      <x:c r="R137" s="2" t="inlineStr">
        <x:is>
          <x:t xml:space="preserve">20</x:t>
        </x:is>
      </x:c>
      <x:c r="S137" s="2" t="inlineStr">
        <x:is>
          <x:t xml:space="preserve">18</x:t>
        </x:is>
      </x:c>
      <x:c r="T137" s="2" t="inlineStr">
        <x:is>
          <x:t xml:space="preserve">16</x:t>
        </x:is>
      </x:c>
      <x:c r="U137" s="2" t="inlineStr">
        <x:is>
          <x:t xml:space="preserve">20</x:t>
        </x:is>
      </x:c>
      <x:c r="V137" s="2" t="inlineStr">
        <x:is>
          <x:t xml:space="preserve">STR +9, CON +10, WIS +8, CHA +10</x:t>
        </x:is>
      </x:c>
      <x:c r="W137" s="2" t="inlineStr">
        <x:is>
          <x:t xml:space="preserve">Perception +8</x:t>
        </x:is>
      </x:c>
      <x:c r="X137" s="2" t="inlineStr">
        <x:is>
          <x:t xml:space="preserve">Truesight 120 ft.; Passive Perception 18</x:t>
        </x:is>
      </x:c>
      <x:c r="Y137" s="2" t="inlineStr">
        <x:is>
          <x:t xml:space="preserve">Abyssal; telepathy 120 ft.</x:t>
        </x:is>
      </x:c>
      <x:c r="Z137" s="2" t="inlineStr">
        <x:is>
          <x:t xml:space="preserve">Demonic Restoration. If the marilith dies outside the Abyss, its body dissolves into ichor, and it gains a new body instantly, reviving with all its Hit Points some- where in the Abyss. Magic Resistance. The marilith has Advantage on sav- ing throws against spells and other magical effects. Reactive. The marilith can take one Reaction on every turn of combat.</x:t>
        </x:is>
      </x:c>
      <x:c r="AA137" s="2" t="inlineStr">
        <x:is>
          <x:t xml:space="preserve">Multiattack. The marilith makes six Pact Blade attacks and uses Constrict. Pact Blade. Melee Attack Roll: +10, reach 5 ft. Hit: 10 (1d10 + 5) Slashing damage plus 7 (2d6) Ne- crotic damage. Constrict. Strength Saving Throw: DC 17, one Medium or smaller creature the marilith can see within 5 feet. Failure: 15 (2d10 + 4) Bludgeoning damage. The target has the Grappled condition (escape DC 14), and it has the Restrained condition until the grapple ends.</x:t>
        </x:is>
      </x:c>
      <x:c r="AB137" s="2" t="inlineStr">
        <x:is>
          <x:t xml:space="preserve">Teleport (Recharge 5-6). The marilith teleports up to 120 feet to an unoccupied space it can see.</x:t>
        </x:is>
      </x:c>
      <x:c r="AC137" s="2" t="inlineStr">
        <x:is>
          <x:t xml:space="preserve">Parry. Trigger: The marilith is hit by a melee attack roll while holding a weapon. Response: The marilith adds 5 to its AC against that attack, possibly causing it to miss. Medusa</x:t>
        </x:is>
      </x:c>
      <x:c r="AD137" s="2" t="n"/>
      <x:c r="AE137" s="2" t="n"/>
      <x:c r="AF137" s="2" t="inlineStr">
        <x:is>
          <x:t xml:space="preserve">Imported from SRD 5.2.1 p. 306 Index of Stat Blocks</x:t>
        </x:is>
      </x:c>
      <x:c r="AG137" s="2" t="inlineStr">
        <x:is>
          <x:t xml:space="preserve">https://www.dndbeyond.com/srd</x:t>
        </x:is>
      </x:c>
    </x:row>
    <x:row r="138" ht="18" customHeight="1">
      <x:c r="A138" s="2" t="inlineStr">
        <x:is>
          <x:t xml:space="preserve">Medusa</x:t>
        </x:is>
      </x:c>
      <x:c r="B138" s="2" t="inlineStr">
        <x:is>
          <x:t xml:space="preserve">SRD 5.2.1</x:t>
        </x:is>
      </x:c>
      <x:c r="C138" s="2" t="inlineStr">
        <x:is>
          <x:t xml:space="preserve">Monstrosity</x:t>
        </x:is>
      </x:c>
      <x:c r="D138" s="2" t="inlineStr">
        <x:is>
          <x:t xml:space="preserve">Medium</x:t>
        </x:is>
      </x:c>
      <x:c r="E138" s="2" t="inlineStr">
        <x:is>
          <x:t xml:space="preserve">Lawful Evil</x:t>
        </x:is>
      </x:c>
      <x:c r="F138" s="2" t="inlineStr">
        <x:is>
          <x:t xml:space="preserve">6</x:t>
        </x:is>
      </x:c>
      <x:c r="G138" s="2" t="inlineStr">
        <x:is>
          <x:t xml:space="preserve">2300</x:t>
        </x:is>
      </x:c>
      <x:c r="H138" s="2" t="inlineStr">
        <x:is>
          <x:t xml:space="preserve">15</x:t>
        </x:is>
      </x:c>
      <x:c r="I138" s="2" t="inlineStr">
        <x:is>
          <x:t xml:space="preserve">127</x:t>
        </x:is>
      </x:c>
      <x:c r="J138" s="2" t="inlineStr">
        <x:is>
          <x:t xml:space="preserve">30 ft.</x:t>
        </x:is>
      </x:c>
      <x:c r="K138" s="2" t="inlineStr">
        <x:is>
          <x:t xml:space="preserve">3</x:t>
        </x:is>
      </x:c>
      <x:c r="L138" s="2" t="inlineStr">
        <x:is>
          <x:t xml:space="preserve">14</x:t>
        </x:is>
      </x:c>
      <x:c r="M138" s="2" t="n"/>
      <x:c r="N138" s="2" t="inlineStr">
        <x:is>
          <x:t xml:space="preserve">6</x:t>
        </x:is>
      </x:c>
      <x:c r="O138" s="2" t="inlineStr">
        <x:is>
          <x:t xml:space="preserve">6</x:t>
        </x:is>
      </x:c>
      <x:c r="P138" s="2" t="inlineStr">
        <x:is>
          <x:t xml:space="preserve">10</x:t>
        </x:is>
      </x:c>
      <x:c r="Q138" s="2" t="inlineStr">
        <x:is>
          <x:t xml:space="preserve">17</x:t>
        </x:is>
      </x:c>
      <x:c r="R138" s="2" t="inlineStr">
        <x:is>
          <x:t xml:space="preserve">16</x:t>
        </x:is>
      </x:c>
      <x:c r="S138" s="2" t="inlineStr">
        <x:is>
          <x:t xml:space="preserve">12</x:t>
        </x:is>
      </x:c>
      <x:c r="T138" s="2" t="inlineStr">
        <x:is>
          <x:t xml:space="preserve">13</x:t>
        </x:is>
      </x:c>
      <x:c r="U138" s="2" t="inlineStr">
        <x:is>
          <x:t xml:space="preserve">15</x:t>
        </x:is>
      </x:c>
      <x:c r="V138" s="2" t="inlineStr">
        <x:is>
          <x:t xml:space="preserve">WIS +4</x:t>
        </x:is>
      </x:c>
      <x:c r="W138" s="2" t="inlineStr">
        <x:is>
          <x:t xml:space="preserve">Deception +5, Perception +4, Stealth +6</x:t>
        </x:is>
      </x:c>
      <x:c r="X138" s="2" t="inlineStr">
        <x:is>
          <x:t xml:space="preserve">Darkvision 150 ft.; Passive Perception 14</x:t>
        </x:is>
      </x:c>
      <x:c r="Y138" s="2" t="inlineStr">
        <x:is>
          <x:t xml:space="preserve">Common plus one other language</x:t>
        </x:is>
      </x:c>
      <x:c r="Z138" s="2" t="n"/>
      <x:c r="AA138" s="2" t="inlineStr">
        <x:is>
          <x:t xml:space="preserve">Multiattack. The medusa makes two Claw attacks and one Snake Hair attack, or it makes three Poison Ray attacks. Claw. Melee Attack Roll: +6, reach 5 ft. Hit: 10 (2d6 + 3) Slashing damage. Snake Hair. Melee Attack Roll: +6, reach 5 ft. Hit: 5 (1d4 + 3) Piercing damage plus 14 (4d6) Poi- son damage. Poison Ray. Ranged Attack Roll: +5, range 150 ft. Hit: 11 (2d8 + 2) Poison damage.</x:t>
        </x:is>
      </x:c>
      <x:c r="AB138" s="2" t="inlineStr">
        <x:is>
          <x:t xml:space="preserve">Petrifying Gaze (Recharge 5-6). Constitution Saving Throw: DC 13, each creature in a 30-foot Cone. If the medusa sees its reflection in the Cone, the medusa must make this save. First Failure: The target has the Restrained condition and repeats the save at the end of its next turn if it is still Restrained, ending the effect on itself on a success. Second Failure: The target has the Petrified condition instead of the Restrained condition. Mephits</x:t>
        </x:is>
      </x:c>
      <x:c r="AC138" s="2" t="n"/>
      <x:c r="AD138" s="2" t="n"/>
      <x:c r="AE138" s="2" t="n"/>
      <x:c r="AF138" s="2" t="inlineStr">
        <x:is>
          <x:t xml:space="preserve">Imported from SRD 5.2.1 p. 306 Index of Stat Blocks</x:t>
        </x:is>
      </x:c>
      <x:c r="AG138" s="2" t="inlineStr">
        <x:is>
          <x:t xml:space="preserve">https://www.dndbeyond.com/srd</x:t>
        </x:is>
      </x:c>
    </x:row>
    <x:row r="139" ht="18" customHeight="1">
      <x:c r="A139" s="2" t="inlineStr">
        <x:is>
          <x:t xml:space="preserve">Dust Mephit</x:t>
        </x:is>
      </x:c>
      <x:c r="B139" s="2" t="inlineStr">
        <x:is>
          <x:t xml:space="preserve">SRD 5.2.1</x:t>
        </x:is>
      </x:c>
      <x:c r="C139" s="2" t="inlineStr">
        <x:is>
          <x:t xml:space="preserve">Elemental</x:t>
        </x:is>
      </x:c>
      <x:c r="D139" s="2" t="inlineStr">
        <x:is>
          <x:t xml:space="preserve">Small</x:t>
        </x:is>
      </x:c>
      <x:c r="E139" s="2" t="inlineStr">
        <x:is>
          <x:t xml:space="preserve">Neutral Evil</x:t>
        </x:is>
      </x:c>
      <x:c r="F139" s="2" t="inlineStr">
        <x:is>
          <x:t xml:space="preserve">1/2</x:t>
        </x:is>
      </x:c>
      <x:c r="G139" s="2" t="inlineStr">
        <x:is>
          <x:t xml:space="preserve">100</x:t>
        </x:is>
      </x:c>
      <x:c r="H139" s="2" t="inlineStr">
        <x:is>
          <x:t xml:space="preserve">12</x:t>
        </x:is>
      </x:c>
      <x:c r="I139" s="2" t="inlineStr">
        <x:is>
          <x:t xml:space="preserve">17</x:t>
        </x:is>
      </x:c>
      <x:c r="J139" s="2" t="inlineStr">
        <x:is>
          <x:t xml:space="preserve">30 ft., Fly 30 ft.</x:t>
        </x:is>
      </x:c>
      <x:c r="K139" s="2" t="inlineStr">
        <x:is>
          <x:t xml:space="preserve">2</x:t>
        </x:is>
      </x:c>
      <x:c r="L139" s="2" t="inlineStr">
        <x:is>
          <x:t xml:space="preserve">12</x:t>
        </x:is>
      </x:c>
      <x:c r="M139" s="2" t="inlineStr">
        <x:is>
          <x:t xml:space="preserve">10</x:t>
        </x:is>
      </x:c>
      <x:c r="N139" s="2" t="inlineStr">
        <x:is>
          <x:t xml:space="preserve">4</x:t>
        </x:is>
      </x:c>
      <x:c r="O139" s="2" t="inlineStr">
        <x:is>
          <x:t xml:space="preserve">2</x:t>
        </x:is>
      </x:c>
      <x:c r="P139" s="2" t="inlineStr">
        <x:is>
          <x:t xml:space="preserve">5</x:t>
        </x:is>
      </x:c>
      <x:c r="Q139" s="2" t="inlineStr">
        <x:is>
          <x:t xml:space="preserve">14</x:t>
        </x:is>
      </x:c>
      <x:c r="R139" s="2" t="inlineStr">
        <x:is>
          <x:t xml:space="preserve">10</x:t>
        </x:is>
      </x:c>
      <x:c r="S139" s="2" t="inlineStr">
        <x:is>
          <x:t xml:space="preserve">9</x:t>
        </x:is>
      </x:c>
      <x:c r="T139" s="2" t="inlineStr">
        <x:is>
          <x:t xml:space="preserve">11</x:t>
        </x:is>
      </x:c>
      <x:c r="U139" s="2" t="inlineStr">
        <x:is>
          <x:t xml:space="preserve">10</x:t>
        </x:is>
      </x:c>
      <x:c r="V139" s="2" t="n"/>
      <x:c r="W139" s="2" t="inlineStr">
        <x:is>
          <x:t xml:space="preserve">Perception +2, Stealth +4</x:t>
        </x:is>
      </x:c>
      <x:c r="X139" s="2" t="inlineStr">
        <x:is>
          <x:t xml:space="preserve">Darkvision 60 ft.; Passive Perception 12</x:t>
        </x:is>
      </x:c>
      <x:c r="Y139" s="2" t="inlineStr">
        <x:is>
          <x:t xml:space="preserve">Primordial (Auran, Terran)</x:t>
        </x:is>
      </x:c>
      <x:c r="Z139" s="2" t="inlineStr">
        <x:is>
          <x:t xml:space="preserve">Death Burst. The mephit explodes when it dies. Dex- terity Saving Throw: DC 10, each creature in a 5-foot Emanation originating from the mephit. Failure: 5 (2d4) Bludgeoning damage. Success: Half damage.</x:t>
        </x:is>
      </x:c>
      <x:c r="AA139" s="2" t="inlineStr">
        <x:is>
          <x:t xml:space="preserve">Claw. Melee Attack Roll: +4, reach 5 ft. Hit: 4 (1d4 + 2) Slashing damage. Blinding Breath (Recharge 6). Dexterity Saving Throw: DC 10, each creature in a 15-foot Cone. Failure: The target has the Blinded condition until the end of the mephit’s next turn. Sleep (1/Day). The mephit casts the Sleep spell, requir- ing no spell components and using Charisma as the spellcasting ability (spell save DC 10).</x:t>
        </x:is>
      </x:c>
      <x:c r="AB139" s="2" t="n"/>
      <x:c r="AC139" s="2" t="n"/>
      <x:c r="AD139" s="2" t="n"/>
      <x:c r="AE139" s="2" t="n"/>
      <x:c r="AF139" s="2" t="inlineStr">
        <x:is>
          <x:t xml:space="preserve">Imported from SRD 5.2.1 p. 307 Index of Stat Blocks</x:t>
        </x:is>
      </x:c>
      <x:c r="AG139" s="2" t="inlineStr">
        <x:is>
          <x:t xml:space="preserve">https://www.dndbeyond.com/srd</x:t>
        </x:is>
      </x:c>
    </x:row>
    <x:row r="140" ht="18" customHeight="1">
      <x:c r="A140" s="2" t="inlineStr">
        <x:is>
          <x:t xml:space="preserve">Ice Mephit</x:t>
        </x:is>
      </x:c>
      <x:c r="B140" s="2" t="inlineStr">
        <x:is>
          <x:t xml:space="preserve">SRD 5.2.1</x:t>
        </x:is>
      </x:c>
      <x:c r="C140" s="2" t="inlineStr">
        <x:is>
          <x:t xml:space="preserve">Elemental</x:t>
        </x:is>
      </x:c>
      <x:c r="D140" s="2" t="inlineStr">
        <x:is>
          <x:t xml:space="preserve">Small</x:t>
        </x:is>
      </x:c>
      <x:c r="E140" s="2" t="inlineStr">
        <x:is>
          <x:t xml:space="preserve">Neutral Evil</x:t>
        </x:is>
      </x:c>
      <x:c r="F140" s="2" t="inlineStr">
        <x:is>
          <x:t xml:space="preserve">1/2</x:t>
        </x:is>
      </x:c>
      <x:c r="G140" s="2" t="inlineStr">
        <x:is>
          <x:t xml:space="preserve">100</x:t>
        </x:is>
      </x:c>
      <x:c r="H140" s="2" t="inlineStr">
        <x:is>
          <x:t xml:space="preserve">11</x:t>
        </x:is>
      </x:c>
      <x:c r="I140" s="2" t="inlineStr">
        <x:is>
          <x:t xml:space="preserve">21</x:t>
        </x:is>
      </x:c>
      <x:c r="J140" s="2" t="inlineStr">
        <x:is>
          <x:t xml:space="preserve">30 ft., Fly 30 ft.</x:t>
        </x:is>
      </x:c>
      <x:c r="K140" s="2" t="inlineStr">
        <x:is>
          <x:t xml:space="preserve">2</x:t>
        </x:is>
      </x:c>
      <x:c r="L140" s="2" t="inlineStr">
        <x:is>
          <x:t xml:space="preserve">12</x:t>
        </x:is>
      </x:c>
      <x:c r="M140" s="2" t="inlineStr">
        <x:is>
          <x:t xml:space="preserve">10</x:t>
        </x:is>
      </x:c>
      <x:c r="N140" s="2" t="inlineStr">
        <x:is>
          <x:t xml:space="preserve">3</x:t>
        </x:is>
      </x:c>
      <x:c r="O140" s="2" t="inlineStr">
        <x:is>
          <x:t xml:space="preserve">1</x:t>
        </x:is>
      </x:c>
      <x:c r="P140" s="2" t="inlineStr">
        <x:is>
          <x:t xml:space="preserve">7</x:t>
        </x:is>
      </x:c>
      <x:c r="Q140" s="2" t="inlineStr">
        <x:is>
          <x:t xml:space="preserve">13</x:t>
        </x:is>
      </x:c>
      <x:c r="R140" s="2" t="inlineStr">
        <x:is>
          <x:t xml:space="preserve">10</x:t>
        </x:is>
      </x:c>
      <x:c r="S140" s="2" t="inlineStr">
        <x:is>
          <x:t xml:space="preserve">9</x:t>
        </x:is>
      </x:c>
      <x:c r="T140" s="2" t="inlineStr">
        <x:is>
          <x:t xml:space="preserve">11</x:t>
        </x:is>
      </x:c>
      <x:c r="U140" s="2" t="inlineStr">
        <x:is>
          <x:t xml:space="preserve">12</x:t>
        </x:is>
      </x:c>
      <x:c r="V140" s="2" t="n"/>
      <x:c r="W140" s="2" t="inlineStr">
        <x:is>
          <x:t xml:space="preserve">Perception +2, Stealth +3</x:t>
        </x:is>
      </x:c>
      <x:c r="X140" s="2" t="inlineStr">
        <x:is>
          <x:t xml:space="preserve">Darkvision 60 ft.; Passive Perception 12</x:t>
        </x:is>
      </x:c>
      <x:c r="Y140" s="2" t="inlineStr">
        <x:is>
          <x:t xml:space="preserve">Primordial (Aquan, Auran)</x:t>
        </x:is>
      </x:c>
      <x:c r="Z140" s="2" t="inlineStr">
        <x:is>
          <x:t xml:space="preserve">Death Burst. The mephit explodes when it dies. Consti- tution Saving Throw: DC 10, each creature in a 5-foot Emanation originating from the mephit. Failure: 5 (2d4) Cold damage. Success: Half damage.</x:t>
        </x:is>
      </x:c>
      <x:c r="AA140" s="2" t="inlineStr">
        <x:is>
          <x:t xml:space="preserve">Claw. Melee Attack Roll: +3, reach 5 ft. Hit: 3 (1d4 + 1) Slashing damage plus 2 (1d4) Cold damage. Fog Cloud (1/Day). The mephit casts Fog Cloud, re- quiring no spell components and using Charisma as the spellcasting ability. Frost Breath (Recharge 6). Constitution Saving Throw: DC 10, each creature in a 15-foot Cone. Failure: 7 (3d4) Cold damage. Success: Half damage.</x:t>
        </x:is>
      </x:c>
      <x:c r="AB140" s="2" t="n"/>
      <x:c r="AC140" s="2" t="n"/>
      <x:c r="AD140" s="2" t="n"/>
      <x:c r="AE140" s="2" t="n"/>
      <x:c r="AF140" s="2" t="inlineStr">
        <x:is>
          <x:t xml:space="preserve">Imported from SRD 5.2.1 p. 307 Index of Stat Blocks</x:t>
        </x:is>
      </x:c>
      <x:c r="AG140" s="2" t="inlineStr">
        <x:is>
          <x:t xml:space="preserve">https://www.dndbeyond.com/srd</x:t>
        </x:is>
      </x:c>
    </x:row>
    <x:row r="141" ht="18" customHeight="1">
      <x:c r="A141" s="2" t="inlineStr">
        <x:is>
          <x:t xml:space="preserve">Magma Mephit</x:t>
        </x:is>
      </x:c>
      <x:c r="B141" s="2" t="inlineStr">
        <x:is>
          <x:t xml:space="preserve">SRD 5.2.1</x:t>
        </x:is>
      </x:c>
      <x:c r="C141" s="2" t="inlineStr">
        <x:is>
          <x:t xml:space="preserve">Elemental</x:t>
        </x:is>
      </x:c>
      <x:c r="D141" s="2" t="inlineStr">
        <x:is>
          <x:t xml:space="preserve">Small</x:t>
        </x:is>
      </x:c>
      <x:c r="E141" s="2" t="inlineStr">
        <x:is>
          <x:t xml:space="preserve">Neutral Evil</x:t>
        </x:is>
      </x:c>
      <x:c r="F141" s="2" t="inlineStr">
        <x:is>
          <x:t xml:space="preserve">1/2</x:t>
        </x:is>
      </x:c>
      <x:c r="G141" s="2" t="inlineStr">
        <x:is>
          <x:t xml:space="preserve">100</x:t>
        </x:is>
      </x:c>
      <x:c r="H141" s="2" t="inlineStr">
        <x:is>
          <x:t xml:space="preserve">11</x:t>
        </x:is>
      </x:c>
      <x:c r="I141" s="2" t="inlineStr">
        <x:is>
          <x:t xml:space="preserve">18</x:t>
        </x:is>
      </x:c>
      <x:c r="J141" s="2" t="inlineStr">
        <x:is>
          <x:t xml:space="preserve">30 ft., Fly 30 ft.</x:t>
        </x:is>
      </x:c>
      <x:c r="K141" s="2" t="inlineStr">
        <x:is>
          <x:t xml:space="preserve">2</x:t>
        </x:is>
      </x:c>
      <x:c r="L141" s="2" t="inlineStr">
        <x:is>
          <x:t xml:space="preserve">10</x:t>
        </x:is>
      </x:c>
      <x:c r="M141" s="2" t="inlineStr">
        <x:is>
          <x:t xml:space="preserve">11</x:t>
        </x:is>
      </x:c>
      <x:c r="N141" s="2" t="inlineStr">
        <x:is>
          <x:t xml:space="preserve">3</x:t>
        </x:is>
      </x:c>
      <x:c r="O141" s="2" t="inlineStr">
        <x:is>
          <x:t xml:space="preserve">1</x:t>
        </x:is>
      </x:c>
      <x:c r="P141" s="2" t="inlineStr">
        <x:is>
          <x:t xml:space="preserve">8</x:t>
        </x:is>
      </x:c>
      <x:c r="Q141" s="2" t="inlineStr">
        <x:is>
          <x:t xml:space="preserve">12</x:t>
        </x:is>
      </x:c>
      <x:c r="R141" s="2" t="inlineStr">
        <x:is>
          <x:t xml:space="preserve">12</x:t>
        </x:is>
      </x:c>
      <x:c r="S141" s="2" t="inlineStr">
        <x:is>
          <x:t xml:space="preserve">7</x:t>
        </x:is>
      </x:c>
      <x:c r="T141" s="2" t="inlineStr">
        <x:is>
          <x:t xml:space="preserve">10</x:t>
        </x:is>
      </x:c>
      <x:c r="U141" s="2" t="inlineStr">
        <x:is>
          <x:t xml:space="preserve">10</x:t>
        </x:is>
      </x:c>
      <x:c r="V141" s="2" t="n"/>
      <x:c r="W141" s="2" t="inlineStr">
        <x:is>
          <x:t xml:space="preserve">Stealth +3</x:t>
        </x:is>
      </x:c>
      <x:c r="X141" s="2" t="inlineStr">
        <x:is>
          <x:t xml:space="preserve">Darkvision 60 ft.; Passive Perception 10</x:t>
        </x:is>
      </x:c>
      <x:c r="Y141" s="2" t="inlineStr">
        <x:is>
          <x:t xml:space="preserve">Primordial (Ignan, Terran)</x:t>
        </x:is>
      </x:c>
      <x:c r="Z141" s="2" t="inlineStr">
        <x:is>
          <x:t xml:space="preserve">Death Burst. The mephit explodes when it dies. Dex- terity Saving Throw: DC 11, each creature in a 5-foot Emanation originating from the mephit. Failure: 7 (2d6) Fire damage. Success: Half damage.</x:t>
        </x:is>
      </x:c>
      <x:c r="AA141" s="2" t="inlineStr">
        <x:is>
          <x:t xml:space="preserve">Claw. Melee Attack Roll: +3, reach 5 ft. Hit: 3 (1d4 + 1) Slashing damage plus 3 (1d6) Fire damage. Fire Breath (Recharge 6). Dexterity Saving Throw: DC 11, each creature in a 15-foot Cone. Failure: 7 (2d6) Fire damage. Success: Half damage.</x:t>
        </x:is>
      </x:c>
      <x:c r="AB141" s="2" t="n"/>
      <x:c r="AC141" s="2" t="n"/>
      <x:c r="AD141" s="2" t="n"/>
      <x:c r="AE141" s="2" t="n"/>
      <x:c r="AF141" s="2" t="inlineStr">
        <x:is>
          <x:t xml:space="preserve">Imported from SRD 5.2.1 p. 307 Index of Stat Blocks</x:t>
        </x:is>
      </x:c>
      <x:c r="AG141" s="2" t="inlineStr">
        <x:is>
          <x:t xml:space="preserve">https://www.dndbeyond.com/srd</x:t>
        </x:is>
      </x:c>
    </x:row>
    <x:row r="142" ht="18" customHeight="1">
      <x:c r="A142" s="2" t="inlineStr">
        <x:is>
          <x:t xml:space="preserve">Steam Mephit</x:t>
        </x:is>
      </x:c>
      <x:c r="B142" s="2" t="inlineStr">
        <x:is>
          <x:t xml:space="preserve">SRD 5.2.1</x:t>
        </x:is>
      </x:c>
      <x:c r="C142" s="2" t="inlineStr">
        <x:is>
          <x:t xml:space="preserve">Elemental</x:t>
        </x:is>
      </x:c>
      <x:c r="D142" s="2" t="inlineStr">
        <x:is>
          <x:t xml:space="preserve">Small</x:t>
        </x:is>
      </x:c>
      <x:c r="E142" s="2" t="inlineStr">
        <x:is>
          <x:t xml:space="preserve">Neutral Evil</x:t>
        </x:is>
      </x:c>
      <x:c r="F142" s="2" t="inlineStr">
        <x:is>
          <x:t xml:space="preserve">1/4</x:t>
        </x:is>
      </x:c>
      <x:c r="G142" s="2" t="inlineStr">
        <x:is>
          <x:t xml:space="preserve">50</x:t>
        </x:is>
      </x:c>
      <x:c r="H142" s="2" t="inlineStr">
        <x:is>
          <x:t xml:space="preserve">10</x:t>
        </x:is>
      </x:c>
      <x:c r="I142" s="2" t="inlineStr">
        <x:is>
          <x:t xml:space="preserve">17</x:t>
        </x:is>
      </x:c>
      <x:c r="J142" s="2" t="inlineStr">
        <x:is>
          <x:t xml:space="preserve">30 ft., Fly 30 ft.</x:t>
        </x:is>
      </x:c>
      <x:c r="K142" s="2" t="inlineStr">
        <x:is>
          <x:t xml:space="preserve">2</x:t>
        </x:is>
      </x:c>
      <x:c r="L142" s="2" t="inlineStr">
        <x:is>
          <x:t xml:space="preserve">10</x:t>
        </x:is>
      </x:c>
      <x:c r="M142" s="2" t="inlineStr">
        <x:is>
          <x:t xml:space="preserve">10</x:t>
        </x:is>
      </x:c>
      <x:c r="N142" s="2" t="inlineStr">
        <x:is>
          <x:t xml:space="preserve">2</x:t>
        </x:is>
      </x:c>
      <x:c r="O142" s="2" t="inlineStr">
        <x:is>
          <x:t xml:space="preserve">0</x:t>
        </x:is>
      </x:c>
      <x:c r="P142" s="2" t="inlineStr">
        <x:is>
          <x:t xml:space="preserve">5</x:t>
        </x:is>
      </x:c>
      <x:c r="Q142" s="2" t="inlineStr">
        <x:is>
          <x:t xml:space="preserve">11</x:t>
        </x:is>
      </x:c>
      <x:c r="R142" s="2" t="inlineStr">
        <x:is>
          <x:t xml:space="preserve">10</x:t>
        </x:is>
      </x:c>
      <x:c r="S142" s="2" t="inlineStr">
        <x:is>
          <x:t xml:space="preserve">11</x:t>
        </x:is>
      </x:c>
      <x:c r="T142" s="2" t="inlineStr">
        <x:is>
          <x:t xml:space="preserve">10</x:t>
        </x:is>
      </x:c>
      <x:c r="U142" s="2" t="inlineStr">
        <x:is>
          <x:t xml:space="preserve">12</x:t>
        </x:is>
      </x:c>
      <x:c r="V142" s="2" t="n"/>
      <x:c r="W142" s="2" t="inlineStr">
        <x:is>
          <x:t xml:space="preserve">Stealth +2</x:t>
        </x:is>
      </x:c>
      <x:c r="X142" s="2" t="inlineStr">
        <x:is>
          <x:t xml:space="preserve">Darkvision 60 ft.; Passive Perception 10</x:t>
        </x:is>
      </x:c>
      <x:c r="Y142" s="2" t="inlineStr">
        <x:is>
          <x:t xml:space="preserve">Primordial (Aquan, Ignan)</x:t>
        </x:is>
      </x:c>
      <x:c r="Z142" s="2" t="inlineStr">
        <x:is>
          <x:t xml:space="preserve">Blurred Form. Attack rolls against the mephit are made with Disadvantage unless the mephit has the Incapaci- tated condition. Death Burst. The mephit explodes when it dies. Dex- terity Saving Throw: DC 10, each creature in a 5-foot Emanation originating from the mephit. Failure: 5 (2d4) Fire damage. Success: Half damage.</x:t>
        </x:is>
      </x:c>
      <x:c r="AA142" s="2" t="inlineStr">
        <x:is>
          <x:t xml:space="preserve">Claw. Melee Attack Roll: +2, reach 5 ft. Hit: 2 (1d4) Slashing damage plus 2 (1d4) Fire damage. Steam Breath (Recharge 6). Constitution Saving Throw: DC 10, each creature in a 15-foot Cone. Failure: 5 (2d4) Fire damage, and the target’s Speed decreases by 10 feet until the end of the mephit’s next turn. Success: Half damage only. Failure or Success: Being underwater doesn’t grant Resistance to this Fire damage. Merfolk</x:t>
        </x:is>
      </x:c>
      <x:c r="AB142" s="2" t="n"/>
      <x:c r="AC142" s="2" t="n"/>
      <x:c r="AD142" s="2" t="n"/>
      <x:c r="AE142" s="2" t="n"/>
      <x:c r="AF142" s="2" t="inlineStr">
        <x:is>
          <x:t xml:space="preserve">Imported from SRD 5.2.1 p. 308 Index of Stat Blocks</x:t>
        </x:is>
      </x:c>
      <x:c r="AG142" s="2" t="inlineStr">
        <x:is>
          <x:t xml:space="preserve">https://www.dndbeyond.com/srd</x:t>
        </x:is>
      </x:c>
    </x:row>
    <x:row r="143" ht="18" customHeight="1">
      <x:c r="A143" s="2" t="inlineStr">
        <x:is>
          <x:t xml:space="preserve">Merfolk Skirmisher</x:t>
        </x:is>
      </x:c>
      <x:c r="B143" s="2" t="inlineStr">
        <x:is>
          <x:t xml:space="preserve">SRD 5.2.1</x:t>
        </x:is>
      </x:c>
      <x:c r="C143" s="2" t="inlineStr">
        <x:is>
          <x:t xml:space="preserve">Elemental</x:t>
        </x:is>
      </x:c>
      <x:c r="D143" s="2" t="inlineStr">
        <x:is>
          <x:t xml:space="preserve">Medium</x:t>
        </x:is>
      </x:c>
      <x:c r="E143" s="2" t="inlineStr">
        <x:is>
          <x:t xml:space="preserve">Neutral</x:t>
        </x:is>
      </x:c>
      <x:c r="F143" s="2" t="inlineStr">
        <x:is>
          <x:t xml:space="preserve">1/8</x:t>
        </x:is>
      </x:c>
      <x:c r="G143" s="2" t="inlineStr">
        <x:is>
          <x:t xml:space="preserve">25</x:t>
        </x:is>
      </x:c>
      <x:c r="H143" s="2" t="inlineStr">
        <x:is>
          <x:t xml:space="preserve">11</x:t>
        </x:is>
      </x:c>
      <x:c r="I143" s="2" t="inlineStr">
        <x:is>
          <x:t xml:space="preserve">11</x:t>
        </x:is>
      </x:c>
      <x:c r="J143" s="2" t="inlineStr">
        <x:is>
          <x:t xml:space="preserve">10 ft., Swim 40 ft.</x:t>
        </x:is>
      </x:c>
      <x:c r="K143" s="2" t="inlineStr">
        <x:is>
          <x:t xml:space="preserve">2</x:t>
        </x:is>
      </x:c>
      <x:c r="L143" s="2" t="inlineStr">
        <x:is>
          <x:t xml:space="preserve">12</x:t>
        </x:is>
      </x:c>
      <x:c r="M143" s="2" t="n"/>
      <x:c r="N143" s="2" t="inlineStr">
        <x:is>
          <x:t xml:space="preserve">2</x:t>
        </x:is>
      </x:c>
      <x:c r="O143" s="2" t="inlineStr">
        <x:is>
          <x:t xml:space="preserve">1</x:t>
        </x:is>
      </x:c>
      <x:c r="P143" s="2" t="inlineStr">
        <x:is>
          <x:t xml:space="preserve">10</x:t>
        </x:is>
      </x:c>
      <x:c r="Q143" s="2" t="inlineStr">
        <x:is>
          <x:t xml:space="preserve">13</x:t>
        </x:is>
      </x:c>
      <x:c r="R143" s="2" t="inlineStr">
        <x:is>
          <x:t xml:space="preserve">12</x:t>
        </x:is>
      </x:c>
      <x:c r="S143" s="2" t="inlineStr">
        <x:is>
          <x:t xml:space="preserve">11</x:t>
        </x:is>
      </x:c>
      <x:c r="T143" s="2" t="inlineStr">
        <x:is>
          <x:t xml:space="preserve">14</x:t>
        </x:is>
      </x:c>
      <x:c r="U143" s="2" t="inlineStr">
        <x:is>
          <x:t xml:space="preserve">12</x:t>
        </x:is>
      </x:c>
      <x:c r="V143" s="2" t="n"/>
      <x:c r="W143" s="2" t="n"/>
      <x:c r="X143" s="2" t="inlineStr">
        <x:is>
          <x:t xml:space="preserve">Passive Perception 12</x:t>
        </x:is>
      </x:c>
      <x:c r="Y143" s="2" t="inlineStr">
        <x:is>
          <x:t xml:space="preserve">Common, Primordial (Aquan)</x:t>
        </x:is>
      </x:c>
      <x:c r="Z143" s="2" t="inlineStr">
        <x:is>
          <x:t xml:space="preserve">Amphibious. The merfolk can breathe air and water.</x:t>
        </x:is>
      </x:c>
      <x:c r="AA143" s="2" t="inlineStr">
        <x:is>
          <x:t xml:space="preserve">Ocean Spear. Melee or Ranged Attack Roll: +2, reach 5 ft. or range 20/60 ft. Hit: 3 (1d6) Piercing damage plus 2 (1d4) Cold damage. If the target is a creature, its Speed decreases by 10 feet until the end of its next turn. Hit or Miss: The spear magically returns to the merfolk’s hand immediately after a ranged attack. Merrow</x:t>
        </x:is>
      </x:c>
      <x:c r="AB143" s="2" t="n"/>
      <x:c r="AC143" s="2" t="n"/>
      <x:c r="AD143" s="2" t="n"/>
      <x:c r="AE143" s="2" t="n"/>
      <x:c r="AF143" s="2" t="inlineStr">
        <x:is>
          <x:t xml:space="preserve">Imported from SRD 5.2.1 p. 308 Index of Stat Blocks</x:t>
        </x:is>
      </x:c>
      <x:c r="AG143" s="2" t="inlineStr">
        <x:is>
          <x:t xml:space="preserve">https://www.dndbeyond.com/srd</x:t>
        </x:is>
      </x:c>
    </x:row>
    <x:row r="144" ht="18" customHeight="1">
      <x:c r="A144" s="2" t="inlineStr">
        <x:is>
          <x:t xml:space="preserve">Merrow</x:t>
        </x:is>
      </x:c>
      <x:c r="B144" s="2" t="inlineStr">
        <x:is>
          <x:t xml:space="preserve">SRD 5.2.1</x:t>
        </x:is>
      </x:c>
      <x:c r="C144" s="2" t="inlineStr">
        <x:is>
          <x:t xml:space="preserve">Monstrosity</x:t>
        </x:is>
      </x:c>
      <x:c r="D144" s="2" t="inlineStr">
        <x:is>
          <x:t xml:space="preserve">Large</x:t>
        </x:is>
      </x:c>
      <x:c r="E144" s="2" t="inlineStr">
        <x:is>
          <x:t xml:space="preserve">Chaotic Evil</x:t>
        </x:is>
      </x:c>
      <x:c r="F144" s="2" t="inlineStr">
        <x:is>
          <x:t xml:space="preserve">2</x:t>
        </x:is>
      </x:c>
      <x:c r="G144" s="2" t="inlineStr">
        <x:is>
          <x:t xml:space="preserve">450</x:t>
        </x:is>
      </x:c>
      <x:c r="H144" s="2" t="inlineStr">
        <x:is>
          <x:t xml:space="preserve">13</x:t>
        </x:is>
      </x:c>
      <x:c r="I144" s="2" t="inlineStr">
        <x:is>
          <x:t xml:space="preserve">45</x:t>
        </x:is>
      </x:c>
      <x:c r="J144" s="2" t="inlineStr">
        <x:is>
          <x:t xml:space="preserve">10 ft., Swim 40 ft.</x:t>
        </x:is>
      </x:c>
      <x:c r="K144" s="2" t="inlineStr">
        <x:is>
          <x:t xml:space="preserve">2</x:t>
        </x:is>
      </x:c>
      <x:c r="L144" s="2" t="inlineStr">
        <x:is>
          <x:t xml:space="preserve">10</x:t>
        </x:is>
      </x:c>
      <x:c r="M144" s="2" t="n"/>
      <x:c r="N144" s="2" t="inlineStr">
        <x:is>
          <x:t xml:space="preserve">6</x:t>
        </x:is>
      </x:c>
      <x:c r="O144" s="2" t="inlineStr">
        <x:is>
          <x:t xml:space="preserve">2</x:t>
        </x:is>
      </x:c>
      <x:c r="P144" s="2" t="inlineStr">
        <x:is>
          <x:t xml:space="preserve">18</x:t>
        </x:is>
      </x:c>
      <x:c r="Q144" s="2" t="inlineStr">
        <x:is>
          <x:t xml:space="preserve">15</x:t>
        </x:is>
      </x:c>
      <x:c r="R144" s="2" t="inlineStr">
        <x:is>
          <x:t xml:space="preserve">15</x:t>
        </x:is>
      </x:c>
      <x:c r="S144" s="2" t="inlineStr">
        <x:is>
          <x:t xml:space="preserve">8</x:t>
        </x:is>
      </x:c>
      <x:c r="T144" s="2" t="inlineStr">
        <x:is>
          <x:t xml:space="preserve">10</x:t>
        </x:is>
      </x:c>
      <x:c r="U144" s="2" t="inlineStr">
        <x:is>
          <x:t xml:space="preserve">9</x:t>
        </x:is>
      </x:c>
      <x:c r="V144" s="2" t="n"/>
      <x:c r="W144" s="2" t="n"/>
      <x:c r="X144" s="2" t="inlineStr">
        <x:is>
          <x:t xml:space="preserve">Darkvision 60 ft.; Passive Perception 10</x:t>
        </x:is>
      </x:c>
      <x:c r="Y144" s="2" t="inlineStr">
        <x:is>
          <x:t xml:space="preserve">Abyssal, Primordial (Aquan)</x:t>
        </x:is>
      </x:c>
      <x:c r="Z144" s="2" t="inlineStr">
        <x:is>
          <x:t xml:space="preserve">Amphibious. The merrow can breathe air and water.</x:t>
        </x:is>
      </x:c>
      <x:c r="AA144" s="2" t="inlineStr">
        <x:is>
          <x:t xml:space="preserve">Multiattack. The merrow makes two attacks, using Bite, Claw, or Harpoon in any combination. Bite. Melee Attack Roll: +6, reach 5 ft. Hit: 6 (1d4 + 4) Piercing damage, and the target has the Poisoned con- dition until the end of the merrow’s next turn. Claw. Melee Attack Roll: +6, reach 5 ft. Hit: 9 (2d4 + 4) Slashing damage. Harpoon. Melee or Ranged Attack Roll: +6, reach 5 ft. or range 20/60 ft. Hit: 11 (2d6 + 4) Piercing damage. If the target is a Large or smaller creature, the merrow pulls the target up to 15 feet straight toward itself. Mimic</x:t>
        </x:is>
      </x:c>
      <x:c r="AB144" s="2" t="n"/>
      <x:c r="AC144" s="2" t="n"/>
      <x:c r="AD144" s="2" t="n"/>
      <x:c r="AE144" s="2" t="n"/>
      <x:c r="AF144" s="2" t="inlineStr">
        <x:is>
          <x:t xml:space="preserve">Imported from SRD 5.2.1 p. 308 Index of Stat Blocks</x:t>
        </x:is>
      </x:c>
      <x:c r="AG144" s="2" t="inlineStr">
        <x:is>
          <x:t xml:space="preserve">https://www.dndbeyond.com/srd</x:t>
        </x:is>
      </x:c>
    </x:row>
    <x:row r="145" ht="18" customHeight="1">
      <x:c r="A145" s="2" t="inlineStr">
        <x:is>
          <x:t xml:space="preserve">Mimic</x:t>
        </x:is>
      </x:c>
      <x:c r="B145" s="2" t="inlineStr">
        <x:is>
          <x:t xml:space="preserve">SRD 5.2.1</x:t>
        </x:is>
      </x:c>
      <x:c r="C145" s="2" t="inlineStr">
        <x:is>
          <x:t xml:space="preserve">Monstrosity</x:t>
        </x:is>
      </x:c>
      <x:c r="D145" s="2" t="inlineStr">
        <x:is>
          <x:t xml:space="preserve">Medium</x:t>
        </x:is>
      </x:c>
      <x:c r="E145" s="2" t="inlineStr">
        <x:is>
          <x:t xml:space="preserve">Neutral</x:t>
        </x:is>
      </x:c>
      <x:c r="F145" s="2" t="inlineStr">
        <x:is>
          <x:t xml:space="preserve">2</x:t>
        </x:is>
      </x:c>
      <x:c r="G145" s="2" t="inlineStr">
        <x:is>
          <x:t xml:space="preserve">450</x:t>
        </x:is>
      </x:c>
      <x:c r="H145" s="2" t="inlineStr">
        <x:is>
          <x:t xml:space="preserve">12</x:t>
        </x:is>
      </x:c>
      <x:c r="I145" s="2" t="inlineStr">
        <x:is>
          <x:t xml:space="preserve">58</x:t>
        </x:is>
      </x:c>
      <x:c r="J145" s="2" t="inlineStr">
        <x:is>
          <x:t xml:space="preserve">20 ft.</x:t>
        </x:is>
      </x:c>
      <x:c r="K145" s="2" t="inlineStr">
        <x:is>
          <x:t xml:space="preserve">2</x:t>
        </x:is>
      </x:c>
      <x:c r="L145" s="2" t="inlineStr">
        <x:is>
          <x:t xml:space="preserve">11</x:t>
        </x:is>
      </x:c>
      <x:c r="M145" s="2" t="n"/>
      <x:c r="N145" s="2" t="inlineStr">
        <x:is>
          <x:t xml:space="preserve">5</x:t>
        </x:is>
      </x:c>
      <x:c r="O145" s="2" t="inlineStr">
        <x:is>
          <x:t xml:space="preserve">3</x:t>
        </x:is>
      </x:c>
      <x:c r="P145" s="2" t="inlineStr">
        <x:is>
          <x:t xml:space="preserve">17</x:t>
        </x:is>
      </x:c>
      <x:c r="Q145" s="2" t="inlineStr">
        <x:is>
          <x:t xml:space="preserve">12</x:t>
        </x:is>
      </x:c>
      <x:c r="R145" s="2" t="inlineStr">
        <x:is>
          <x:t xml:space="preserve">15</x:t>
        </x:is>
      </x:c>
      <x:c r="S145" s="2" t="inlineStr">
        <x:is>
          <x:t xml:space="preserve">5</x:t>
        </x:is>
      </x:c>
      <x:c r="T145" s="2" t="inlineStr">
        <x:is>
          <x:t xml:space="preserve">13</x:t>
        </x:is>
      </x:c>
      <x:c r="U145" s="2" t="inlineStr">
        <x:is>
          <x:t xml:space="preserve">8</x:t>
        </x:is>
      </x:c>
      <x:c r="V145" s="2" t="n"/>
      <x:c r="W145" s="2" t="inlineStr">
        <x:is>
          <x:t xml:space="preserve">Stealth +5</x:t>
        </x:is>
      </x:c>
      <x:c r="X145" s="2" t="inlineStr">
        <x:is>
          <x:t xml:space="preserve">Darkvision 60 ft.; Passive Perception 11</x:t>
        </x:is>
      </x:c>
      <x:c r="Y145" s="2" t="inlineStr">
        <x:is>
          <x:t xml:space="preserve">None</x:t>
        </x:is>
      </x:c>
      <x:c r="Z145" s="2" t="inlineStr">
        <x:is>
          <x:t xml:space="preserve">Adhesive (Object Form Only). The mimic adheres to anything that touches it. A Huge or smaller creature ad- hered to the mimic has the Grappled condition (escape DC 13). Ability checks made to escape this grapple have Disadvantage.</x:t>
        </x:is>
      </x:c>
      <x:c r="AA145" s="2" t="inlineStr">
        <x:is>
          <x:t xml:space="preserve">Bite. Melee Attack Roll: +5 (with Advantage if the target is Grappled by the mimic), reach 5 ft. Hit: 7 (1d8 + 3) Piercing damage—or 12 (2d8 + 3) Piercing damage if the target is Grappled by the mimic—plus 4 (1d8) Acid damage. Pseudopod. Melee Attack Roll: +5, reach 5 ft. Hit: 7 (1d8 + 3) Bludgeoning damage plus 4 (1d8) Acid dam- age. If the target is a Large or smaller creature, it has the Grappled condition (escape DC 13). Ability checks made to escape this grapple have Disadvantage.</x:t>
        </x:is>
      </x:c>
      <x:c r="AB145" s="2" t="inlineStr">
        <x:is>
          <x:t xml:space="preserve">Shape-Shift. The mimic shape-shifts to resemble a Me- dium or Small object while retaining its game statistics, or it returns to its true blob form. Any equipment it is wearing or carrying isn’t transformed. Minotaur of Baphomet</x:t>
        </x:is>
      </x:c>
      <x:c r="AC145" s="2" t="n"/>
      <x:c r="AD145" s="2" t="n"/>
      <x:c r="AE145" s="2" t="n"/>
      <x:c r="AF145" s="2" t="inlineStr">
        <x:is>
          <x:t xml:space="preserve">Imported from SRD 5.2.1 p. 308 Index of Stat Blocks</x:t>
        </x:is>
      </x:c>
      <x:c r="AG145" s="2" t="inlineStr">
        <x:is>
          <x:t xml:space="preserve">https://www.dndbeyond.com/srd</x:t>
        </x:is>
      </x:c>
    </x:row>
    <x:row r="146" ht="18" customHeight="1">
      <x:c r="A146" s="2" t="inlineStr">
        <x:is>
          <x:t xml:space="preserve">Minotaur of Baphomet</x:t>
        </x:is>
      </x:c>
      <x:c r="B146" s="2" t="inlineStr">
        <x:is>
          <x:t xml:space="preserve">SRD 5.2.1</x:t>
        </x:is>
      </x:c>
      <x:c r="C146" s="2" t="inlineStr">
        <x:is>
          <x:t xml:space="preserve">Monstrosity</x:t>
        </x:is>
      </x:c>
      <x:c r="D146" s="2" t="inlineStr">
        <x:is>
          <x:t xml:space="preserve">Large</x:t>
        </x:is>
      </x:c>
      <x:c r="E146" s="2" t="inlineStr">
        <x:is>
          <x:t xml:space="preserve">Chaotic Evil</x:t>
        </x:is>
      </x:c>
      <x:c r="F146" s="2" t="inlineStr">
        <x:is>
          <x:t xml:space="preserve">3</x:t>
        </x:is>
      </x:c>
      <x:c r="G146" s="2" t="inlineStr">
        <x:is>
          <x:t xml:space="preserve">700</x:t>
        </x:is>
      </x:c>
      <x:c r="H146" s="2" t="inlineStr">
        <x:is>
          <x:t xml:space="preserve">14</x:t>
        </x:is>
      </x:c>
      <x:c r="I146" s="2" t="inlineStr">
        <x:is>
          <x:t xml:space="preserve">85</x:t>
        </x:is>
      </x:c>
      <x:c r="J146" s="2" t="inlineStr">
        <x:is>
          <x:t xml:space="preserve">40 ft.</x:t>
        </x:is>
      </x:c>
      <x:c r="K146" s="2" t="inlineStr">
        <x:is>
          <x:t xml:space="preserve">2</x:t>
        </x:is>
      </x:c>
      <x:c r="L146" s="2" t="inlineStr">
        <x:is>
          <x:t xml:space="preserve">17</x:t>
        </x:is>
      </x:c>
      <x:c r="M146" s="2" t="n"/>
      <x:c r="N146" s="2" t="inlineStr">
        <x:is>
          <x:t xml:space="preserve">6</x:t>
        </x:is>
      </x:c>
      <x:c r="O146" s="2" t="inlineStr">
        <x:is>
          <x:t xml:space="preserve">0</x:t>
        </x:is>
      </x:c>
      <x:c r="P146" s="2" t="inlineStr">
        <x:is>
          <x:t xml:space="preserve">18</x:t>
        </x:is>
      </x:c>
      <x:c r="Q146" s="2" t="inlineStr">
        <x:is>
          <x:t xml:space="preserve">11</x:t>
        </x:is>
      </x:c>
      <x:c r="R146" s="2" t="inlineStr">
        <x:is>
          <x:t xml:space="preserve">16</x:t>
        </x:is>
      </x:c>
      <x:c r="S146" s="2" t="inlineStr">
        <x:is>
          <x:t xml:space="preserve">6</x:t>
        </x:is>
      </x:c>
      <x:c r="T146" s="2" t="inlineStr">
        <x:is>
          <x:t xml:space="preserve">16</x:t>
        </x:is>
      </x:c>
      <x:c r="U146" s="2" t="inlineStr">
        <x:is>
          <x:t xml:space="preserve">9</x:t>
        </x:is>
      </x:c>
      <x:c r="V146" s="2" t="n"/>
      <x:c r="W146" s="2" t="inlineStr">
        <x:is>
          <x:t xml:space="preserve">Perception +7, Survival +7</x:t>
        </x:is>
      </x:c>
      <x:c r="X146" s="2" t="inlineStr">
        <x:is>
          <x:t xml:space="preserve">Darkvision 60 ft.; Passive Perception 17</x:t>
        </x:is>
      </x:c>
      <x:c r="Y146" s="2" t="inlineStr">
        <x:is>
          <x:t xml:space="preserve">Abyssal</x:t>
        </x:is>
      </x:c>
      <x:c r="Z146" s="2" t="n"/>
      <x:c r="AA146" s="2" t="inlineStr">
        <x:is>
          <x:t xml:space="preserve">Abyssal Glaive. Melee Attack Roll: +6, reach 10 ft. Hit: 10 (1d12 + 4) Slashing damage plus 10 (3d6) Ne- crotic damage. Gore (Recharge 5-6). Melee Attack Roll: +6, reach 5 ft. Hit: 18 (4d6 + 4) Piercing damage. If the target is a Large or smaller creature and the minotaur moved 10+ feet straight toward it immediately before the hit, the target takes an extra 10 (3d6) Piercing damage and has the Prone condition. Mummies</x:t>
        </x:is>
      </x:c>
      <x:c r="AB146" s="2" t="n"/>
      <x:c r="AC146" s="2" t="n"/>
      <x:c r="AD146" s="2" t="n"/>
      <x:c r="AE146" s="2" t="n"/>
      <x:c r="AF146" s="2" t="inlineStr">
        <x:is>
          <x:t xml:space="preserve">Imported from SRD 5.2.1 p. 309 Index of Stat Blocks</x:t>
        </x:is>
      </x:c>
      <x:c r="AG146" s="2" t="inlineStr">
        <x:is>
          <x:t xml:space="preserve">https://www.dndbeyond.com/srd</x:t>
        </x:is>
      </x:c>
    </x:row>
    <x:row r="147" ht="18" customHeight="1">
      <x:c r="A147" s="2" t="inlineStr">
        <x:is>
          <x:t xml:space="preserve">Mummy</x:t>
        </x:is>
      </x:c>
      <x:c r="B147" s="2" t="inlineStr">
        <x:is>
          <x:t xml:space="preserve">SRD 5.2.1</x:t>
        </x:is>
      </x:c>
      <x:c r="C147" s="2" t="inlineStr">
        <x:is>
          <x:t xml:space="preserve">Undead</x:t>
        </x:is>
      </x:c>
      <x:c r="D147" s="2" t="inlineStr">
        <x:is>
          <x:t xml:space="preserve">Medium or Small</x:t>
        </x:is>
      </x:c>
      <x:c r="E147" s="2" t="inlineStr">
        <x:is>
          <x:t xml:space="preserve">Lawful Evil</x:t>
        </x:is>
      </x:c>
      <x:c r="F147" s="2" t="inlineStr">
        <x:is>
          <x:t xml:space="preserve">3</x:t>
        </x:is>
      </x:c>
      <x:c r="G147" s="2" t="inlineStr">
        <x:is>
          <x:t xml:space="preserve">700</x:t>
        </x:is>
      </x:c>
      <x:c r="H147" s="2" t="inlineStr">
        <x:is>
          <x:t xml:space="preserve">11</x:t>
        </x:is>
      </x:c>
      <x:c r="I147" s="2" t="inlineStr">
        <x:is>
          <x:t xml:space="preserve">58</x:t>
        </x:is>
      </x:c>
      <x:c r="J147" s="2" t="inlineStr">
        <x:is>
          <x:t xml:space="preserve">20 ft.</x:t>
        </x:is>
      </x:c>
      <x:c r="K147" s="2" t="inlineStr">
        <x:is>
          <x:t xml:space="preserve">2</x:t>
        </x:is>
      </x:c>
      <x:c r="L147" s="2" t="inlineStr">
        <x:is>
          <x:t xml:space="preserve">11</x:t>
        </x:is>
      </x:c>
      <x:c r="M147" s="2" t="inlineStr">
        <x:is>
          <x:t xml:space="preserve">11</x:t>
        </x:is>
      </x:c>
      <x:c r="N147" s="2" t="inlineStr">
        <x:is>
          <x:t xml:space="preserve">5</x:t>
        </x:is>
      </x:c>
      <x:c r="O147" s="2" t="inlineStr">
        <x:is>
          <x:t xml:space="preserve">-1</x:t>
        </x:is>
      </x:c>
      <x:c r="P147" s="2" t="inlineStr">
        <x:is>
          <x:t xml:space="preserve">16</x:t>
        </x:is>
      </x:c>
      <x:c r="Q147" s="2" t="inlineStr">
        <x:is>
          <x:t xml:space="preserve">8</x:t>
        </x:is>
      </x:c>
      <x:c r="R147" s="2" t="inlineStr">
        <x:is>
          <x:t xml:space="preserve">15</x:t>
        </x:is>
      </x:c>
      <x:c r="S147" s="2" t="inlineStr">
        <x:is>
          <x:t xml:space="preserve">6</x:t>
        </x:is>
      </x:c>
      <x:c r="T147" s="2" t="inlineStr">
        <x:is>
          <x:t xml:space="preserve">12</x:t>
        </x:is>
      </x:c>
      <x:c r="U147" s="2" t="inlineStr">
        <x:is>
          <x:t xml:space="preserve">12</x:t>
        </x:is>
      </x:c>
      <x:c r="V147" s="2" t="inlineStr">
        <x:is>
          <x:t xml:space="preserve">WIS +3</x:t>
        </x:is>
      </x:c>
      <x:c r="W147" s="2" t="n"/>
      <x:c r="X147" s="2" t="inlineStr">
        <x:is>
          <x:t xml:space="preserve">Darkvision 60 ft.; Passive Perception 11</x:t>
        </x:is>
      </x:c>
      <x:c r="Y147" s="2" t="inlineStr">
        <x:is>
          <x:t xml:space="preserve">Common plus two other languages</x:t>
        </x:is>
      </x:c>
      <x:c r="Z147" s="2" t="n"/>
      <x:c r="AA147" s="2" t="inlineStr">
        <x:is>
          <x:t xml:space="preserve">Multiattack. The mummy makes two Rotting Fist at- tacks and uses Dreadful Glare. Rotting Fist. Melee Attack Roll: +5, reach 5 ft. Hit: 8 (1d10 + 3) Bludgeoning damage plus 10 (3d6) Necrotic damage. If the target is a creature, it is cursed. While cursed, the target can’t regain Hit Points, its Hit Point maximum doesn’t return to normal when finishing a Long Rest, and its Hit Point maximum decreases by 10 (3d6) every 24 hours that elapse. A creature dies and turns to dust if reduced to 0 Hit Points by this attack. Dreadful Glare. Wisdom Saving Throw: DC 11, one creature the mummy can see within 60 feet. Failure: The target has the Frightened condition until the end of the mummy’s next turn. Success: The target is immune to this mummy’s Dreadful Glare for 24 hours.</x:t>
        </x:is>
      </x:c>
      <x:c r="AB147" s="2" t="n"/>
      <x:c r="AC147" s="2" t="n"/>
      <x:c r="AD147" s="2" t="n"/>
      <x:c r="AE147" s="2" t="n"/>
      <x:c r="AF147" s="2" t="inlineStr">
        <x:is>
          <x:t xml:space="preserve">Imported from SRD 5.2.1 p. 309 Index of Stat Blocks</x:t>
        </x:is>
      </x:c>
      <x:c r="AG147" s="2" t="inlineStr">
        <x:is>
          <x:t xml:space="preserve">https://www.dndbeyond.com/srd</x:t>
        </x:is>
      </x:c>
    </x:row>
    <x:row r="148" ht="18" customHeight="1">
      <x:c r="A148" s="2" t="inlineStr">
        <x:is>
          <x:t xml:space="preserve">Mummy Lord</x:t>
        </x:is>
      </x:c>
      <x:c r="B148" s="2" t="inlineStr">
        <x:is>
          <x:t xml:space="preserve">SRD 5.2.1</x:t>
        </x:is>
      </x:c>
      <x:c r="C148" s="2" t="inlineStr">
        <x:is>
          <x:t xml:space="preserve">Undead (Cleric)</x:t>
        </x:is>
      </x:c>
      <x:c r="D148" s="2" t="inlineStr">
        <x:is>
          <x:t xml:space="preserve">Medium or Small</x:t>
        </x:is>
      </x:c>
      <x:c r="E148" s="2" t="inlineStr">
        <x:is>
          <x:t xml:space="preserve">Lawful Evil</x:t>
        </x:is>
      </x:c>
      <x:c r="F148" s="2" t="inlineStr">
        <x:is>
          <x:t xml:space="preserve">15</x:t>
        </x:is>
      </x:c>
      <x:c r="G148" s="2" t="inlineStr">
        <x:is>
          <x:t xml:space="preserve">13000</x:t>
        </x:is>
      </x:c>
      <x:c r="H148" s="2" t="inlineStr">
        <x:is>
          <x:t xml:space="preserve">17</x:t>
        </x:is>
      </x:c>
      <x:c r="I148" s="2" t="inlineStr">
        <x:is>
          <x:t xml:space="preserve">187</x:t>
        </x:is>
      </x:c>
      <x:c r="J148" s="2" t="inlineStr">
        <x:is>
          <x:t xml:space="preserve">30 ft.</x:t>
        </x:is>
      </x:c>
      <x:c r="K148" s="2" t="inlineStr">
        <x:is>
          <x:t xml:space="preserve">5</x:t>
        </x:is>
      </x:c>
      <x:c r="L148" s="2" t="inlineStr">
        <x:is>
          <x:t xml:space="preserve">19</x:t>
        </x:is>
      </x:c>
      <x:c r="M148" s="2" t="inlineStr">
        <x:is>
          <x:t xml:space="preserve">17</x:t>
        </x:is>
      </x:c>
      <x:c r="N148" s="2" t="inlineStr">
        <x:is>
          <x:t xml:space="preserve">9</x:t>
        </x:is>
      </x:c>
      <x:c r="O148" s="2" t="inlineStr">
        <x:is>
          <x:t xml:space="preserve">10</x:t>
        </x:is>
      </x:c>
      <x:c r="P148" s="2" t="inlineStr">
        <x:is>
          <x:t xml:space="preserve">18</x:t>
        </x:is>
      </x:c>
      <x:c r="Q148" s="2" t="inlineStr">
        <x:is>
          <x:t xml:space="preserve">10</x:t>
        </x:is>
      </x:c>
      <x:c r="R148" s="2" t="inlineStr">
        <x:is>
          <x:t xml:space="preserve">17</x:t>
        </x:is>
      </x:c>
      <x:c r="S148" s="2" t="inlineStr">
        <x:is>
          <x:t xml:space="preserve">11</x:t>
        </x:is>
      </x:c>
      <x:c r="T148" s="2" t="inlineStr">
        <x:is>
          <x:t xml:space="preserve">19</x:t>
        </x:is>
      </x:c>
      <x:c r="U148" s="2" t="inlineStr">
        <x:is>
          <x:t xml:space="preserve">16</x:t>
        </x:is>
      </x:c>
      <x:c r="V148" s="2" t="inlineStr">
        <x:is>
          <x:t xml:space="preserve">INT +5, WIS +9</x:t>
        </x:is>
      </x:c>
      <x:c r="W148" s="2" t="inlineStr">
        <x:is>
          <x:t xml:space="preserve">History +5, Perception +9, Religion +5</x:t>
        </x:is>
      </x:c>
      <x:c r="X148" s="2" t="inlineStr">
        <x:is>
          <x:t xml:space="preserve">Truesight 60 ft.; Passive Perception 19</x:t>
        </x:is>
      </x:c>
      <x:c r="Y148" s="2" t="inlineStr">
        <x:is>
          <x:t xml:space="preserve">Common plus three other languages</x:t>
        </x:is>
      </x:c>
      <x:c r="Z148" s="2" t="inlineStr">
        <x:is>
          <x:t xml:space="preserve">Legendary Resistance (3/Day, or 4/Day in Lair). If the mummy fails a saving throw, it can choose to suc- ceed instead. Magic Resistance. The mummy has Advantage on sav- ing throws against spells and other magical effects. Undead Restoration. If destroyed, the mummy gains a new body in 24 hours if its heart is intact, reviving with all its Hit Points. The new body appears in an unoccu- pied space within the mummy’s lair. The heart is a Tiny object that has AC 17, HP 10, and Immunity to all dam- age except Fire.</x:t>
        </x:is>
      </x:c>
      <x:c r="AA148" s="2" t="inlineStr">
        <x:is>
          <x:t xml:space="preserve">Multiattack. The mummy makes one Rotting Fist or Channel Negative Energy attack, and it uses Dreadful Glare. Rotting Fist. Melee Attack Roll: +9, reach 5 ft. Hit: 15 (2d10 + 4) Bludgeoning damage plus 10 (3d6) Necrotic damage. If the target is a creature, it is cursed. While cursed, the target can’t regain Hit Points, it gains no benefit from finishing a Long Rest, and its Hit Point maximum decreases by 10 (3d6) every 24 hours that elapse. A creature dies and turns to dust if reduced to 0 Hit Points by this attack. Channel Negative Energy. Ranged Attack Roll: +9, range 60 ft. Hit: 25 (6d6 + 4) Necrotic damage. Dreadful Glare. Wisdom Saving Throw: DC 17, one creature the mummy can see within 60 feet. Failure: 25 (6d6 + 4) Psychic damage, and the target has the Para- lyzed condition until the end of the mummy’s next turn. Spellcasting. The mummy casts one of the following spells, requiring no Material components and using Wisdom as the spellcasting ability (spell save DC 17, +9 to hit with spell attacks): At Will: Dispel Magic, Thaumaturgy 1/Day Each: Animate Dead, Harm, Insect Plague (level 7 version)</x:t>
        </x:is>
      </x:c>
      <x:c r="AB148" s="2" t="n"/>
      <x:c r="AC148" s="2" t="inlineStr">
        <x:is>
          <x:t xml:space="preserve">Whirlwind of Sand. Trigger: The mummy is hit by an attack roll. Response: The mummy adds 2 to its AC against the attack, possibly causing the attack to miss, and the mummy teleports up to 60 feet to an unoccu- pied space it can see. Each creature of its choice that it can see within 5 feet of its destination space has the Blinded condition until the end of the mummy’s next turn.</x:t>
        </x:is>
      </x:c>
      <x:c r="AD148" s="2" t="inlineStr">
        <x:is>
          <x:t xml:space="preserve">Legendary Action Uses: 3 (4 in Lair). Immediately after another creature’s turn, the mummy can expend a use to take one of the following actions. The mummy regains all expended uses at the start of each of its turns. Dread Command. The mummy casts Command (level 2 version), using the same spellcasting ability as Spell- casting. The mummy can’t take this action again until the start of its next turn. Glare. The mummy uses Dreadful Glare. The mummy can’t take this action again until the start of its next turn. Necrotic Strike. The mummy makes one Rotting Fist or Channel Negative Energy attack. Nalfeshnee</x:t>
        </x:is>
      </x:c>
      <x:c r="AE148" s="2" t="inlineStr">
        <x:is>
          <x:t xml:space="preserve">Includes Spellcasting; see Traits/Actions text</x:t>
        </x:is>
      </x:c>
      <x:c r="AF148" s="2" t="inlineStr">
        <x:is>
          <x:t xml:space="preserve">Imported from SRD 5.2.1 p. 309 Index of Stat Blocks</x:t>
        </x:is>
      </x:c>
      <x:c r="AG148" s="2" t="inlineStr">
        <x:is>
          <x:t xml:space="preserve">https://www.dndbeyond.com/srd</x:t>
        </x:is>
      </x:c>
    </x:row>
    <x:row r="149" ht="18" customHeight="1">
      <x:c r="A149" s="2" t="inlineStr">
        <x:is>
          <x:t xml:space="preserve">Nalfeshnee</x:t>
        </x:is>
      </x:c>
      <x:c r="B149" s="2" t="inlineStr">
        <x:is>
          <x:t xml:space="preserve">SRD 5.2.1</x:t>
        </x:is>
      </x:c>
      <x:c r="C149" s="2" t="inlineStr">
        <x:is>
          <x:t xml:space="preserve">Fiend (Demon)</x:t>
        </x:is>
      </x:c>
      <x:c r="D149" s="2" t="inlineStr">
        <x:is>
          <x:t xml:space="preserve">Large</x:t>
        </x:is>
      </x:c>
      <x:c r="E149" s="2" t="inlineStr">
        <x:is>
          <x:t xml:space="preserve">Chaotic Evil</x:t>
        </x:is>
      </x:c>
      <x:c r="F149" s="2" t="inlineStr">
        <x:is>
          <x:t xml:space="preserve">13</x:t>
        </x:is>
      </x:c>
      <x:c r="G149" s="2" t="inlineStr">
        <x:is>
          <x:t xml:space="preserve">10000</x:t>
        </x:is>
      </x:c>
      <x:c r="H149" s="2" t="inlineStr">
        <x:is>
          <x:t xml:space="preserve">18</x:t>
        </x:is>
      </x:c>
      <x:c r="I149" s="2" t="inlineStr">
        <x:is>
          <x:t xml:space="preserve">184</x:t>
        </x:is>
      </x:c>
      <x:c r="J149" s="2" t="inlineStr">
        <x:is>
          <x:t xml:space="preserve">20 ft., Fly 30 ft.</x:t>
        </x:is>
      </x:c>
      <x:c r="K149" s="2" t="inlineStr">
        <x:is>
          <x:t xml:space="preserve">5</x:t>
        </x:is>
      </x:c>
      <x:c r="L149" s="2" t="inlineStr">
        <x:is>
          <x:t xml:space="preserve">11</x:t>
        </x:is>
      </x:c>
      <x:c r="M149" s="2" t="n"/>
      <x:c r="N149" s="2" t="inlineStr">
        <x:is>
          <x:t xml:space="preserve">10</x:t>
        </x:is>
      </x:c>
      <x:c r="O149" s="2" t="inlineStr">
        <x:is>
          <x:t xml:space="preserve">5</x:t>
        </x:is>
      </x:c>
      <x:c r="P149" s="2" t="inlineStr">
        <x:is>
          <x:t xml:space="preserve">21</x:t>
        </x:is>
      </x:c>
      <x:c r="Q149" s="2" t="inlineStr">
        <x:is>
          <x:t xml:space="preserve">10</x:t>
        </x:is>
      </x:c>
      <x:c r="R149" s="2" t="inlineStr">
        <x:is>
          <x:t xml:space="preserve">22</x:t>
        </x:is>
      </x:c>
      <x:c r="S149" s="2" t="inlineStr">
        <x:is>
          <x:t xml:space="preserve">19</x:t>
        </x:is>
      </x:c>
      <x:c r="T149" s="2" t="inlineStr">
        <x:is>
          <x:t xml:space="preserve">12</x:t>
        </x:is>
      </x:c>
      <x:c r="U149" s="2" t="inlineStr">
        <x:is>
          <x:t xml:space="preserve">15</x:t>
        </x:is>
      </x:c>
      <x:c r="V149" s="2" t="inlineStr">
        <x:is>
          <x:t xml:space="preserve">CON +11, INT +9, WIS +6, CHA +7</x:t>
        </x:is>
      </x:c>
      <x:c r="W149" s="2" t="n"/>
      <x:c r="X149" s="2" t="inlineStr">
        <x:is>
          <x:t xml:space="preserve">Truesight 120 ft.; Passive Perception 11</x:t>
        </x:is>
      </x:c>
      <x:c r="Y149" s="2" t="inlineStr">
        <x:is>
          <x:t xml:space="preserve">Abyssal; telepathy 120 ft.</x:t>
        </x:is>
      </x:c>
      <x:c r="Z149" s="2" t="inlineStr">
        <x:is>
          <x:t xml:space="preserve">Demonic Restoration. If the nalfeshnee dies outside the Abyss, its body dissolves into ichor, and it gains a new body instantly, reviving with all its Hit Points some- where in the Abyss. Magic Resistance. The nalfeshnee has Advantage on saving throws against spells and other magical effects.</x:t>
        </x:is>
      </x:c>
      <x:c r="AA149" s="2" t="inlineStr">
        <x:is>
          <x:t xml:space="preserve">Multiattack. The nalfeshnee makes three Rend attacks. Rend. Melee Attack Roll: +10, reach 10 ft. Hit: 16 (2d10 + 5) Slashing damage plus 11 (2d10) Force damage. Teleport. The nalfeshnee teleports up to 120 feet to an unoccupied space it can see.</x:t>
        </x:is>
      </x:c>
      <x:c r="AB149" s="2" t="inlineStr">
        <x:is>
          <x:t xml:space="preserve">Horror Nimbus (Recharge 5-6). Wisdom Saving Throw: DC 15, each creature in a 15-foot Emanation originating from the nalfeshnee. Failure: 28 (8d6) Psy- chic damage, and the target has the Frightened condi- tion for 1 minute, until it takes damage, or until it ends its turn with the nalfeshnee out of line of sight. Success: The target is immune to this nalfeshnee’s Horror Nim- bus for 24 hours.</x:t>
        </x:is>
      </x:c>
      <x:c r="AC149" s="2" t="inlineStr">
        <x:is>
          <x:t xml:space="preserve">Pursuit. Trigger: Another creature the nalfeshnee can see ends its move within 120 feet of the nalfeshnee. Response: The nalfeshnee uses Teleport, but its des- tination space must be within 10 feet of the trigger- ing creature. Night Hag</x:t>
        </x:is>
      </x:c>
      <x:c r="AD149" s="2" t="n"/>
      <x:c r="AE149" s="2" t="n"/>
      <x:c r="AF149" s="2" t="inlineStr">
        <x:is>
          <x:t xml:space="preserve">Imported from SRD 5.2.1 p. 310 Index of Stat Blocks</x:t>
        </x:is>
      </x:c>
      <x:c r="AG149" s="2" t="inlineStr">
        <x:is>
          <x:t xml:space="preserve">https://www.dndbeyond.com/srd</x:t>
        </x:is>
      </x:c>
    </x:row>
    <x:row r="150" ht="18" customHeight="1">
      <x:c r="A150" s="2" t="inlineStr">
        <x:is>
          <x:t xml:space="preserve">Night Hag</x:t>
        </x:is>
      </x:c>
      <x:c r="B150" s="2" t="inlineStr">
        <x:is>
          <x:t xml:space="preserve">SRD 5.2.1</x:t>
        </x:is>
      </x:c>
      <x:c r="C150" s="2" t="inlineStr">
        <x:is>
          <x:t xml:space="preserve">Fiend</x:t>
        </x:is>
      </x:c>
      <x:c r="D150" s="2" t="inlineStr">
        <x:is>
          <x:t xml:space="preserve">Medium</x:t>
        </x:is>
      </x:c>
      <x:c r="E150" s="2" t="inlineStr">
        <x:is>
          <x:t xml:space="preserve">Neutral Evil</x:t>
        </x:is>
      </x:c>
      <x:c r="F150" s="2" t="inlineStr">
        <x:is>
          <x:t xml:space="preserve">5</x:t>
        </x:is>
      </x:c>
      <x:c r="G150" s="2" t="inlineStr">
        <x:is>
          <x:t xml:space="preserve">1800</x:t>
        </x:is>
      </x:c>
      <x:c r="H150" s="2" t="inlineStr">
        <x:is>
          <x:t xml:space="preserve">17</x:t>
        </x:is>
      </x:c>
      <x:c r="I150" s="2" t="inlineStr">
        <x:is>
          <x:t xml:space="preserve">112</x:t>
        </x:is>
      </x:c>
      <x:c r="J150" s="2" t="inlineStr">
        <x:is>
          <x:t xml:space="preserve">30 ft.</x:t>
        </x:is>
      </x:c>
      <x:c r="K150" s="2" t="inlineStr">
        <x:is>
          <x:t xml:space="preserve">3</x:t>
        </x:is>
      </x:c>
      <x:c r="L150" s="2" t="inlineStr">
        <x:is>
          <x:t xml:space="preserve">15</x:t>
        </x:is>
      </x:c>
      <x:c r="M150" s="2" t="n"/>
      <x:c r="N150" s="2" t="inlineStr">
        <x:is>
          <x:t xml:space="preserve">7</x:t>
        </x:is>
      </x:c>
      <x:c r="O150" s="2" t="inlineStr">
        <x:is>
          <x:t xml:space="preserve">5</x:t>
        </x:is>
      </x:c>
      <x:c r="P150" s="2" t="inlineStr">
        <x:is>
          <x:t xml:space="preserve">18</x:t>
        </x:is>
      </x:c>
      <x:c r="Q150" s="2" t="inlineStr">
        <x:is>
          <x:t xml:space="preserve">15</x:t>
        </x:is>
      </x:c>
      <x:c r="R150" s="2" t="inlineStr">
        <x:is>
          <x:t xml:space="preserve">16</x:t>
        </x:is>
      </x:c>
      <x:c r="S150" s="2" t="inlineStr">
        <x:is>
          <x:t xml:space="preserve">16</x:t>
        </x:is>
      </x:c>
      <x:c r="T150" s="2" t="inlineStr">
        <x:is>
          <x:t xml:space="preserve">14</x:t>
        </x:is>
      </x:c>
      <x:c r="U150" s="2" t="inlineStr">
        <x:is>
          <x:t xml:space="preserve">16</x:t>
        </x:is>
      </x:c>
      <x:c r="V150" s="2" t="n"/>
      <x:c r="W150" s="2" t="inlineStr">
        <x:is>
          <x:t xml:space="preserve">Deception +6, Insight +5, Perception +5, Stealth +5</x:t>
        </x:is>
      </x:c>
      <x:c r="X150" s="2" t="inlineStr">
        <x:is>
          <x:t xml:space="preserve">Darkvision 120 ft.; Passive Perception 15</x:t>
        </x:is>
      </x:c>
      <x:c r="Y150" s="2" t="inlineStr">
        <x:is>
          <x:t xml:space="preserve">Abyssal, Common, Infernal, Primordial</x:t>
        </x:is>
      </x:c>
      <x:c r="Z150" s="2" t="inlineStr">
        <x:is>
          <x:t xml:space="preserve">Coven Magic. While within 30 feet of at least two hag allies, the hag can cast one of the following spells, requiring no Material components, using the spell’s normal casting time, and using Intelligence as the spell- casting ability (spell save DC 14): Augury, Find Familiar, Identify, Locate Object, Scrying, or Unseen Servant. The hag must finish a Long Rest before using this trait to cast that spell again. Magic Resistance. The hag has Advantage on saving throws against spells and other magical effects. Soul Bag. The hag has a soul bag. While holding or carrying the bag, the hag can use its Nightmare Haunt- ing action. The bag has AC 15, HP 20, and Resistance to all dam- age. The bag turns to dust if reduced to 0 Hit Points. If the bag is destroyed, any souls the bag is holding are released. The hag can create a new bag after 7 days.</x:t>
        </x:is>
      </x:c>
      <x:c r="AA150" s="2" t="inlineStr">
        <x:is>
          <x:t xml:space="preserve">Multiattack. The hag makes two Claw attacks. Claw. Melee Attack Roll: +7, reach 5 ft. Hit: 13 (2d8 + 4) Slashing damage. Nightmare Haunting (1/Day; Requires Soul Bag). While on the Ethereal Plane, the hag casts Dream, us- ing the same spellcasting ability as Spellcasting. Only the hag can serve as the spell’s messenger, and the tar- get must be a creature the hag can see on the Material Plane. The spell fails and is wasted if the target is under the effect of the Protection from Evil and Good spell or within a Magic Circle spell. If the target takes damage from the Dream spell, the target’s Hit Point maximum decreases by an amount equal to that damage. If the spell kills the target, its soul is trapped in the hag’s soul bag, and the target can’t be raised from the dead until its soul is released. Spellcasting. The hag casts one of the following spells, requiring no Material components and using Intelli- gence as the spellcasting ability (spell save DC 14): At Will: Detect Magic, Etherealness, Magic Missile (level 4 version) 2/Day Each: Phantasmal Killer, Plane Shift (self only)</x:t>
        </x:is>
      </x:c>
      <x:c r="AB150" s="2" t="inlineStr">
        <x:is>
          <x:t xml:space="preserve">Shape-Shift. The hag shape-shifts into a Small or Me- dium Humanoid, or it returns to its true form. Other than its size, its game statistics are the same in each form. Any equipment it is wearing or carrying isn’t transformed. Nightmare</x:t>
        </x:is>
      </x:c>
      <x:c r="AC150" s="2" t="n"/>
      <x:c r="AD150" s="2" t="n"/>
      <x:c r="AE150" s="2" t="inlineStr">
        <x:is>
          <x:t xml:space="preserve">Includes Spellcasting; see Traits/Actions text</x:t>
        </x:is>
      </x:c>
      <x:c r="AF150" s="2" t="inlineStr">
        <x:is>
          <x:t xml:space="preserve">Imported from SRD 5.2.1 p. 311 Index of Stat Blocks</x:t>
        </x:is>
      </x:c>
      <x:c r="AG150" s="2" t="inlineStr">
        <x:is>
          <x:t xml:space="preserve">https://www.dndbeyond.com/srd</x:t>
        </x:is>
      </x:c>
    </x:row>
    <x:row r="151" ht="18" customHeight="1">
      <x:c r="A151" s="2" t="inlineStr">
        <x:is>
          <x:t xml:space="preserve">Nightmare</x:t>
        </x:is>
      </x:c>
      <x:c r="B151" s="2" t="inlineStr">
        <x:is>
          <x:t xml:space="preserve">SRD 5.2.1</x:t>
        </x:is>
      </x:c>
      <x:c r="C151" s="2" t="inlineStr">
        <x:is>
          <x:t xml:space="preserve">Fiend</x:t>
        </x:is>
      </x:c>
      <x:c r="D151" s="2" t="inlineStr">
        <x:is>
          <x:t xml:space="preserve">Large</x:t>
        </x:is>
      </x:c>
      <x:c r="E151" s="2" t="inlineStr">
        <x:is>
          <x:t xml:space="preserve">Neutral Evil</x:t>
        </x:is>
      </x:c>
      <x:c r="F151" s="2" t="inlineStr">
        <x:is>
          <x:t xml:space="preserve">3</x:t>
        </x:is>
      </x:c>
      <x:c r="G151" s="2" t="inlineStr">
        <x:is>
          <x:t xml:space="preserve">700</x:t>
        </x:is>
      </x:c>
      <x:c r="H151" s="2" t="inlineStr">
        <x:is>
          <x:t xml:space="preserve">13</x:t>
        </x:is>
      </x:c>
      <x:c r="I151" s="2" t="inlineStr">
        <x:is>
          <x:t xml:space="preserve">68</x:t>
        </x:is>
      </x:c>
      <x:c r="J151" s="2" t="inlineStr">
        <x:is>
          <x:t xml:space="preserve">60 ft., Fly 90 ft. (hover)</x:t>
        </x:is>
      </x:c>
      <x:c r="K151" s="2" t="inlineStr">
        <x:is>
          <x:t xml:space="preserve">2</x:t>
        </x:is>
      </x:c>
      <x:c r="L151" s="2" t="inlineStr">
        <x:is>
          <x:t xml:space="preserve">11</x:t>
        </x:is>
      </x:c>
      <x:c r="M151" s="2" t="n"/>
      <x:c r="N151" s="2" t="inlineStr">
        <x:is>
          <x:t xml:space="preserve">6</x:t>
        </x:is>
      </x:c>
      <x:c r="O151" s="2" t="inlineStr">
        <x:is>
          <x:t xml:space="preserve">2</x:t>
        </x:is>
      </x:c>
      <x:c r="P151" s="2" t="inlineStr">
        <x:is>
          <x:t xml:space="preserve">18</x:t>
        </x:is>
      </x:c>
      <x:c r="Q151" s="2" t="inlineStr">
        <x:is>
          <x:t xml:space="preserve">15</x:t>
        </x:is>
      </x:c>
      <x:c r="R151" s="2" t="inlineStr">
        <x:is>
          <x:t xml:space="preserve">16</x:t>
        </x:is>
      </x:c>
      <x:c r="S151" s="2" t="inlineStr">
        <x:is>
          <x:t xml:space="preserve">10</x:t>
        </x:is>
      </x:c>
      <x:c r="T151" s="2" t="inlineStr">
        <x:is>
          <x:t xml:space="preserve">13</x:t>
        </x:is>
      </x:c>
      <x:c r="U151" s="2" t="inlineStr">
        <x:is>
          <x:t xml:space="preserve">15</x:t>
        </x:is>
      </x:c>
      <x:c r="V151" s="2" t="n"/>
      <x:c r="W151" s="2" t="n"/>
      <x:c r="X151" s="2" t="inlineStr">
        <x:is>
          <x:t xml:space="preserve">Passive Perception 11</x:t>
        </x:is>
      </x:c>
      <x:c r="Y151" s="2" t="inlineStr">
        <x:is>
          <x:t xml:space="preserve">Understands Abyssal, Common, and Infernal but can’t speak</x:t>
        </x:is>
      </x:c>
      <x:c r="Z151" s="2" t="inlineStr">
        <x:is>
          <x:t xml:space="preserve">Confer Fire Resistance. The nightmare can grant Re- sistance to Fire damage to a rider while it is on the nightmare. Illumination. The nightmare sheds Bright Light in a 10- foot radius and Dim Light for an additional 10 feet.</x:t>
        </x:is>
      </x:c>
      <x:c r="AA151" s="2" t="inlineStr">
        <x:is>
          <x:t xml:space="preserve">Hooves. Melee Attack Roll: +6, reach 5 ft. Hit: 13 (2d8 + 4) Bludgeoning damage plus 10 (3d6) Fire damage. Ethereal Stride. The nightmare and up to three willing creatures within 5 feet of it teleport to the Ethereal Plane from the Material Plane or vice versa. Noble</x:t>
        </x:is>
      </x:c>
      <x:c r="AB151" s="2" t="n"/>
      <x:c r="AC151" s="2" t="n"/>
      <x:c r="AD151" s="2" t="n"/>
      <x:c r="AE151" s="2" t="n"/>
      <x:c r="AF151" s="2" t="inlineStr">
        <x:is>
          <x:t xml:space="preserve">Imported from SRD 5.2.1 p. 311 Index of Stat Blocks</x:t>
        </x:is>
      </x:c>
      <x:c r="AG151" s="2" t="inlineStr">
        <x:is>
          <x:t xml:space="preserve">https://www.dndbeyond.com/srd</x:t>
        </x:is>
      </x:c>
    </x:row>
    <x:row r="152" ht="18" customHeight="1">
      <x:c r="A152" s="2" t="inlineStr">
        <x:is>
          <x:t xml:space="preserve">Noble</x:t>
        </x:is>
      </x:c>
      <x:c r="B152" s="2" t="inlineStr">
        <x:is>
          <x:t xml:space="preserve">SRD 5.2.1</x:t>
        </x:is>
      </x:c>
      <x:c r="C152" s="2" t="inlineStr">
        <x:is>
          <x:t xml:space="preserve">Humanoid</x:t>
        </x:is>
      </x:c>
      <x:c r="D152" s="2" t="inlineStr">
        <x:is>
          <x:t xml:space="preserve">Medium or Small</x:t>
        </x:is>
      </x:c>
      <x:c r="E152" s="2" t="inlineStr">
        <x:is>
          <x:t xml:space="preserve">Neutral</x:t>
        </x:is>
      </x:c>
      <x:c r="F152" s="2" t="inlineStr">
        <x:is>
          <x:t xml:space="preserve">1/8</x:t>
        </x:is>
      </x:c>
      <x:c r="G152" s="2" t="inlineStr">
        <x:is>
          <x:t xml:space="preserve">25</x:t>
        </x:is>
      </x:c>
      <x:c r="H152" s="2" t="inlineStr">
        <x:is>
          <x:t xml:space="preserve">15</x:t>
        </x:is>
      </x:c>
      <x:c r="I152" s="2" t="inlineStr">
        <x:is>
          <x:t xml:space="preserve">9</x:t>
        </x:is>
      </x:c>
      <x:c r="J152" s="2" t="inlineStr">
        <x:is>
          <x:t xml:space="preserve">30 ft.</x:t>
        </x:is>
      </x:c>
      <x:c r="K152" s="2" t="inlineStr">
        <x:is>
          <x:t xml:space="preserve">2</x:t>
        </x:is>
      </x:c>
      <x:c r="L152" s="2" t="inlineStr">
        <x:is>
          <x:t xml:space="preserve">12</x:t>
        </x:is>
      </x:c>
      <x:c r="M152" s="2" t="n"/>
      <x:c r="N152" s="2" t="inlineStr">
        <x:is>
          <x:t xml:space="preserve">3</x:t>
        </x:is>
      </x:c>
      <x:c r="O152" s="2" t="inlineStr">
        <x:is>
          <x:t xml:space="preserve">1</x:t>
        </x:is>
      </x:c>
      <x:c r="P152" s="2" t="inlineStr">
        <x:is>
          <x:t xml:space="preserve">11</x:t>
        </x:is>
      </x:c>
      <x:c r="Q152" s="2" t="inlineStr">
        <x:is>
          <x:t xml:space="preserve">12</x:t>
        </x:is>
      </x:c>
      <x:c r="R152" s="2" t="inlineStr">
        <x:is>
          <x:t xml:space="preserve">11</x:t>
        </x:is>
      </x:c>
      <x:c r="S152" s="2" t="inlineStr">
        <x:is>
          <x:t xml:space="preserve">12</x:t>
        </x:is>
      </x:c>
      <x:c r="T152" s="2" t="inlineStr">
        <x:is>
          <x:t xml:space="preserve">14</x:t>
        </x:is>
      </x:c>
      <x:c r="U152" s="2" t="inlineStr">
        <x:is>
          <x:t xml:space="preserve">16</x:t>
        </x:is>
      </x:c>
      <x:c r="V152" s="2" t="n"/>
      <x:c r="W152" s="2" t="inlineStr">
        <x:is>
          <x:t xml:space="preserve">Deception +5, Insight +4, Persuasion +5</x:t>
        </x:is>
      </x:c>
      <x:c r="X152" s="2" t="inlineStr">
        <x:is>
          <x:t xml:space="preserve">Passive Perception 12</x:t>
        </x:is>
      </x:c>
      <x:c r="Y152" s="2" t="inlineStr">
        <x:is>
          <x:t xml:space="preserve">Common plus two other languages</x:t>
        </x:is>
      </x:c>
      <x:c r="Z152" s="2" t="n"/>
      <x:c r="AA152" s="2" t="inlineStr">
        <x:is>
          <x:t xml:space="preserve">Rapier. Melee Attack Roll: +3, reach 5 ft. Hit: 5 (1d8 + 1) Piercing damage.</x:t>
        </x:is>
      </x:c>
      <x:c r="AB152" s="2" t="n"/>
      <x:c r="AC152" s="2" t="inlineStr">
        <x:is>
          <x:t xml:space="preserve">Parry. Trigger: The noble is hit by a melee attack roll while holding a weapon. Response: The noble adds 2 to its AC against that attack, possibly causing it to miss. Ochre Jelly</x:t>
        </x:is>
      </x:c>
      <x:c r="AD152" s="2" t="n"/>
      <x:c r="AE152" s="2" t="n"/>
      <x:c r="AF152" s="2" t="inlineStr">
        <x:is>
          <x:t xml:space="preserve">Imported from SRD 5.2.1 p. 312 Index of Stat Blocks</x:t>
        </x:is>
      </x:c>
      <x:c r="AG152" s="2" t="inlineStr">
        <x:is>
          <x:t xml:space="preserve">https://www.dndbeyond.com/srd</x:t>
        </x:is>
      </x:c>
    </x:row>
    <x:row r="153" ht="18" customHeight="1">
      <x:c r="A153" s="2" t="inlineStr">
        <x:is>
          <x:t xml:space="preserve">Ochre Jelly</x:t>
        </x:is>
      </x:c>
      <x:c r="B153" s="2" t="inlineStr">
        <x:is>
          <x:t xml:space="preserve">SRD 5.2.1</x:t>
        </x:is>
      </x:c>
      <x:c r="C153" s="2" t="inlineStr">
        <x:is>
          <x:t xml:space="preserve">Ooze</x:t>
        </x:is>
      </x:c>
      <x:c r="D153" s="2" t="inlineStr">
        <x:is>
          <x:t xml:space="preserve">Large</x:t>
        </x:is>
      </x:c>
      <x:c r="E153" s="2" t="inlineStr">
        <x:is>
          <x:t xml:space="preserve">Unaligned</x:t>
        </x:is>
      </x:c>
      <x:c r="F153" s="2" t="inlineStr">
        <x:is>
          <x:t xml:space="preserve">2</x:t>
        </x:is>
      </x:c>
      <x:c r="G153" s="2" t="inlineStr">
        <x:is>
          <x:t xml:space="preserve">450</x:t>
        </x:is>
      </x:c>
      <x:c r="H153" s="2" t="inlineStr">
        <x:is>
          <x:t xml:space="preserve">8</x:t>
        </x:is>
      </x:c>
      <x:c r="I153" s="2" t="inlineStr">
        <x:is>
          <x:t xml:space="preserve">52</x:t>
        </x:is>
      </x:c>
      <x:c r="J153" s="2" t="inlineStr">
        <x:is>
          <x:t xml:space="preserve">20 ft., Climb 20 ft.</x:t>
        </x:is>
      </x:c>
      <x:c r="K153" s="2" t="inlineStr">
        <x:is>
          <x:t xml:space="preserve">2</x:t>
        </x:is>
      </x:c>
      <x:c r="L153" s="2" t="inlineStr">
        <x:is>
          <x:t xml:space="preserve">8</x:t>
        </x:is>
      </x:c>
      <x:c r="M153" s="2" t="n"/>
      <x:c r="N153" s="2" t="inlineStr">
        <x:is>
          <x:t xml:space="preserve">4</x:t>
        </x:is>
      </x:c>
      <x:c r="O153" s="2" t="inlineStr">
        <x:is>
          <x:t xml:space="preserve">-2</x:t>
        </x:is>
      </x:c>
      <x:c r="P153" s="2" t="inlineStr">
        <x:is>
          <x:t xml:space="preserve">15</x:t>
        </x:is>
      </x:c>
      <x:c r="Q153" s="2" t="inlineStr">
        <x:is>
          <x:t xml:space="preserve">6</x:t>
        </x:is>
      </x:c>
      <x:c r="R153" s="2" t="inlineStr">
        <x:is>
          <x:t xml:space="preserve">14</x:t>
        </x:is>
      </x:c>
      <x:c r="S153" s="2" t="inlineStr">
        <x:is>
          <x:t xml:space="preserve">2</x:t>
        </x:is>
      </x:c>
      <x:c r="T153" s="2" t="inlineStr">
        <x:is>
          <x:t xml:space="preserve">6</x:t>
        </x:is>
      </x:c>
      <x:c r="U153" s="2" t="inlineStr">
        <x:is>
          <x:t xml:space="preserve">1</x:t>
        </x:is>
      </x:c>
      <x:c r="V153" s="2" t="n"/>
      <x:c r="W153" s="2" t="n"/>
      <x:c r="X153" s="2" t="inlineStr">
        <x:is>
          <x:t xml:space="preserve">Blindsight 60 ft.; Passive Perception 8</x:t>
        </x:is>
      </x:c>
      <x:c r="Y153" s="2" t="inlineStr">
        <x:is>
          <x:t xml:space="preserve">None</x:t>
        </x:is>
      </x:c>
      <x:c r="Z153" s="2" t="inlineStr">
        <x:is>
          <x:t xml:space="preserve">Amorphous. The jelly can move through a space as narrow as 1 inch without expending extra move- ment to do so. Spider Climb. The jelly can climb difficult surfaces, including along ceilings, without needing to make an ability check.</x:t>
        </x:is>
      </x:c>
      <x:c r="AA153" s="2" t="inlineStr">
        <x:is>
          <x:t xml:space="preserve">Pseudopod. Melee Attack Roll: +4, reach 5 ft. Hit: 12 (3d6 + 2) Acid damage.</x:t>
        </x:is>
      </x:c>
      <x:c r="AB153" s="2" t="n"/>
      <x:c r="AC153" s="2" t="inlineStr">
        <x:is>
          <x:t xml:space="preserve">Split. Trigger: While the jelly is Large or Medium and has 10+ Hit Points, it becomes Bloodied or is subjected to Lightning or Slashing damage. Response: The jelly splits into two new Ochre Jellies. Each new jelly is one size smaller than the original jelly and acts on its Initia- tive. The original jelly’s Hit Points are divided evenly between the new jellies (round down). Ogre</x:t>
        </x:is>
      </x:c>
      <x:c r="AD153" s="2" t="n"/>
      <x:c r="AE153" s="2" t="n"/>
      <x:c r="AF153" s="2" t="inlineStr">
        <x:is>
          <x:t xml:space="preserve">Imported from SRD 5.2.1 p. 312 Index of Stat Blocks</x:t>
        </x:is>
      </x:c>
      <x:c r="AG153" s="2" t="inlineStr">
        <x:is>
          <x:t xml:space="preserve">https://www.dndbeyond.com/srd</x:t>
        </x:is>
      </x:c>
    </x:row>
    <x:row r="154" ht="18" customHeight="1">
      <x:c r="A154" s="2" t="inlineStr">
        <x:is>
          <x:t xml:space="preserve">Ogre</x:t>
        </x:is>
      </x:c>
      <x:c r="B154" s="2" t="inlineStr">
        <x:is>
          <x:t xml:space="preserve">SRD 5.2.1</x:t>
        </x:is>
      </x:c>
      <x:c r="C154" s="2" t="inlineStr">
        <x:is>
          <x:t xml:space="preserve">Giant</x:t>
        </x:is>
      </x:c>
      <x:c r="D154" s="2" t="inlineStr">
        <x:is>
          <x:t xml:space="preserve">Large</x:t>
        </x:is>
      </x:c>
      <x:c r="E154" s="2" t="inlineStr">
        <x:is>
          <x:t xml:space="preserve">Chaotic Evil</x:t>
        </x:is>
      </x:c>
      <x:c r="F154" s="2" t="inlineStr">
        <x:is>
          <x:t xml:space="preserve">2</x:t>
        </x:is>
      </x:c>
      <x:c r="G154" s="2" t="inlineStr">
        <x:is>
          <x:t xml:space="preserve">450</x:t>
        </x:is>
      </x:c>
      <x:c r="H154" s="2" t="inlineStr">
        <x:is>
          <x:t xml:space="preserve">11</x:t>
        </x:is>
      </x:c>
      <x:c r="I154" s="2" t="inlineStr">
        <x:is>
          <x:t xml:space="preserve">68</x:t>
        </x:is>
      </x:c>
      <x:c r="J154" s="2" t="inlineStr">
        <x:is>
          <x:t xml:space="preserve">40 ft.</x:t>
        </x:is>
      </x:c>
      <x:c r="K154" s="2" t="inlineStr">
        <x:is>
          <x:t xml:space="preserve">2</x:t>
        </x:is>
      </x:c>
      <x:c r="L154" s="2" t="inlineStr">
        <x:is>
          <x:t xml:space="preserve">8</x:t>
        </x:is>
      </x:c>
      <x:c r="M154" s="2" t="n"/>
      <x:c r="N154" s="2" t="inlineStr">
        <x:is>
          <x:t xml:space="preserve">6</x:t>
        </x:is>
      </x:c>
      <x:c r="O154" s="2" t="inlineStr">
        <x:is>
          <x:t xml:space="preserve">-1</x:t>
        </x:is>
      </x:c>
      <x:c r="P154" s="2" t="inlineStr">
        <x:is>
          <x:t xml:space="preserve">19</x:t>
        </x:is>
      </x:c>
      <x:c r="Q154" s="2" t="inlineStr">
        <x:is>
          <x:t xml:space="preserve">8</x:t>
        </x:is>
      </x:c>
      <x:c r="R154" s="2" t="inlineStr">
        <x:is>
          <x:t xml:space="preserve">16</x:t>
        </x:is>
      </x:c>
      <x:c r="S154" s="2" t="inlineStr">
        <x:is>
          <x:t xml:space="preserve">5</x:t>
        </x:is>
      </x:c>
      <x:c r="T154" s="2" t="inlineStr">
        <x:is>
          <x:t xml:space="preserve">7</x:t>
        </x:is>
      </x:c>
      <x:c r="U154" s="2" t="inlineStr">
        <x:is>
          <x:t xml:space="preserve">7</x:t>
        </x:is>
      </x:c>
      <x:c r="V154" s="2" t="n"/>
      <x:c r="W154" s="2" t="n"/>
      <x:c r="X154" s="2" t="inlineStr">
        <x:is>
          <x:t xml:space="preserve">Darkvision 60 ft.; Passive Perception 8</x:t>
        </x:is>
      </x:c>
      <x:c r="Y154" s="2" t="inlineStr">
        <x:is>
          <x:t xml:space="preserve">Common, Giant</x:t>
        </x:is>
      </x:c>
      <x:c r="Z154" s="2" t="n"/>
      <x:c r="AA154" s="2" t="inlineStr">
        <x:is>
          <x:t xml:space="preserve">Greatclub. Melee Attack Roll: +6, reach 5 ft. Hit: 13 (2d8 + 4) Bludgeoning damage. Javelin. Melee or Ranged Attack Roll: +6, reach 5 ft. or range 30/120 ft. Hit: 11 (2d6 + 4) Piercing damage. Oni</x:t>
        </x:is>
      </x:c>
      <x:c r="AB154" s="2" t="n"/>
      <x:c r="AC154" s="2" t="n"/>
      <x:c r="AD154" s="2" t="n"/>
      <x:c r="AE154" s="2" t="n"/>
      <x:c r="AF154" s="2" t="inlineStr">
        <x:is>
          <x:t xml:space="preserve">Imported from SRD 5.2.1 p. 312 Index of Stat Blocks</x:t>
        </x:is>
      </x:c>
      <x:c r="AG154" s="2" t="inlineStr">
        <x:is>
          <x:t xml:space="preserve">https://www.dndbeyond.com/srd</x:t>
        </x:is>
      </x:c>
    </x:row>
    <x:row r="155" ht="18" customHeight="1">
      <x:c r="A155" s="2" t="inlineStr">
        <x:is>
          <x:t xml:space="preserve">Oni</x:t>
        </x:is>
      </x:c>
      <x:c r="B155" s="2" t="inlineStr">
        <x:is>
          <x:t xml:space="preserve">SRD 5.2.1</x:t>
        </x:is>
      </x:c>
      <x:c r="C155" s="2" t="inlineStr">
        <x:is>
          <x:t xml:space="preserve">Fiend</x:t>
        </x:is>
      </x:c>
      <x:c r="D155" s="2" t="inlineStr">
        <x:is>
          <x:t xml:space="preserve">Large</x:t>
        </x:is>
      </x:c>
      <x:c r="E155" s="2" t="inlineStr">
        <x:is>
          <x:t xml:space="preserve">Lawful Evil</x:t>
        </x:is>
      </x:c>
      <x:c r="F155" s="2" t="inlineStr">
        <x:is>
          <x:t xml:space="preserve">7</x:t>
        </x:is>
      </x:c>
      <x:c r="G155" s="2" t="inlineStr">
        <x:is>
          <x:t xml:space="preserve">2900</x:t>
        </x:is>
      </x:c>
      <x:c r="H155" s="2" t="inlineStr">
        <x:is>
          <x:t xml:space="preserve">17</x:t>
        </x:is>
      </x:c>
      <x:c r="I155" s="2" t="inlineStr">
        <x:is>
          <x:t xml:space="preserve">119</x:t>
        </x:is>
      </x:c>
      <x:c r="J155" s="2" t="inlineStr">
        <x:is>
          <x:t xml:space="preserve">30 ft., Fly 30 ft. (hover)</x:t>
        </x:is>
      </x:c>
      <x:c r="K155" s="2" t="inlineStr">
        <x:is>
          <x:t xml:space="preserve">3</x:t>
        </x:is>
      </x:c>
      <x:c r="L155" s="2" t="inlineStr">
        <x:is>
          <x:t xml:space="preserve">14</x:t>
        </x:is>
      </x:c>
      <x:c r="M155" s="2" t="n"/>
      <x:c r="N155" s="2" t="inlineStr">
        <x:is>
          <x:t xml:space="preserve">7</x:t>
        </x:is>
      </x:c>
      <x:c r="O155" s="2" t="inlineStr">
        <x:is>
          <x:t xml:space="preserve">0</x:t>
        </x:is>
      </x:c>
      <x:c r="P155" s="2" t="inlineStr">
        <x:is>
          <x:t xml:space="preserve">19</x:t>
        </x:is>
      </x:c>
      <x:c r="Q155" s="2" t="inlineStr">
        <x:is>
          <x:t xml:space="preserve">11</x:t>
        </x:is>
      </x:c>
      <x:c r="R155" s="2" t="inlineStr">
        <x:is>
          <x:t xml:space="preserve">16</x:t>
        </x:is>
      </x:c>
      <x:c r="S155" s="2" t="inlineStr">
        <x:is>
          <x:t xml:space="preserve">14</x:t>
        </x:is>
      </x:c>
      <x:c r="T155" s="2" t="inlineStr">
        <x:is>
          <x:t xml:space="preserve">12</x:t>
        </x:is>
      </x:c>
      <x:c r="U155" s="2" t="inlineStr">
        <x:is>
          <x:t xml:space="preserve">15</x:t>
        </x:is>
      </x:c>
      <x:c r="V155" s="2" t="inlineStr">
        <x:is>
          <x:t xml:space="preserve">DEX +3, CON +6, WIS +4, CHA +5</x:t>
        </x:is>
      </x:c>
      <x:c r="W155" s="2" t="inlineStr">
        <x:is>
          <x:t xml:space="preserve">Arcana +5, Deception +8, Perception +4</x:t>
        </x:is>
      </x:c>
      <x:c r="X155" s="2" t="inlineStr">
        <x:is>
          <x:t xml:space="preserve">Darkvision 60 ft.; Passive Perception 14</x:t>
        </x:is>
      </x:c>
      <x:c r="Y155" s="2" t="inlineStr">
        <x:is>
          <x:t xml:space="preserve">Common, Giant</x:t>
        </x:is>
      </x:c>
      <x:c r="Z155" s="2" t="inlineStr">
        <x:is>
          <x:t xml:space="preserve">Regeneration. The oni regains 10 Hit Points at the start of each of its turns if it has at least 1 Hit Point.</x:t>
        </x:is>
      </x:c>
      <x:c r="AA155" s="2" t="inlineStr">
        <x:is>
          <x:t xml:space="preserve">Multiattack. The oni makes two Claw or Nightmare Ray attacks. It can replace one attack with a use of Spellcasting. Claw. Melee Attack Roll: +7, reach 10 ft. Hit: 10 (1d12 + 4) Slashing damage plus 9 (2d8) Necrotic damage. Nightmare Ray. Ranged Attack Roll: +5, range 60 ft. Hit: 9 (2d6 + 2) Psychic damage, and the target has the Frightened condition until the start of the oni’s next turn. Shape-Shift. The oni shape-shifts into a Small or Me- dium Humanoid or a Large Giant, or it returns to its true form. Other than its size, its game statistics are the same in each form. Any equipment it is wearing or car- rying isn’t transformed. Spellcasting. The oni casts one of the following spells, requiring no Material components and using Charisma as the spellcasting ability (spell save DC 13): 1/Day Each: Charm Person (level 2 version), Darkness, Gaseous Form, Sleep</x:t>
        </x:is>
      </x:c>
      <x:c r="AB155" s="2" t="inlineStr">
        <x:is>
          <x:t xml:space="preserve">Invisibility. The oni casts Invisibility on itself, requiring no spell components and using the same spellcasting ability as Spellcasting. Otyugh</x:t>
        </x:is>
      </x:c>
      <x:c r="AC155" s="2" t="n"/>
      <x:c r="AD155" s="2" t="n"/>
      <x:c r="AE155" s="2" t="inlineStr">
        <x:is>
          <x:t xml:space="preserve">Includes Spellcasting; see Traits/Actions text</x:t>
        </x:is>
      </x:c>
      <x:c r="AF155" s="2" t="inlineStr">
        <x:is>
          <x:t xml:space="preserve">Imported from SRD 5.2.1 p. 312 Index of Stat Blocks</x:t>
        </x:is>
      </x:c>
      <x:c r="AG155" s="2" t="inlineStr">
        <x:is>
          <x:t xml:space="preserve">https://www.dndbeyond.com/srd</x:t>
        </x:is>
      </x:c>
    </x:row>
    <x:row r="156" ht="18" customHeight="1">
      <x:c r="A156" s="2" t="inlineStr">
        <x:is>
          <x:t xml:space="preserve">Otyugh</x:t>
        </x:is>
      </x:c>
      <x:c r="B156" s="2" t="inlineStr">
        <x:is>
          <x:t xml:space="preserve">SRD 5.2.1</x:t>
        </x:is>
      </x:c>
      <x:c r="C156" s="2" t="inlineStr">
        <x:is>
          <x:t xml:space="preserve">Aberration</x:t>
        </x:is>
      </x:c>
      <x:c r="D156" s="2" t="inlineStr">
        <x:is>
          <x:t xml:space="preserve">Large</x:t>
        </x:is>
      </x:c>
      <x:c r="E156" s="2" t="inlineStr">
        <x:is>
          <x:t xml:space="preserve">Neutral</x:t>
        </x:is>
      </x:c>
      <x:c r="F156" s="2" t="inlineStr">
        <x:is>
          <x:t xml:space="preserve">5</x:t>
        </x:is>
      </x:c>
      <x:c r="G156" s="2" t="inlineStr">
        <x:is>
          <x:t xml:space="preserve">1800</x:t>
        </x:is>
      </x:c>
      <x:c r="H156" s="2" t="inlineStr">
        <x:is>
          <x:t xml:space="preserve">14</x:t>
        </x:is>
      </x:c>
      <x:c r="I156" s="2" t="inlineStr">
        <x:is>
          <x:t xml:space="preserve">104</x:t>
        </x:is>
      </x:c>
      <x:c r="J156" s="2" t="inlineStr">
        <x:is>
          <x:t xml:space="preserve">30 ft.</x:t>
        </x:is>
      </x:c>
      <x:c r="K156" s="2" t="inlineStr">
        <x:is>
          <x:t xml:space="preserve">3</x:t>
        </x:is>
      </x:c>
      <x:c r="L156" s="2" t="inlineStr">
        <x:is>
          <x:t xml:space="preserve">11</x:t>
        </x:is>
      </x:c>
      <x:c r="M156" s="2" t="inlineStr">
        <x:is>
          <x:t xml:space="preserve">15</x:t>
        </x:is>
      </x:c>
      <x:c r="N156" s="2" t="inlineStr">
        <x:is>
          <x:t xml:space="preserve">6</x:t>
        </x:is>
      </x:c>
      <x:c r="O156" s="2" t="inlineStr">
        <x:is>
          <x:t xml:space="preserve">0</x:t>
        </x:is>
      </x:c>
      <x:c r="P156" s="2" t="inlineStr">
        <x:is>
          <x:t xml:space="preserve">16</x:t>
        </x:is>
      </x:c>
      <x:c r="Q156" s="2" t="inlineStr">
        <x:is>
          <x:t xml:space="preserve">11</x:t>
        </x:is>
      </x:c>
      <x:c r="R156" s="2" t="inlineStr">
        <x:is>
          <x:t xml:space="preserve">19</x:t>
        </x:is>
      </x:c>
      <x:c r="S156" s="2" t="inlineStr">
        <x:is>
          <x:t xml:space="preserve">6</x:t>
        </x:is>
      </x:c>
      <x:c r="T156" s="2" t="inlineStr">
        <x:is>
          <x:t xml:space="preserve">13</x:t>
        </x:is>
      </x:c>
      <x:c r="U156" s="2" t="inlineStr">
        <x:is>
          <x:t xml:space="preserve">6</x:t>
        </x:is>
      </x:c>
      <x:c r="V156" s="2" t="inlineStr">
        <x:is>
          <x:t xml:space="preserve">CON +7</x:t>
        </x:is>
      </x:c>
      <x:c r="W156" s="2" t="n"/>
      <x:c r="X156" s="2" t="inlineStr">
        <x:is>
          <x:t xml:space="preserve">Darkvision 120 ft.; Passive Perception 11</x:t>
        </x:is>
      </x:c>
      <x:c r="Y156" s="2" t="inlineStr">
        <x:is>
          <x:t xml:space="preserve">Otyugh; telepathy 120 ft. (doesn’t allow the receiving creature to respond telepathically)</x:t>
        </x:is>
      </x:c>
      <x:c r="Z156" s="2" t="n"/>
      <x:c r="AA156" s="2" t="inlineStr">
        <x:is>
          <x:t xml:space="preserve">Multiattack. The otyugh makes one Bite attack and two Tentacle attacks. Bite. Melee Attack Roll: +6, reach 5 ft. Hit: 12 (2d8 + 3) Piercing damage, and the target has the Poisoned con- dition. Whenever the Poisoned target finishes a Long Rest, it is subjected to the following effect. Constitution Saving Throw: DC 15. Failure: The target’s Hit Point maximum decreases by 5 (1d10) and doesn’t return to normal until the Poisoned condition ends on the target. Success: The Poisoned condition ends. Tentacle. Melee Attack Roll: +6, reach 10 ft. Hit: 12 (2d8 + 3) Piercing damage. If the target is a Medium or smaller creature, it has the Grappled condition (escape DC 13) from one of two tentacles. Tentacle Slam. Constitution Saving Throw: DC 14, each creature Grappled by the otyugh. Failure: 16 (3d8 + 3) Bludgeoning damage, and the target has the Stunned condition until the start of the otyugh’s next turn. Suc- cess: Half damage only. Owlbear</x:t>
        </x:is>
      </x:c>
      <x:c r="AB156" s="2" t="n"/>
      <x:c r="AC156" s="2" t="n"/>
      <x:c r="AD156" s="2" t="n"/>
      <x:c r="AE156" s="2" t="n"/>
      <x:c r="AF156" s="2" t="inlineStr">
        <x:is>
          <x:t xml:space="preserve">Imported from SRD 5.2.1 p. 313 Index of Stat Blocks</x:t>
        </x:is>
      </x:c>
      <x:c r="AG156" s="2" t="inlineStr">
        <x:is>
          <x:t xml:space="preserve">https://www.dndbeyond.com/srd</x:t>
        </x:is>
      </x:c>
    </x:row>
    <x:row r="157" ht="18" customHeight="1">
      <x:c r="A157" s="2" t="inlineStr">
        <x:is>
          <x:t xml:space="preserve">Owlbear</x:t>
        </x:is>
      </x:c>
      <x:c r="B157" s="2" t="inlineStr">
        <x:is>
          <x:t xml:space="preserve">SRD 5.2.1</x:t>
        </x:is>
      </x:c>
      <x:c r="C157" s="2" t="inlineStr">
        <x:is>
          <x:t xml:space="preserve">Monstrosity</x:t>
        </x:is>
      </x:c>
      <x:c r="D157" s="2" t="inlineStr">
        <x:is>
          <x:t xml:space="preserve">Large</x:t>
        </x:is>
      </x:c>
      <x:c r="E157" s="2" t="inlineStr">
        <x:is>
          <x:t xml:space="preserve">Unaligned</x:t>
        </x:is>
      </x:c>
      <x:c r="F157" s="2" t="inlineStr">
        <x:is>
          <x:t xml:space="preserve">3</x:t>
        </x:is>
      </x:c>
      <x:c r="G157" s="2" t="inlineStr">
        <x:is>
          <x:t xml:space="preserve">700</x:t>
        </x:is>
      </x:c>
      <x:c r="H157" s="2" t="inlineStr">
        <x:is>
          <x:t xml:space="preserve">13</x:t>
        </x:is>
      </x:c>
      <x:c r="I157" s="2" t="inlineStr">
        <x:is>
          <x:t xml:space="preserve">59</x:t>
        </x:is>
      </x:c>
      <x:c r="J157" s="2" t="inlineStr">
        <x:is>
          <x:t xml:space="preserve">40 ft., Climb 40 ft.</x:t>
        </x:is>
      </x:c>
      <x:c r="K157" s="2" t="inlineStr">
        <x:is>
          <x:t xml:space="preserve">2</x:t>
        </x:is>
      </x:c>
      <x:c r="L157" s="2" t="inlineStr">
        <x:is>
          <x:t xml:space="preserve">15</x:t>
        </x:is>
      </x:c>
      <x:c r="M157" s="2" t="n"/>
      <x:c r="N157" s="2" t="inlineStr">
        <x:is>
          <x:t xml:space="preserve">7</x:t>
        </x:is>
      </x:c>
      <x:c r="O157" s="2" t="inlineStr">
        <x:is>
          <x:t xml:space="preserve">1</x:t>
        </x:is>
      </x:c>
      <x:c r="P157" s="2" t="inlineStr">
        <x:is>
          <x:t xml:space="preserve">20</x:t>
        </x:is>
      </x:c>
      <x:c r="Q157" s="2" t="inlineStr">
        <x:is>
          <x:t xml:space="preserve">12</x:t>
        </x:is>
      </x:c>
      <x:c r="R157" s="2" t="inlineStr">
        <x:is>
          <x:t xml:space="preserve">17</x:t>
        </x:is>
      </x:c>
      <x:c r="S157" s="2" t="inlineStr">
        <x:is>
          <x:t xml:space="preserve">3</x:t>
        </x:is>
      </x:c>
      <x:c r="T157" s="2" t="inlineStr">
        <x:is>
          <x:t xml:space="preserve">12</x:t>
        </x:is>
      </x:c>
      <x:c r="U157" s="2" t="inlineStr">
        <x:is>
          <x:t xml:space="preserve">7</x:t>
        </x:is>
      </x:c>
      <x:c r="V157" s="2" t="n"/>
      <x:c r="W157" s="2" t="inlineStr">
        <x:is>
          <x:t xml:space="preserve">Perception +5</x:t>
        </x:is>
      </x:c>
      <x:c r="X157" s="2" t="inlineStr">
        <x:is>
          <x:t xml:space="preserve">Darkvision 60 ft.; Passive Perception 15</x:t>
        </x:is>
      </x:c>
      <x:c r="Y157" s="2" t="inlineStr">
        <x:is>
          <x:t xml:space="preserve">None</x:t>
        </x:is>
      </x:c>
      <x:c r="Z157" s="2" t="n"/>
      <x:c r="AA157" s="2" t="inlineStr">
        <x:is>
          <x:t xml:space="preserve">Multiattack. The owlbear makes two Rend attacks. Rend. Melee Attack Roll: +7, reach 5 ft. Hit: 14 (2d8 + 5) Slashing damage. Pegasus</x:t>
        </x:is>
      </x:c>
      <x:c r="AB157" s="2" t="n"/>
      <x:c r="AC157" s="2" t="n"/>
      <x:c r="AD157" s="2" t="n"/>
      <x:c r="AE157" s="2" t="n"/>
      <x:c r="AF157" s="2" t="inlineStr">
        <x:is>
          <x:t xml:space="preserve">Imported from SRD 5.2.1 p. 313 Index of Stat Blocks</x:t>
        </x:is>
      </x:c>
      <x:c r="AG157" s="2" t="inlineStr">
        <x:is>
          <x:t xml:space="preserve">https://www.dndbeyond.com/srd</x:t>
        </x:is>
      </x:c>
    </x:row>
    <x:row r="158" ht="18" customHeight="1">
      <x:c r="A158" s="2" t="inlineStr">
        <x:is>
          <x:t xml:space="preserve">Pegasus</x:t>
        </x:is>
      </x:c>
      <x:c r="B158" s="2" t="inlineStr">
        <x:is>
          <x:t xml:space="preserve">SRD 5.2.1</x:t>
        </x:is>
      </x:c>
      <x:c r="C158" s="2" t="inlineStr">
        <x:is>
          <x:t xml:space="preserve">Celestial</x:t>
        </x:is>
      </x:c>
      <x:c r="D158" s="2" t="inlineStr">
        <x:is>
          <x:t xml:space="preserve">Large</x:t>
        </x:is>
      </x:c>
      <x:c r="E158" s="2" t="inlineStr">
        <x:is>
          <x:t xml:space="preserve">Chaotic Good</x:t>
        </x:is>
      </x:c>
      <x:c r="F158" s="2" t="inlineStr">
        <x:is>
          <x:t xml:space="preserve">2</x:t>
        </x:is>
      </x:c>
      <x:c r="G158" s="2" t="inlineStr">
        <x:is>
          <x:t xml:space="preserve">450</x:t>
        </x:is>
      </x:c>
      <x:c r="H158" s="2" t="inlineStr">
        <x:is>
          <x:t xml:space="preserve">12</x:t>
        </x:is>
      </x:c>
      <x:c r="I158" s="2" t="inlineStr">
        <x:is>
          <x:t xml:space="preserve">59</x:t>
        </x:is>
      </x:c>
      <x:c r="J158" s="2" t="inlineStr">
        <x:is>
          <x:t xml:space="preserve">60 ft., Fly 90 ft.</x:t>
        </x:is>
      </x:c>
      <x:c r="K158" s="2" t="inlineStr">
        <x:is>
          <x:t xml:space="preserve">2</x:t>
        </x:is>
      </x:c>
      <x:c r="L158" s="2" t="inlineStr">
        <x:is>
          <x:t xml:space="preserve">16</x:t>
        </x:is>
      </x:c>
      <x:c r="M158" s="2" t="n"/>
      <x:c r="N158" s="2" t="inlineStr">
        <x:is>
          <x:t xml:space="preserve">6</x:t>
        </x:is>
      </x:c>
      <x:c r="O158" s="2" t="inlineStr">
        <x:is>
          <x:t xml:space="preserve">2</x:t>
        </x:is>
      </x:c>
      <x:c r="P158" s="2" t="inlineStr">
        <x:is>
          <x:t xml:space="preserve">18</x:t>
        </x:is>
      </x:c>
      <x:c r="Q158" s="2" t="inlineStr">
        <x:is>
          <x:t xml:space="preserve">15</x:t>
        </x:is>
      </x:c>
      <x:c r="R158" s="2" t="inlineStr">
        <x:is>
          <x:t xml:space="preserve">16</x:t>
        </x:is>
      </x:c>
      <x:c r="S158" s="2" t="inlineStr">
        <x:is>
          <x:t xml:space="preserve">10</x:t>
        </x:is>
      </x:c>
      <x:c r="T158" s="2" t="inlineStr">
        <x:is>
          <x:t xml:space="preserve">15</x:t>
        </x:is>
      </x:c>
      <x:c r="U158" s="2" t="inlineStr">
        <x:is>
          <x:t xml:space="preserve">13</x:t>
        </x:is>
      </x:c>
      <x:c r="V158" s="2" t="inlineStr">
        <x:is>
          <x:t xml:space="preserve">DEX +4, CON +5, WIS +4, CHA +3</x:t>
        </x:is>
      </x:c>
      <x:c r="W158" s="2" t="inlineStr">
        <x:is>
          <x:t xml:space="preserve">Perception +6</x:t>
        </x:is>
      </x:c>
      <x:c r="X158" s="2" t="inlineStr">
        <x:is>
          <x:t xml:space="preserve">Passive Perception 16</x:t>
        </x:is>
      </x:c>
      <x:c r="Y158" s="2" t="inlineStr">
        <x:is>
          <x:t xml:space="preserve">Understands Celestial, Common, Elvish, and Sylvan but can’t speak</x:t>
        </x:is>
      </x:c>
      <x:c r="Z158" s="2" t="n"/>
      <x:c r="AA158" s="2" t="inlineStr">
        <x:is>
          <x:t xml:space="preserve">Hooves. Melee Attack Roll: +6, reach 5 ft. Hit: 7 (1d6 + 4) Bludgeoning damage plus 5 (2d4) Radiant damage. Phase Spider</x:t>
        </x:is>
      </x:c>
      <x:c r="AB158" s="2" t="n"/>
      <x:c r="AC158" s="2" t="n"/>
      <x:c r="AD158" s="2" t="n"/>
      <x:c r="AE158" s="2" t="n"/>
      <x:c r="AF158" s="2" t="inlineStr">
        <x:is>
          <x:t xml:space="preserve">Imported from SRD 5.2.1 p. 313 Index of Stat Blocks</x:t>
        </x:is>
      </x:c>
      <x:c r="AG158" s="2" t="inlineStr">
        <x:is>
          <x:t xml:space="preserve">https://www.dndbeyond.com/srd</x:t>
        </x:is>
      </x:c>
    </x:row>
    <x:row r="159" ht="18" customHeight="1">
      <x:c r="A159" s="2" t="inlineStr">
        <x:is>
          <x:t xml:space="preserve">Phase Spider</x:t>
        </x:is>
      </x:c>
      <x:c r="B159" s="2" t="inlineStr">
        <x:is>
          <x:t xml:space="preserve">SRD 5.2.1</x:t>
        </x:is>
      </x:c>
      <x:c r="C159" s="2" t="inlineStr">
        <x:is>
          <x:t xml:space="preserve">Monstrosity</x:t>
        </x:is>
      </x:c>
      <x:c r="D159" s="2" t="inlineStr">
        <x:is>
          <x:t xml:space="preserve">Large</x:t>
        </x:is>
      </x:c>
      <x:c r="E159" s="2" t="inlineStr">
        <x:is>
          <x:t xml:space="preserve">Unaligned</x:t>
        </x:is>
      </x:c>
      <x:c r="F159" s="2" t="inlineStr">
        <x:is>
          <x:t xml:space="preserve">3</x:t>
        </x:is>
      </x:c>
      <x:c r="G159" s="2" t="inlineStr">
        <x:is>
          <x:t xml:space="preserve">700</x:t>
        </x:is>
      </x:c>
      <x:c r="H159" s="2" t="inlineStr">
        <x:is>
          <x:t xml:space="preserve">14</x:t>
        </x:is>
      </x:c>
      <x:c r="I159" s="2" t="inlineStr">
        <x:is>
          <x:t xml:space="preserve">45</x:t>
        </x:is>
      </x:c>
      <x:c r="J159" s="2" t="inlineStr">
        <x:is>
          <x:t xml:space="preserve">30 ft., Climb 30 ft.</x:t>
        </x:is>
      </x:c>
      <x:c r="K159" s="2" t="inlineStr">
        <x:is>
          <x:t xml:space="preserve">2</x:t>
        </x:is>
      </x:c>
      <x:c r="L159" s="2" t="inlineStr">
        <x:is>
          <x:t xml:space="preserve">10</x:t>
        </x:is>
      </x:c>
      <x:c r="M159" s="2" t="n"/>
      <x:c r="N159" s="2" t="inlineStr">
        <x:is>
          <x:t xml:space="preserve">5</x:t>
        </x:is>
      </x:c>
      <x:c r="O159" s="2" t="inlineStr">
        <x:is>
          <x:t xml:space="preserve">3</x:t>
        </x:is>
      </x:c>
      <x:c r="P159" s="2" t="inlineStr">
        <x:is>
          <x:t xml:space="preserve">15</x:t>
        </x:is>
      </x:c>
      <x:c r="Q159" s="2" t="inlineStr">
        <x:is>
          <x:t xml:space="preserve">16</x:t>
        </x:is>
      </x:c>
      <x:c r="R159" s="2" t="inlineStr">
        <x:is>
          <x:t xml:space="preserve">12</x:t>
        </x:is>
      </x:c>
      <x:c r="S159" s="2" t="inlineStr">
        <x:is>
          <x:t xml:space="preserve">6</x:t>
        </x:is>
      </x:c>
      <x:c r="T159" s="2" t="inlineStr">
        <x:is>
          <x:t xml:space="preserve">10</x:t>
        </x:is>
      </x:c>
      <x:c r="U159" s="2" t="inlineStr">
        <x:is>
          <x:t xml:space="preserve">6</x:t>
        </x:is>
      </x:c>
      <x:c r="V159" s="2" t="n"/>
      <x:c r="W159" s="2" t="inlineStr">
        <x:is>
          <x:t xml:space="preserve">Stealth +7</x:t>
        </x:is>
      </x:c>
      <x:c r="X159" s="2" t="inlineStr">
        <x:is>
          <x:t xml:space="preserve">Darkvision 60 ft.; Passive Perception 10</x:t>
        </x:is>
      </x:c>
      <x:c r="Y159" s="2" t="inlineStr">
        <x:is>
          <x:t xml:space="preserve">None</x:t>
        </x:is>
      </x:c>
      <x:c r="Z159" s="2" t="inlineStr">
        <x:is>
          <x:t xml:space="preserve">Ethereal Sight. The spider can see 60 feet into the Ethe- real Plane while on the Material Plane and vice versa. Spider Climb. The spider can climb difficult surfaces, including along ceilings, without needing to make an ability check. Web Walker. The spider ignores movement restrictions caused by webs, and the spider knows the location of any other creature in contact with the same web.</x:t>
        </x:is>
      </x:c>
      <x:c r="AA159" s="2" t="inlineStr">
        <x:is>
          <x:t xml:space="preserve">Multiattack. The spider makes two Bite attacks. Bite. Melee Attack Roll: +5, reach 5 ft. Hit: 8 (1d10 + 3) Piercing damage plus 9 (2d8) Poison damage. If this damage reduces the target to 0 Hit Points, the target becomes Stable, and it has the Poisoned condition for 1 hour. While Poisoned, the target also has the Paralyzed condition.</x:t>
        </x:is>
      </x:c>
      <x:c r="AB159" s="2" t="inlineStr">
        <x:is>
          <x:t xml:space="preserve">Ethereal Jaunt. The spider teleports from the Material Plane to the Ethereal Plane or vice versa. Pirates</x:t>
        </x:is>
      </x:c>
      <x:c r="AC159" s="2" t="n"/>
      <x:c r="AD159" s="2" t="n"/>
      <x:c r="AE159" s="2" t="n"/>
      <x:c r="AF159" s="2" t="inlineStr">
        <x:is>
          <x:t xml:space="preserve">Imported from SRD 5.2.1 p. 313 Index of Stat Blocks</x:t>
        </x:is>
      </x:c>
      <x:c r="AG159" s="2" t="inlineStr">
        <x:is>
          <x:t xml:space="preserve">https://www.dndbeyond.com/srd</x:t>
        </x:is>
      </x:c>
    </x:row>
    <x:row r="160" ht="18" customHeight="1">
      <x:c r="A160" s="2" t="inlineStr">
        <x:is>
          <x:t xml:space="preserve">Pirate</x:t>
        </x:is>
      </x:c>
      <x:c r="B160" s="2" t="inlineStr">
        <x:is>
          <x:t xml:space="preserve">SRD 5.2.1</x:t>
        </x:is>
      </x:c>
      <x:c r="C160" s="2" t="inlineStr">
        <x:is>
          <x:t xml:space="preserve">Humanoid</x:t>
        </x:is>
      </x:c>
      <x:c r="D160" s="2" t="inlineStr">
        <x:is>
          <x:t xml:space="preserve">Medium or Small</x:t>
        </x:is>
      </x:c>
      <x:c r="E160" s="2" t="inlineStr">
        <x:is>
          <x:t xml:space="preserve">Neutral</x:t>
        </x:is>
      </x:c>
      <x:c r="F160" s="2" t="inlineStr">
        <x:is>
          <x:t xml:space="preserve">1</x:t>
        </x:is>
      </x:c>
      <x:c r="G160" s="2" t="inlineStr">
        <x:is>
          <x:t xml:space="preserve">200</x:t>
        </x:is>
      </x:c>
      <x:c r="H160" s="2" t="inlineStr">
        <x:is>
          <x:t xml:space="preserve">14</x:t>
        </x:is>
      </x:c>
      <x:c r="I160" s="2" t="inlineStr">
        <x:is>
          <x:t xml:space="preserve">33</x:t>
        </x:is>
      </x:c>
      <x:c r="J160" s="2" t="inlineStr">
        <x:is>
          <x:t xml:space="preserve">30 ft.</x:t>
        </x:is>
      </x:c>
      <x:c r="K160" s="2" t="inlineStr">
        <x:is>
          <x:t xml:space="preserve">2</x:t>
        </x:is>
      </x:c>
      <x:c r="L160" s="2" t="inlineStr">
        <x:is>
          <x:t xml:space="preserve">11</x:t>
        </x:is>
      </x:c>
      <x:c r="M160" s="2" t="inlineStr">
        <x:is>
          <x:t xml:space="preserve">12</x:t>
        </x:is>
      </x:c>
      <x:c r="N160" s="2" t="inlineStr">
        <x:is>
          <x:t xml:space="preserve">5</x:t>
        </x:is>
      </x:c>
      <x:c r="O160" s="2" t="inlineStr">
        <x:is>
          <x:t xml:space="preserve">5</x:t>
        </x:is>
      </x:c>
      <x:c r="P160" s="2" t="inlineStr">
        <x:is>
          <x:t xml:space="preserve">10</x:t>
        </x:is>
      </x:c>
      <x:c r="Q160" s="2" t="inlineStr">
        <x:is>
          <x:t xml:space="preserve">16</x:t>
        </x:is>
      </x:c>
      <x:c r="R160" s="2" t="inlineStr">
        <x:is>
          <x:t xml:space="preserve">12</x:t>
        </x:is>
      </x:c>
      <x:c r="S160" s="2" t="inlineStr">
        <x:is>
          <x:t xml:space="preserve">8</x:t>
        </x:is>
      </x:c>
      <x:c r="T160" s="2" t="inlineStr">
        <x:is>
          <x:t xml:space="preserve">12</x:t>
        </x:is>
      </x:c>
      <x:c r="U160" s="2" t="inlineStr">
        <x:is>
          <x:t xml:space="preserve">14</x:t>
        </x:is>
      </x:c>
      <x:c r="V160" s="2" t="inlineStr">
        <x:is>
          <x:t xml:space="preserve">DEX +5, CHA +4</x:t>
        </x:is>
      </x:c>
      <x:c r="W160" s="2" t="n"/>
      <x:c r="X160" s="2" t="inlineStr">
        <x:is>
          <x:t xml:space="preserve">Passive Perception 11</x:t>
        </x:is>
      </x:c>
      <x:c r="Y160" s="2" t="inlineStr">
        <x:is>
          <x:t xml:space="preserve">Common plus one other language</x:t>
        </x:is>
      </x:c>
      <x:c r="Z160" s="2" t="n"/>
      <x:c r="AA160" s="2" t="inlineStr">
        <x:is>
          <x:t xml:space="preserve">Multiattack. The pirate makes two Dagger attacks. It can replace one attack with a use of Enthrall- ing Panache. Dagger. Melee or Ranged Attack Roll: +5, reach 5 ft. or range 20/60 ft. Hit: 5 (1d4 + 3) Piercing damage. Enthralling Panache. Wisdom Saving Throw: DC 12, one creature the pirate can see within 30 feet. Failure: The target has the Charmed condition until the start of the pirate’s next turn.</x:t>
        </x:is>
      </x:c>
      <x:c r="AB160" s="2" t="n"/>
      <x:c r="AC160" s="2" t="n"/>
      <x:c r="AD160" s="2" t="n"/>
      <x:c r="AE160" s="2" t="n"/>
      <x:c r="AF160" s="2" t="inlineStr">
        <x:is>
          <x:t xml:space="preserve">Imported from SRD 5.2.1 p. 314 Index of Stat Blocks</x:t>
        </x:is>
      </x:c>
      <x:c r="AG160" s="2" t="inlineStr">
        <x:is>
          <x:t xml:space="preserve">https://www.dndbeyond.com/srd</x:t>
        </x:is>
      </x:c>
    </x:row>
    <x:row r="161" ht="18" customHeight="1">
      <x:c r="A161" s="2" t="inlineStr">
        <x:is>
          <x:t xml:space="preserve">Pirate Captain</x:t>
        </x:is>
      </x:c>
      <x:c r="B161" s="2" t="inlineStr">
        <x:is>
          <x:t xml:space="preserve">SRD 5.2.1</x:t>
        </x:is>
      </x:c>
      <x:c r="C161" s="2" t="inlineStr">
        <x:is>
          <x:t xml:space="preserve">Humanoid</x:t>
        </x:is>
      </x:c>
      <x:c r="D161" s="2" t="inlineStr">
        <x:is>
          <x:t xml:space="preserve">Medium or Small</x:t>
        </x:is>
      </x:c>
      <x:c r="E161" s="2" t="inlineStr">
        <x:is>
          <x:t xml:space="preserve">Neutral</x:t>
        </x:is>
      </x:c>
      <x:c r="F161" s="2" t="inlineStr">
        <x:is>
          <x:t xml:space="preserve">6</x:t>
        </x:is>
      </x:c>
      <x:c r="G161" s="2" t="inlineStr">
        <x:is>
          <x:t xml:space="preserve">2300</x:t>
        </x:is>
      </x:c>
      <x:c r="H161" s="2" t="inlineStr">
        <x:is>
          <x:t xml:space="preserve">17</x:t>
        </x:is>
      </x:c>
      <x:c r="I161" s="2" t="inlineStr">
        <x:is>
          <x:t xml:space="preserve">84</x:t>
        </x:is>
      </x:c>
      <x:c r="J161" s="2" t="inlineStr">
        <x:is>
          <x:t xml:space="preserve">30 ft.</x:t>
        </x:is>
      </x:c>
      <x:c r="K161" s="2" t="inlineStr">
        <x:is>
          <x:t xml:space="preserve">3</x:t>
        </x:is>
      </x:c>
      <x:c r="L161" s="2" t="inlineStr">
        <x:is>
          <x:t xml:space="preserve">15</x:t>
        </x:is>
      </x:c>
      <x:c r="M161" s="2" t="inlineStr">
        <x:is>
          <x:t xml:space="preserve">14</x:t>
        </x:is>
      </x:c>
      <x:c r="N161" s="2" t="inlineStr">
        <x:is>
          <x:t xml:space="preserve">7</x:t>
        </x:is>
      </x:c>
      <x:c r="O161" s="2" t="inlineStr">
        <x:is>
          <x:t xml:space="preserve">7</x:t>
        </x:is>
      </x:c>
      <x:c r="P161" s="2" t="inlineStr">
        <x:is>
          <x:t xml:space="preserve">10</x:t>
        </x:is>
      </x:c>
      <x:c r="Q161" s="2" t="inlineStr">
        <x:is>
          <x:t xml:space="preserve">18</x:t>
        </x:is>
      </x:c>
      <x:c r="R161" s="2" t="inlineStr">
        <x:is>
          <x:t xml:space="preserve">14</x:t>
        </x:is>
      </x:c>
      <x:c r="S161" s="2" t="inlineStr">
        <x:is>
          <x:t xml:space="preserve">10</x:t>
        </x:is>
      </x:c>
      <x:c r="T161" s="2" t="inlineStr">
        <x:is>
          <x:t xml:space="preserve">14</x:t>
        </x:is>
      </x:c>
      <x:c r="U161" s="2" t="inlineStr">
        <x:is>
          <x:t xml:space="preserve">17</x:t>
        </x:is>
      </x:c>
      <x:c r="V161" s="2" t="inlineStr">
        <x:is>
          <x:t xml:space="preserve">STR +3, DEX +7, WIS +5, CHA +6</x:t>
        </x:is>
      </x:c>
      <x:c r="W161" s="2" t="inlineStr">
        <x:is>
          <x:t xml:space="preserve">Acrobatics +7, Perception +5</x:t>
        </x:is>
      </x:c>
      <x:c r="X161" s="2" t="inlineStr">
        <x:is>
          <x:t xml:space="preserve">Passive Perception 15</x:t>
        </x:is>
      </x:c>
      <x:c r="Y161" s="2" t="inlineStr">
        <x:is>
          <x:t xml:space="preserve">Common plus one other language</x:t>
        </x:is>
      </x:c>
      <x:c r="Z161" s="2" t="n"/>
      <x:c r="AA161" s="2" t="inlineStr">
        <x:is>
          <x:t xml:space="preserve">Multiattack. The pirate makes three attacks, using Rapier or Pistol in any combination. Rapier. Melee Attack Roll: +7, reach 5 ft. Hit: 13 (2d8 + 4) Piercing damage, and the pirate has Advantage on the next attack roll it makes before the end of this turn. Pistol. Ranged Attack Roll: +7, range 30/90 ft. Hit: 15 (2d10 + 4) Piercing damage.</x:t>
        </x:is>
      </x:c>
      <x:c r="AB161" s="2" t="inlineStr">
        <x:is>
          <x:t xml:space="preserve">Captain’s Charm. Wisdom Saving Throw: DC 14, one creature the pirate can see within 30 feet. Failure: The target has the Charmed condition until the start of the pirate’s next turn.</x:t>
        </x:is>
      </x:c>
      <x:c r="AC161" s="2" t="inlineStr">
        <x:is>
          <x:t xml:space="preserve">Riposte. Trigger: The pirate is hit by a melee attack roll while holding a weapon. Response: The pirate adds 3 to its AC against that attack, possibly causing it to miss. On a miss, the pirate makes one Rapier attack against the triggering creature if within range. Pit Fiend</x:t>
        </x:is>
      </x:c>
      <x:c r="AD161" s="2" t="n"/>
      <x:c r="AE161" s="2" t="n"/>
      <x:c r="AF161" s="2" t="inlineStr">
        <x:is>
          <x:t xml:space="preserve">Imported from SRD 5.2.1 p. 314 Index of Stat Blocks</x:t>
        </x:is>
      </x:c>
      <x:c r="AG161" s="2" t="inlineStr">
        <x:is>
          <x:t xml:space="preserve">https://www.dndbeyond.com/srd</x:t>
        </x:is>
      </x:c>
    </x:row>
    <x:row r="162" ht="18" customHeight="1">
      <x:c r="A162" s="2" t="inlineStr">
        <x:is>
          <x:t xml:space="preserve">Pit Fiend</x:t>
        </x:is>
      </x:c>
      <x:c r="B162" s="2" t="inlineStr">
        <x:is>
          <x:t xml:space="preserve">SRD 5.2.1</x:t>
        </x:is>
      </x:c>
      <x:c r="C162" s="2" t="inlineStr">
        <x:is>
          <x:t xml:space="preserve">Fiend (Devil)</x:t>
        </x:is>
      </x:c>
      <x:c r="D162" s="2" t="inlineStr">
        <x:is>
          <x:t xml:space="preserve">Large</x:t>
        </x:is>
      </x:c>
      <x:c r="E162" s="2" t="inlineStr">
        <x:is>
          <x:t xml:space="preserve">Lawful Evil</x:t>
        </x:is>
      </x:c>
      <x:c r="F162" s="2" t="inlineStr">
        <x:is>
          <x:t xml:space="preserve">20</x:t>
        </x:is>
      </x:c>
      <x:c r="G162" s="2" t="inlineStr">
        <x:is>
          <x:t xml:space="preserve">25000</x:t>
        </x:is>
      </x:c>
      <x:c r="H162" s="2" t="inlineStr">
        <x:is>
          <x:t xml:space="preserve">21</x:t>
        </x:is>
      </x:c>
      <x:c r="I162" s="2" t="inlineStr">
        <x:is>
          <x:t xml:space="preserve">337</x:t>
        </x:is>
      </x:c>
      <x:c r="J162" s="2" t="inlineStr">
        <x:is>
          <x:t xml:space="preserve">30 ft., Fly 60 ft.</x:t>
        </x:is>
      </x:c>
      <x:c r="K162" s="2" t="inlineStr">
        <x:is>
          <x:t xml:space="preserve">6</x:t>
        </x:is>
      </x:c>
      <x:c r="L162" s="2" t="inlineStr">
        <x:is>
          <x:t xml:space="preserve">20</x:t>
        </x:is>
      </x:c>
      <x:c r="M162" s="2" t="inlineStr">
        <x:is>
          <x:t xml:space="preserve">21</x:t>
        </x:is>
      </x:c>
      <x:c r="N162" s="2" t="inlineStr">
        <x:is>
          <x:t xml:space="preserve">14</x:t>
        </x:is>
      </x:c>
      <x:c r="O162" s="2" t="inlineStr">
        <x:is>
          <x:t xml:space="preserve">14</x:t>
        </x:is>
      </x:c>
      <x:c r="P162" s="2" t="inlineStr">
        <x:is>
          <x:t xml:space="preserve">26</x:t>
        </x:is>
      </x:c>
      <x:c r="Q162" s="2" t="inlineStr">
        <x:is>
          <x:t xml:space="preserve">14</x:t>
        </x:is>
      </x:c>
      <x:c r="R162" s="2" t="inlineStr">
        <x:is>
          <x:t xml:space="preserve">24</x:t>
        </x:is>
      </x:c>
      <x:c r="S162" s="2" t="inlineStr">
        <x:is>
          <x:t xml:space="preserve">22</x:t>
        </x:is>
      </x:c>
      <x:c r="T162" s="2" t="inlineStr">
        <x:is>
          <x:t xml:space="preserve">18</x:t>
        </x:is>
      </x:c>
      <x:c r="U162" s="2" t="inlineStr">
        <x:is>
          <x:t xml:space="preserve">24</x:t>
        </x:is>
      </x:c>
      <x:c r="V162" s="2" t="inlineStr">
        <x:is>
          <x:t xml:space="preserve">DEX +8, WIS +10</x:t>
        </x:is>
      </x:c>
      <x:c r="W162" s="2" t="inlineStr">
        <x:is>
          <x:t xml:space="preserve">Perception +10, Persuasion +19</x:t>
        </x:is>
      </x:c>
      <x:c r="X162" s="2" t="inlineStr">
        <x:is>
          <x:t xml:space="preserve">Truesight 120 ft.; Passive Perception 20</x:t>
        </x:is>
      </x:c>
      <x:c r="Y162" s="2" t="inlineStr">
        <x:is>
          <x:t xml:space="preserve">Infernal; telepathy 120 ft.</x:t>
        </x:is>
      </x:c>
      <x:c r="Z162" s="2" t="inlineStr">
        <x:is>
          <x:t xml:space="preserve">Diabolical Restoration. If the pit fiend dies outside the Nine Hells, its body disappears in sulfurous smoke, and it gains a new body instantly, reviving with all its Hit Points somewhere in the Nine Hells. Fear Aura. The pit fiend emanates an aura in a 20- foot Emanation while it doesn’t have the Incapacitated condition. Wisdom Saving Throw: DC 21, any enemy that starts its turn in the aura. Failure: The target has the Frightened condition until the start of its next turn. Success: The target is immune to this pit fiend’s aura for 24 hours. Legendary Resistance (4/Day). If the pit fiend fails a saving throw, it can choose to succeed instead. Magic Resistance. The pit fiend has Advantage on sav- ing throws against spells and other magical effects.</x:t>
        </x:is>
      </x:c>
      <x:c r="AA162" s="2" t="inlineStr">
        <x:is>
          <x:t xml:space="preserve">Multiattack. The pit fiend makes one Bite attack, two Devilish Claw attacks, and one Fiery Mace attack. Bite. Melee Attack Roll: +14, reach 10 ft. Hit: 18 (3d6 + 8) Piercing damage. If the target is a creature, it must make the following saving throw. Constitution Saving Throw: DC 21. Failure: The target has the Poisoned condition. While Poisoned, the target can’t regain Hit Points and takes 21 (6d6) Poison damage at the start of each of its turns, and it repeats the save at the end of each of its turns, ending the effect on itself on a suc- cess. After 1 minute, it succeeds automatically. Devilish Claw. Melee Attack Roll: +14, reach 10 ft. Hit: 26 (4d8 + 8) Necrotic damage. Fiery Mace. Melee Attack Roll: +14, reach 10 ft. Hit: 22 (4d6 + 8) Force damage plus 21 (6d6) Fire damage. Hellfire Spellcasting (Recharge 4-6). The pit fiend casts Fireball (level 5 version) twice, requiring no Mate- rial components and using Charisma as the spellcasting ability (spell save DC 21). It can replace one Fireball with Hold Monster (level 7 version) or Wall of Fire. Planetar</x:t>
        </x:is>
      </x:c>
      <x:c r="AB162" s="2" t="n"/>
      <x:c r="AC162" s="2" t="n"/>
      <x:c r="AD162" s="2" t="n"/>
      <x:c r="AE162" s="2" t="inlineStr">
        <x:is>
          <x:t xml:space="preserve">Includes Spellcasting; see Traits/Actions text</x:t>
        </x:is>
      </x:c>
      <x:c r="AF162" s="2" t="inlineStr">
        <x:is>
          <x:t xml:space="preserve">Imported from SRD 5.2.1 p. 314 Index of Stat Blocks</x:t>
        </x:is>
      </x:c>
      <x:c r="AG162" s="2" t="inlineStr">
        <x:is>
          <x:t xml:space="preserve">https://www.dndbeyond.com/srd</x:t>
        </x:is>
      </x:c>
    </x:row>
    <x:row r="163" ht="18" customHeight="1">
      <x:c r="A163" s="2" t="inlineStr">
        <x:is>
          <x:t xml:space="preserve">Planetar</x:t>
        </x:is>
      </x:c>
      <x:c r="B163" s="2" t="inlineStr">
        <x:is>
          <x:t xml:space="preserve">SRD 5.2.1</x:t>
        </x:is>
      </x:c>
      <x:c r="C163" s="2" t="inlineStr">
        <x:is>
          <x:t xml:space="preserve">Celestial (Angel)</x:t>
        </x:is>
      </x:c>
      <x:c r="D163" s="2" t="inlineStr">
        <x:is>
          <x:t xml:space="preserve">Large</x:t>
        </x:is>
      </x:c>
      <x:c r="E163" s="2" t="inlineStr">
        <x:is>
          <x:t xml:space="preserve">Lawful Good</x:t>
        </x:is>
      </x:c>
      <x:c r="F163" s="2" t="inlineStr">
        <x:is>
          <x:t xml:space="preserve">16</x:t>
        </x:is>
      </x:c>
      <x:c r="G163" s="2" t="inlineStr">
        <x:is>
          <x:t xml:space="preserve">15000</x:t>
        </x:is>
      </x:c>
      <x:c r="H163" s="2" t="inlineStr">
        <x:is>
          <x:t xml:space="preserve">19</x:t>
        </x:is>
      </x:c>
      <x:c r="I163" s="2" t="inlineStr">
        <x:is>
          <x:t xml:space="preserve">262</x:t>
        </x:is>
      </x:c>
      <x:c r="J163" s="2" t="inlineStr">
        <x:is>
          <x:t xml:space="preserve">40 ft., Fly 120 ft. (hover)</x:t>
        </x:is>
      </x:c>
      <x:c r="K163" s="2" t="inlineStr">
        <x:is>
          <x:t xml:space="preserve">5</x:t>
        </x:is>
      </x:c>
      <x:c r="L163" s="2" t="inlineStr">
        <x:is>
          <x:t xml:space="preserve">21</x:t>
        </x:is>
      </x:c>
      <x:c r="M163" s="2" t="inlineStr">
        <x:is>
          <x:t xml:space="preserve">20</x:t>
        </x:is>
      </x:c>
      <x:c r="N163" s="2" t="inlineStr">
        <x:is>
          <x:t xml:space="preserve">12</x:t>
        </x:is>
      </x:c>
      <x:c r="O163" s="2" t="inlineStr">
        <x:is>
          <x:t xml:space="preserve">10</x:t>
        </x:is>
      </x:c>
      <x:c r="P163" s="2" t="inlineStr">
        <x:is>
          <x:t xml:space="preserve">24</x:t>
        </x:is>
      </x:c>
      <x:c r="Q163" s="2" t="inlineStr">
        <x:is>
          <x:t xml:space="preserve">20</x:t>
        </x:is>
      </x:c>
      <x:c r="R163" s="2" t="inlineStr">
        <x:is>
          <x:t xml:space="preserve">24</x:t>
        </x:is>
      </x:c>
      <x:c r="S163" s="2" t="inlineStr">
        <x:is>
          <x:t xml:space="preserve">19</x:t>
        </x:is>
      </x:c>
      <x:c r="T163" s="2" t="inlineStr">
        <x:is>
          <x:t xml:space="preserve">22</x:t>
        </x:is>
      </x:c>
      <x:c r="U163" s="2" t="inlineStr">
        <x:is>
          <x:t xml:space="preserve">25</x:t>
        </x:is>
      </x:c>
      <x:c r="V163" s="2" t="inlineStr">
        <x:is>
          <x:t xml:space="preserve">STR +12, CON +12, WIS +11, CHA +12</x:t>
        </x:is>
      </x:c>
      <x:c r="W163" s="2" t="inlineStr">
        <x:is>
          <x:t xml:space="preserve">Perception +11</x:t>
        </x:is>
      </x:c>
      <x:c r="X163" s="2" t="inlineStr">
        <x:is>
          <x:t xml:space="preserve">Truesight 120 ft.; Passive Perception 21</x:t>
        </x:is>
      </x:c>
      <x:c r="Y163" s="2" t="inlineStr">
        <x:is>
          <x:t xml:space="preserve">All; telepathy 120 ft.</x:t>
        </x:is>
      </x:c>
      <x:c r="Z163" s="2" t="inlineStr">
        <x:is>
          <x:t xml:space="preserve">Divine Awareness. The planetar knows if it hears a lie. Exalted Restoration. If the planetar dies outside Mount Celestia, its body disappears, and it gains a new body instantly, reviving with all its Hit Points somewhere in Mount Celestia. Magic Resistance. The planetar has Advantage on sav- ing throws against spells and other magical effects.</x:t>
        </x:is>
      </x:c>
      <x:c r="AA163" s="2" t="inlineStr">
        <x:is>
          <x:t xml:space="preserve">Multiattack. The planetar makes three Radiant Sword attacks or uses Holy Burst twice. Radiant Sword. Melee Attack Roll: +12, reach 10 ft. Hit: 14 (2d6 + 7) Slashing damage plus 18 (4d8) Radi- ant damage. Holy Burst. Dexterity Saving Throw: DC 20, each en- emy in a 20-foot-radius Sphere centered on a point the planetar can see within 120 feet. Failure: 24 (7d6) Radi- ant damage. Success: Half damage. Spellcasting. The planetar casts one of the following spells, requiring no Material components and using Charisma as spellcasting ability (spell save DC 20): At Will: Detect Evil and Good 1/Day Each: Commune, Control Weather, Dispel Evil and Good, Raise Dead</x:t>
        </x:is>
      </x:c>
      <x:c r="AB163" s="2" t="inlineStr">
        <x:is>
          <x:t xml:space="preserve">Divine Aid (2/Day). The planetar casts Cure Wounds, Invisibility, Lesser Restoration, or Remove Curse, using the same spellcasting ability as Spellcasting. Priests</x:t>
        </x:is>
      </x:c>
      <x:c r="AC163" s="2" t="n"/>
      <x:c r="AD163" s="2" t="n"/>
      <x:c r="AE163" s="2" t="inlineStr">
        <x:is>
          <x:t xml:space="preserve">Includes Spellcasting; see Traits/Actions text</x:t>
        </x:is>
      </x:c>
      <x:c r="AF163" s="2" t="inlineStr">
        <x:is>
          <x:t xml:space="preserve">Imported from SRD 5.2.1 p. 315 Index of Stat Blocks</x:t>
        </x:is>
      </x:c>
      <x:c r="AG163" s="2" t="inlineStr">
        <x:is>
          <x:t xml:space="preserve">https://www.dndbeyond.com/srd</x:t>
        </x:is>
      </x:c>
    </x:row>
    <x:row r="164" ht="18" customHeight="1">
      <x:c r="A164" s="2" t="inlineStr">
        <x:is>
          <x:t xml:space="preserve">Priest Acolyte</x:t>
        </x:is>
      </x:c>
      <x:c r="B164" s="2" t="inlineStr">
        <x:is>
          <x:t xml:space="preserve">SRD 5.2.1</x:t>
        </x:is>
      </x:c>
      <x:c r="C164" s="2" t="inlineStr">
        <x:is>
          <x:t xml:space="preserve">Humanoid (Cleric)</x:t>
        </x:is>
      </x:c>
      <x:c r="D164" s="2" t="inlineStr">
        <x:is>
          <x:t xml:space="preserve">Medium or Small</x:t>
        </x:is>
      </x:c>
      <x:c r="E164" s="2" t="inlineStr">
        <x:is>
          <x:t xml:space="preserve">Neutral</x:t>
        </x:is>
      </x:c>
      <x:c r="F164" s="2" t="inlineStr">
        <x:is>
          <x:t xml:space="preserve">1/4</x:t>
        </x:is>
      </x:c>
      <x:c r="G164" s="2" t="inlineStr">
        <x:is>
          <x:t xml:space="preserve">50</x:t>
        </x:is>
      </x:c>
      <x:c r="H164" s="2" t="inlineStr">
        <x:is>
          <x:t xml:space="preserve">13</x:t>
        </x:is>
      </x:c>
      <x:c r="I164" s="2" t="inlineStr">
        <x:is>
          <x:t xml:space="preserve">11</x:t>
        </x:is>
      </x:c>
      <x:c r="J164" s="2" t="inlineStr">
        <x:is>
          <x:t xml:space="preserve">30 ft.</x:t>
        </x:is>
      </x:c>
      <x:c r="K164" s="2" t="inlineStr">
        <x:is>
          <x:t xml:space="preserve">2</x:t>
        </x:is>
      </x:c>
      <x:c r="L164" s="2" t="inlineStr">
        <x:is>
          <x:t xml:space="preserve">12</x:t>
        </x:is>
      </x:c>
      <x:c r="M164" s="2" t="n"/>
      <x:c r="N164" s="2" t="inlineStr">
        <x:is>
          <x:t xml:space="preserve">4</x:t>
        </x:is>
      </x:c>
      <x:c r="O164" s="2" t="inlineStr">
        <x:is>
          <x:t xml:space="preserve">0</x:t>
        </x:is>
      </x:c>
      <x:c r="P164" s="2" t="inlineStr">
        <x:is>
          <x:t xml:space="preserve">14</x:t>
        </x:is>
      </x:c>
      <x:c r="Q164" s="2" t="inlineStr">
        <x:is>
          <x:t xml:space="preserve">10</x:t>
        </x:is>
      </x:c>
      <x:c r="R164" s="2" t="inlineStr">
        <x:is>
          <x:t xml:space="preserve">12</x:t>
        </x:is>
      </x:c>
      <x:c r="S164" s="2" t="inlineStr">
        <x:is>
          <x:t xml:space="preserve">10</x:t>
        </x:is>
      </x:c>
      <x:c r="T164" s="2" t="inlineStr">
        <x:is>
          <x:t xml:space="preserve">14</x:t>
        </x:is>
      </x:c>
      <x:c r="U164" s="2" t="inlineStr">
        <x:is>
          <x:t xml:space="preserve">11</x:t>
        </x:is>
      </x:c>
      <x:c r="V164" s="2" t="n"/>
      <x:c r="W164" s="2" t="inlineStr">
        <x:is>
          <x:t xml:space="preserve">Medicine +4, Religion +2</x:t>
        </x:is>
      </x:c>
      <x:c r="X164" s="2" t="inlineStr">
        <x:is>
          <x:t xml:space="preserve">Passive Perception 12</x:t>
        </x:is>
      </x:c>
      <x:c r="Y164" s="2" t="inlineStr">
        <x:is>
          <x:t xml:space="preserve">Common</x:t>
        </x:is>
      </x:c>
      <x:c r="Z164" s="2" t="n"/>
      <x:c r="AA164" s="2" t="inlineStr">
        <x:is>
          <x:t xml:space="preserve">Mace. Melee Attack Roll: +4, reach 5 ft. Hit: 5 (1d6 + 2) Bludgeoning damage plus 2 (1d4) Radiant damage. Radiant Flame. Ranged Attack Roll: +4, range 60 ft. Hit: 7 (2d6) Radiant damage. Spellcasting. The priest casts one of the following spells, using Wisdom as the spellcasting ability: At Will: Light, Thaumaturgy</x:t>
        </x:is>
      </x:c>
      <x:c r="AB164" s="2" t="inlineStr">
        <x:is>
          <x:t xml:space="preserve">Divine Aid (1/Day). The priest casts Bless, Healing Word, or Sanctuary, using the same spellcasting ability as Spellcasting.</x:t>
        </x:is>
      </x:c>
      <x:c r="AC164" s="2" t="n"/>
      <x:c r="AD164" s="2" t="n"/>
      <x:c r="AE164" s="2" t="inlineStr">
        <x:is>
          <x:t xml:space="preserve">Includes Spellcasting; see Traits/Actions text</x:t>
        </x:is>
      </x:c>
      <x:c r="AF164" s="2" t="inlineStr">
        <x:is>
          <x:t xml:space="preserve">Imported from SRD 5.2.1 p. 316 Index of Stat Blocks</x:t>
        </x:is>
      </x:c>
      <x:c r="AG164" s="2" t="inlineStr">
        <x:is>
          <x:t xml:space="preserve">https://www.dndbeyond.com/srd</x:t>
        </x:is>
      </x:c>
    </x:row>
    <x:row r="165" ht="18" customHeight="1">
      <x:c r="A165" s="2" t="inlineStr">
        <x:is>
          <x:t xml:space="preserve">Priest</x:t>
        </x:is>
      </x:c>
      <x:c r="B165" s="2" t="inlineStr">
        <x:is>
          <x:t xml:space="preserve">SRD 5.2.1</x:t>
        </x:is>
      </x:c>
      <x:c r="C165" s="2" t="inlineStr">
        <x:is>
          <x:t xml:space="preserve">Humanoid (Cleric)</x:t>
        </x:is>
      </x:c>
      <x:c r="D165" s="2" t="inlineStr">
        <x:is>
          <x:t xml:space="preserve">Medium or Small</x:t>
        </x:is>
      </x:c>
      <x:c r="E165" s="2" t="inlineStr">
        <x:is>
          <x:t xml:space="preserve">Neutral</x:t>
        </x:is>
      </x:c>
      <x:c r="F165" s="2" t="inlineStr">
        <x:is>
          <x:t xml:space="preserve">2</x:t>
        </x:is>
      </x:c>
      <x:c r="G165" s="2" t="inlineStr">
        <x:is>
          <x:t xml:space="preserve">450</x:t>
        </x:is>
      </x:c>
      <x:c r="H165" s="2" t="inlineStr">
        <x:is>
          <x:t xml:space="preserve">13</x:t>
        </x:is>
      </x:c>
      <x:c r="I165" s="2" t="inlineStr">
        <x:is>
          <x:t xml:space="preserve">38</x:t>
        </x:is>
      </x:c>
      <x:c r="J165" s="2" t="inlineStr">
        <x:is>
          <x:t xml:space="preserve">30 ft.</x:t>
        </x:is>
      </x:c>
      <x:c r="K165" s="2" t="inlineStr">
        <x:is>
          <x:t xml:space="preserve">2</x:t>
        </x:is>
      </x:c>
      <x:c r="L165" s="2" t="inlineStr">
        <x:is>
          <x:t xml:space="preserve">15</x:t>
        </x:is>
      </x:c>
      <x:c r="M165" s="2" t="n"/>
      <x:c r="N165" s="2" t="inlineStr">
        <x:is>
          <x:t xml:space="preserve">5</x:t>
        </x:is>
      </x:c>
      <x:c r="O165" s="2" t="inlineStr">
        <x:is>
          <x:t xml:space="preserve">0</x:t>
        </x:is>
      </x:c>
      <x:c r="P165" s="2" t="inlineStr">
        <x:is>
          <x:t xml:space="preserve">16</x:t>
        </x:is>
      </x:c>
      <x:c r="Q165" s="2" t="inlineStr">
        <x:is>
          <x:t xml:space="preserve">10</x:t>
        </x:is>
      </x:c>
      <x:c r="R165" s="2" t="inlineStr">
        <x:is>
          <x:t xml:space="preserve">12</x:t>
        </x:is>
      </x:c>
      <x:c r="S165" s="2" t="inlineStr">
        <x:is>
          <x:t xml:space="preserve">13</x:t>
        </x:is>
      </x:c>
      <x:c r="T165" s="2" t="inlineStr">
        <x:is>
          <x:t xml:space="preserve">16</x:t>
        </x:is>
      </x:c>
      <x:c r="U165" s="2" t="inlineStr">
        <x:is>
          <x:t xml:space="preserve">13</x:t>
        </x:is>
      </x:c>
      <x:c r="V165" s="2" t="n"/>
      <x:c r="W165" s="2" t="inlineStr">
        <x:is>
          <x:t xml:space="preserve">Medicine +7, Perception +5, Religion +5</x:t>
        </x:is>
      </x:c>
      <x:c r="X165" s="2" t="inlineStr">
        <x:is>
          <x:t xml:space="preserve">Passive Perception 15</x:t>
        </x:is>
      </x:c>
      <x:c r="Y165" s="2" t="inlineStr">
        <x:is>
          <x:t xml:space="preserve">Common plus one other language</x:t>
        </x:is>
      </x:c>
      <x:c r="Z165" s="2" t="n"/>
      <x:c r="AA165" s="2" t="inlineStr">
        <x:is>
          <x:t xml:space="preserve">Multiattack. The priest makes two attacks, using Mace or Radiant Flame in any combination. Mace. Melee Attack Roll: +5, reach 5 ft. Hit: 6 (1d6 + 3) Bludgeoning damage plus 5 (2d4) Radiant damage. Radiant Flame. Ranged Attack Roll: +5, range 60 ft. Hit: 11 (2d10) Radiant damage. Spellcasting. The priest casts one of the following spells, using Wisdom as the spellcasting ability (spell save DC 13): At Will: Light, Thaumaturgy 1/Day: Spirit Guardians</x:t>
        </x:is>
      </x:c>
      <x:c r="AB165" s="2" t="inlineStr">
        <x:is>
          <x:t xml:space="preserve">Divine Aid (3/Day). The priest casts Bless, Dispel Magic, Healing Word, or Lesser Restoration, using the same spellcasting ability as Spellcasting. Pseudodragon</x:t>
        </x:is>
      </x:c>
      <x:c r="AC165" s="2" t="n"/>
      <x:c r="AD165" s="2" t="n"/>
      <x:c r="AE165" s="2" t="inlineStr">
        <x:is>
          <x:t xml:space="preserve">Includes Spellcasting; see Traits/Actions text</x:t>
        </x:is>
      </x:c>
      <x:c r="AF165" s="2" t="inlineStr">
        <x:is>
          <x:t xml:space="preserve">Imported from SRD 5.2.1 p. 316 Index of Stat Blocks</x:t>
        </x:is>
      </x:c>
      <x:c r="AG165" s="2" t="inlineStr">
        <x:is>
          <x:t xml:space="preserve">https://www.dndbeyond.com/srd</x:t>
        </x:is>
      </x:c>
    </x:row>
    <x:row r="166" ht="18" customHeight="1">
      <x:c r="A166" s="2" t="inlineStr">
        <x:is>
          <x:t xml:space="preserve">Pseudodragon</x:t>
        </x:is>
      </x:c>
      <x:c r="B166" s="2" t="inlineStr">
        <x:is>
          <x:t xml:space="preserve">SRD 5.2.1</x:t>
        </x:is>
      </x:c>
      <x:c r="C166" s="2" t="inlineStr">
        <x:is>
          <x:t xml:space="preserve">Dragon</x:t>
        </x:is>
      </x:c>
      <x:c r="D166" s="2" t="inlineStr">
        <x:is>
          <x:t xml:space="preserve">Tiny</x:t>
        </x:is>
      </x:c>
      <x:c r="E166" s="2" t="inlineStr">
        <x:is>
          <x:t xml:space="preserve">Neutral Good</x:t>
        </x:is>
      </x:c>
      <x:c r="F166" s="2" t="inlineStr">
        <x:is>
          <x:t xml:space="preserve">1/4</x:t>
        </x:is>
      </x:c>
      <x:c r="G166" s="2" t="inlineStr">
        <x:is>
          <x:t xml:space="preserve">50</x:t>
        </x:is>
      </x:c>
      <x:c r="H166" s="2" t="inlineStr">
        <x:is>
          <x:t xml:space="preserve">14</x:t>
        </x:is>
      </x:c>
      <x:c r="I166" s="2" t="inlineStr">
        <x:is>
          <x:t xml:space="preserve">10</x:t>
        </x:is>
      </x:c>
      <x:c r="J166" s="2" t="inlineStr">
        <x:is>
          <x:t xml:space="preserve">15 ft., Fly 60 ft.</x:t>
        </x:is>
      </x:c>
      <x:c r="K166" s="2" t="inlineStr">
        <x:is>
          <x:t xml:space="preserve">2</x:t>
        </x:is>
      </x:c>
      <x:c r="L166" s="2" t="inlineStr">
        <x:is>
          <x:t xml:space="preserve">15</x:t>
        </x:is>
      </x:c>
      <x:c r="M166" s="2" t="inlineStr">
        <x:is>
          <x:t xml:space="preserve">12</x:t>
        </x:is>
      </x:c>
      <x:c r="N166" s="2" t="inlineStr">
        <x:is>
          <x:t xml:space="preserve">4</x:t>
        </x:is>
      </x:c>
      <x:c r="O166" s="2" t="inlineStr">
        <x:is>
          <x:t xml:space="preserve">2</x:t>
        </x:is>
      </x:c>
      <x:c r="P166" s="2" t="inlineStr">
        <x:is>
          <x:t xml:space="preserve">6</x:t>
        </x:is>
      </x:c>
      <x:c r="Q166" s="2" t="inlineStr">
        <x:is>
          <x:t xml:space="preserve">15</x:t>
        </x:is>
      </x:c>
      <x:c r="R166" s="2" t="inlineStr">
        <x:is>
          <x:t xml:space="preserve">13</x:t>
        </x:is>
      </x:c>
      <x:c r="S166" s="2" t="inlineStr">
        <x:is>
          <x:t xml:space="preserve">10</x:t>
        </x:is>
      </x:c>
      <x:c r="T166" s="2" t="inlineStr">
        <x:is>
          <x:t xml:space="preserve">12</x:t>
        </x:is>
      </x:c>
      <x:c r="U166" s="2" t="inlineStr">
        <x:is>
          <x:t xml:space="preserve">10</x:t>
        </x:is>
      </x:c>
      <x:c r="V166" s="2" t="n"/>
      <x:c r="W166" s="2" t="inlineStr">
        <x:is>
          <x:t xml:space="preserve">Perception +5, Stealth +4</x:t>
        </x:is>
      </x:c>
      <x:c r="X166" s="2" t="inlineStr">
        <x:is>
          <x:t xml:space="preserve">Blindsight 10 ft., Darkvision 60 ft.; Passive Perception 15</x:t>
        </x:is>
      </x:c>
      <x:c r="Y166" s="2" t="inlineStr">
        <x:is>
          <x:t xml:space="preserve">Understands Common and Draconic but can’t speak</x:t>
        </x:is>
      </x:c>
      <x:c r="Z166" s="2" t="inlineStr">
        <x:is>
          <x:t xml:space="preserve">Magic Resistance. The pseudodragon has Advan- tage on saving throws against spells and other magi- cal effects.</x:t>
        </x:is>
      </x:c>
      <x:c r="AA166" s="2" t="inlineStr">
        <x:is>
          <x:t xml:space="preserve">Multiattack. The pseudodragon makes two Bite attacks. Bite. Melee Attack Roll: +4, reach 5 ft. Hit: 4 (1d4 + 2) Piercing damage. Sting. Constitution Saving Throw: DC 12, one creature the pseudodragon can see within 5 feet. Failure: 5 (2d4) Poison damage, and the target has the Poisoned condi- tion for 1 hour. Failure by 5 or More: While Poisoned, the target also has the Unconscious condition, which ends early if the target takes damage or a creature within 5 feet of it takes an action to wake it. Purple Worm</x:t>
        </x:is>
      </x:c>
      <x:c r="AB166" s="2" t="n"/>
      <x:c r="AC166" s="2" t="n"/>
      <x:c r="AD166" s="2" t="n"/>
      <x:c r="AE166" s="2" t="n"/>
      <x:c r="AF166" s="2" t="inlineStr">
        <x:is>
          <x:t xml:space="preserve">Imported from SRD 5.2.1 p. 316 Index of Stat Blocks</x:t>
        </x:is>
      </x:c>
      <x:c r="AG166" s="2" t="inlineStr">
        <x:is>
          <x:t xml:space="preserve">https://www.dndbeyond.com/srd</x:t>
        </x:is>
      </x:c>
    </x:row>
    <x:row r="167" ht="18" customHeight="1">
      <x:c r="A167" s="2" t="inlineStr">
        <x:is>
          <x:t xml:space="preserve">Purple Worm</x:t>
        </x:is>
      </x:c>
      <x:c r="B167" s="2" t="inlineStr">
        <x:is>
          <x:t xml:space="preserve">SRD 5.2.1</x:t>
        </x:is>
      </x:c>
      <x:c r="C167" s="2" t="inlineStr">
        <x:is>
          <x:t xml:space="preserve">Monstrosity</x:t>
        </x:is>
      </x:c>
      <x:c r="D167" s="2" t="inlineStr">
        <x:is>
          <x:t xml:space="preserve">Gargantuan</x:t>
        </x:is>
      </x:c>
      <x:c r="E167" s="2" t="inlineStr">
        <x:is>
          <x:t xml:space="preserve">Unaligned</x:t>
        </x:is>
      </x:c>
      <x:c r="F167" s="2" t="inlineStr">
        <x:is>
          <x:t xml:space="preserve">15</x:t>
        </x:is>
      </x:c>
      <x:c r="G167" s="2" t="inlineStr">
        <x:is>
          <x:t xml:space="preserve">13000</x:t>
        </x:is>
      </x:c>
      <x:c r="H167" s="2" t="inlineStr">
        <x:is>
          <x:t xml:space="preserve">18</x:t>
        </x:is>
      </x:c>
      <x:c r="I167" s="2" t="inlineStr">
        <x:is>
          <x:t xml:space="preserve">247</x:t>
        </x:is>
      </x:c>
      <x:c r="J167" s="2" t="inlineStr">
        <x:is>
          <x:t xml:space="preserve">50 ft., Burrow 50 ft.</x:t>
        </x:is>
      </x:c>
      <x:c r="K167" s="2" t="inlineStr">
        <x:is>
          <x:t xml:space="preserve">5</x:t>
        </x:is>
      </x:c>
      <x:c r="L167" s="2" t="inlineStr">
        <x:is>
          <x:t xml:space="preserve">9</x:t>
        </x:is>
      </x:c>
      <x:c r="M167" s="2" t="inlineStr">
        <x:is>
          <x:t xml:space="preserve">19</x:t>
        </x:is>
      </x:c>
      <x:c r="N167" s="2" t="inlineStr">
        <x:is>
          <x:t xml:space="preserve">14</x:t>
        </x:is>
      </x:c>
      <x:c r="O167" s="2" t="inlineStr">
        <x:is>
          <x:t xml:space="preserve">3</x:t>
        </x:is>
      </x:c>
      <x:c r="P167" s="2" t="inlineStr">
        <x:is>
          <x:t xml:space="preserve">28</x:t>
        </x:is>
      </x:c>
      <x:c r="Q167" s="2" t="inlineStr">
        <x:is>
          <x:t xml:space="preserve">7</x:t>
        </x:is>
      </x:c>
      <x:c r="R167" s="2" t="inlineStr">
        <x:is>
          <x:t xml:space="preserve">22</x:t>
        </x:is>
      </x:c>
      <x:c r="S167" s="2" t="inlineStr">
        <x:is>
          <x:t xml:space="preserve">1</x:t>
        </x:is>
      </x:c>
      <x:c r="T167" s="2" t="inlineStr">
        <x:is>
          <x:t xml:space="preserve">8</x:t>
        </x:is>
      </x:c>
      <x:c r="U167" s="2" t="inlineStr">
        <x:is>
          <x:t xml:space="preserve">4</x:t>
        </x:is>
      </x:c>
      <x:c r="V167" s="2" t="inlineStr">
        <x:is>
          <x:t xml:space="preserve">CON +11, WIS +4</x:t>
        </x:is>
      </x:c>
      <x:c r="W167" s="2" t="n"/>
      <x:c r="X167" s="2" t="inlineStr">
        <x:is>
          <x:t xml:space="preserve">Blindsight 30 ft., Tremorsense 60 ft.; Passive Perception 9</x:t>
        </x:is>
      </x:c>
      <x:c r="Y167" s="2" t="inlineStr">
        <x:is>
          <x:t xml:space="preserve">None</x:t>
        </x:is>
      </x:c>
      <x:c r="Z167" s="2" t="inlineStr">
        <x:is>
          <x:t xml:space="preserve">Tunneler. The worm can burrow through solid rock at half its Burrow Speed and leaves a 10-foot-diameter tunnel in its wake.</x:t>
        </x:is>
      </x:c>
      <x:c r="AA167" s="2" t="inlineStr">
        <x:is>
          <x:t xml:space="preserve">Multiattack. The worm makes one Bite attack and one Tail Stinger attack. Bite. Melee Attack Roll: +14, reach 10 ft. Hit: 22 (3d8 + 9) Piercing damage. If the target is a Large or smaller creature, it has the Grappled condition (escape DC 19), and it has the Restrained condition until the grapple ends. Tail Stinger. Melee Attack Roll: +14, reach 10 ft. Hit: 16 (2d6 + 9) Piercing damage plus 35 (10d6) Poi- son damage.</x:t>
        </x:is>
      </x:c>
      <x:c r="AB167" s="2" t="inlineStr">
        <x:is>
          <x:t xml:space="preserve">Swallow. Strength Saving Throw: DC 19, one Large or smaller creature Grappled by the worm (it can have up to three creatures swallowed at a time). Failure: The tar- get is swallowed by the worm, and the Grappled con- dition ends. A swallowed creature has the Blinded and Restrained conditions, has Total Cover against attacks and other effects outside the worm, and takes 17 (5d6) Acid damage at the start of each of the worm’s turns. If the worm takes 30 damage or more on a single turn from a creature inside it, the worm must succeed on a DC 21 Constitution saving throw at the end of that turn or regurgitate all swallowed creatures, each of which falls in a space within 5 feet of the worm and has the Prone condition. If the worm dies, any swallowed crea- ture no longer has the Restrained condition and can escape from the corpse using 20 feet of movement, exiting Prone. Quasit</x:t>
        </x:is>
      </x:c>
      <x:c r="AC167" s="2" t="n"/>
      <x:c r="AD167" s="2" t="n"/>
      <x:c r="AE167" s="2" t="n"/>
      <x:c r="AF167" s="2" t="inlineStr">
        <x:is>
          <x:t xml:space="preserve">Imported from SRD 5.2.1 p. 316 Index of Stat Blocks</x:t>
        </x:is>
      </x:c>
      <x:c r="AG167" s="2" t="inlineStr">
        <x:is>
          <x:t xml:space="preserve">https://www.dndbeyond.com/srd</x:t>
        </x:is>
      </x:c>
    </x:row>
    <x:row r="168" ht="18" customHeight="1">
      <x:c r="A168" s="2" t="inlineStr">
        <x:is>
          <x:t xml:space="preserve">Quasit</x:t>
        </x:is>
      </x:c>
      <x:c r="B168" s="2" t="inlineStr">
        <x:is>
          <x:t xml:space="preserve">SRD 5.2.1</x:t>
        </x:is>
      </x:c>
      <x:c r="C168" s="2" t="inlineStr">
        <x:is>
          <x:t xml:space="preserve">Fiend (Demon)</x:t>
        </x:is>
      </x:c>
      <x:c r="D168" s="2" t="inlineStr">
        <x:is>
          <x:t xml:space="preserve">Tiny</x:t>
        </x:is>
      </x:c>
      <x:c r="E168" s="2" t="inlineStr">
        <x:is>
          <x:t xml:space="preserve">Chaotic Evil</x:t>
        </x:is>
      </x:c>
      <x:c r="F168" s="2" t="inlineStr">
        <x:is>
          <x:t xml:space="preserve">1</x:t>
        </x:is>
      </x:c>
      <x:c r="G168" s="2" t="inlineStr">
        <x:is>
          <x:t xml:space="preserve">200</x:t>
        </x:is>
      </x:c>
      <x:c r="H168" s="2" t="inlineStr">
        <x:is>
          <x:t xml:space="preserve">13</x:t>
        </x:is>
      </x:c>
      <x:c r="I168" s="2" t="inlineStr">
        <x:is>
          <x:t xml:space="preserve">25</x:t>
        </x:is>
      </x:c>
      <x:c r="J168" s="2" t="inlineStr">
        <x:is>
          <x:t xml:space="preserve">40 ft.</x:t>
        </x:is>
      </x:c>
      <x:c r="K168" s="2" t="inlineStr">
        <x:is>
          <x:t xml:space="preserve">2</x:t>
        </x:is>
      </x:c>
      <x:c r="L168" s="2" t="inlineStr">
        <x:is>
          <x:t xml:space="preserve">10</x:t>
        </x:is>
      </x:c>
      <x:c r="M168" s="2" t="inlineStr">
        <x:is>
          <x:t xml:space="preserve">10</x:t>
        </x:is>
      </x:c>
      <x:c r="N168" s="2" t="inlineStr">
        <x:is>
          <x:t xml:space="preserve">5</x:t>
        </x:is>
      </x:c>
      <x:c r="O168" s="2" t="inlineStr">
        <x:is>
          <x:t xml:space="preserve">3</x:t>
        </x:is>
      </x:c>
      <x:c r="P168" s="2" t="inlineStr">
        <x:is>
          <x:t xml:space="preserve">5</x:t>
        </x:is>
      </x:c>
      <x:c r="Q168" s="2" t="inlineStr">
        <x:is>
          <x:t xml:space="preserve">17</x:t>
        </x:is>
      </x:c>
      <x:c r="R168" s="2" t="inlineStr">
        <x:is>
          <x:t xml:space="preserve">10</x:t>
        </x:is>
      </x:c>
      <x:c r="S168" s="2" t="inlineStr">
        <x:is>
          <x:t xml:space="preserve">7</x:t>
        </x:is>
      </x:c>
      <x:c r="T168" s="2" t="inlineStr">
        <x:is>
          <x:t xml:space="preserve">10</x:t>
        </x:is>
      </x:c>
      <x:c r="U168" s="2" t="inlineStr">
        <x:is>
          <x:t xml:space="preserve">10</x:t>
        </x:is>
      </x:c>
      <x:c r="V168" s="2" t="n"/>
      <x:c r="W168" s="2" t="inlineStr">
        <x:is>
          <x:t xml:space="preserve">Stealth +5</x:t>
        </x:is>
      </x:c>
      <x:c r="X168" s="2" t="inlineStr">
        <x:is>
          <x:t xml:space="preserve">Darkvision 120 ft.; Passive Perception 10</x:t>
        </x:is>
      </x:c>
      <x:c r="Y168" s="2" t="inlineStr">
        <x:is>
          <x:t xml:space="preserve">Abyssal, Common</x:t>
        </x:is>
      </x:c>
      <x:c r="Z168" s="2" t="inlineStr">
        <x:is>
          <x:t xml:space="preserve">Magic Resistance. The quasit has Advantage on saving throws against spells and other magical effects.</x:t>
        </x:is>
      </x:c>
      <x:c r="AA168" s="2" t="inlineStr">
        <x:is>
          <x:t xml:space="preserve">Rend. Melee Attack Roll: +5, reach 5 ft. Hit: 5 (1d4 + 3) Slashing damage, and the target has the Poisoned con- dition until the start of the quasit’s next turn. Invisibility. The quasit casts Invisibility on itself, requir- ing no spell components and using Charisma as the spellcasting ability. Scare (1/Day). Wisdom Saving Throw: DC 10, one creature within 20 feet. Failure: The target has the Frightened condition. At the end of each of its turns, the target repeats the save, ending the effect on itself on a success. After 1 minute, it succeeds automatically. Shape-Shift. The quasit shape-shifts to resemble a bat (Speed 10 ft., Fly 40 ft.), a centipede (40 ft., Climb 40 ft.), or a toad (40 ft., Swim 40 ft.), or it returns to its true form. Its game statistics are the same in each form, except for its Speed. Any equipment it is wearing or carrying isn’t transformed. Rakshasa</x:t>
        </x:is>
      </x:c>
      <x:c r="AB168" s="2" t="n"/>
      <x:c r="AC168" s="2" t="n"/>
      <x:c r="AD168" s="2" t="n"/>
      <x:c r="AE168" s="2" t="n"/>
      <x:c r="AF168" s="2" t="inlineStr">
        <x:is>
          <x:t xml:space="preserve">Imported from SRD 5.2.1 p. 317 Index of Stat Blocks</x:t>
        </x:is>
      </x:c>
      <x:c r="AG168" s="2" t="inlineStr">
        <x:is>
          <x:t xml:space="preserve">https://www.dndbeyond.com/srd</x:t>
        </x:is>
      </x:c>
    </x:row>
    <x:row r="169" ht="18" customHeight="1">
      <x:c r="A169" s="2" t="inlineStr">
        <x:is>
          <x:t xml:space="preserve">Rakshasa</x:t>
        </x:is>
      </x:c>
      <x:c r="B169" s="2" t="inlineStr">
        <x:is>
          <x:t xml:space="preserve">SRD 5.2.1</x:t>
        </x:is>
      </x:c>
      <x:c r="C169" s="2" t="inlineStr">
        <x:is>
          <x:t xml:space="preserve">Fiend</x:t>
        </x:is>
      </x:c>
      <x:c r="D169" s="2" t="inlineStr">
        <x:is>
          <x:t xml:space="preserve">Medium</x:t>
        </x:is>
      </x:c>
      <x:c r="E169" s="2" t="inlineStr">
        <x:is>
          <x:t xml:space="preserve">Lawful Evil</x:t>
        </x:is>
      </x:c>
      <x:c r="F169" s="2" t="inlineStr">
        <x:is>
          <x:t xml:space="preserve">13</x:t>
        </x:is>
      </x:c>
      <x:c r="G169" s="2" t="inlineStr">
        <x:is>
          <x:t xml:space="preserve">10000</x:t>
        </x:is>
      </x:c>
      <x:c r="H169" s="2" t="inlineStr">
        <x:is>
          <x:t xml:space="preserve">17</x:t>
        </x:is>
      </x:c>
      <x:c r="I169" s="2" t="inlineStr">
        <x:is>
          <x:t xml:space="preserve">221</x:t>
        </x:is>
      </x:c>
      <x:c r="J169" s="2" t="inlineStr">
        <x:is>
          <x:t xml:space="preserve">40 ft.</x:t>
        </x:is>
      </x:c>
      <x:c r="K169" s="2" t="inlineStr">
        <x:is>
          <x:t xml:space="preserve">5</x:t>
        </x:is>
      </x:c>
      <x:c r="L169" s="2" t="inlineStr">
        <x:is>
          <x:t xml:space="preserve">18</x:t>
        </x:is>
      </x:c>
      <x:c r="M169" s="2" t="n"/>
      <x:c r="N169" s="2" t="inlineStr">
        <x:is>
          <x:t xml:space="preserve">10</x:t>
        </x:is>
      </x:c>
      <x:c r="O169" s="2" t="inlineStr">
        <x:is>
          <x:t xml:space="preserve">8</x:t>
        </x:is>
      </x:c>
      <x:c r="P169" s="2" t="inlineStr">
        <x:is>
          <x:t xml:space="preserve">14</x:t>
        </x:is>
      </x:c>
      <x:c r="Q169" s="2" t="inlineStr">
        <x:is>
          <x:t xml:space="preserve">17</x:t>
        </x:is>
      </x:c>
      <x:c r="R169" s="2" t="inlineStr">
        <x:is>
          <x:t xml:space="preserve">18</x:t>
        </x:is>
      </x:c>
      <x:c r="S169" s="2" t="inlineStr">
        <x:is>
          <x:t xml:space="preserve">13</x:t>
        </x:is>
      </x:c>
      <x:c r="T169" s="2" t="inlineStr">
        <x:is>
          <x:t xml:space="preserve">16</x:t>
        </x:is>
      </x:c>
      <x:c r="U169" s="2" t="inlineStr">
        <x:is>
          <x:t xml:space="preserve">20</x:t>
        </x:is>
      </x:c>
      <x:c r="V169" s="2" t="n"/>
      <x:c r="W169" s="2" t="inlineStr">
        <x:is>
          <x:t xml:space="preserve">Deception +10, Insight +8, Perception +8</x:t>
        </x:is>
      </x:c>
      <x:c r="X169" s="2" t="inlineStr">
        <x:is>
          <x:t xml:space="preserve">Truesight 60 ft.; Passive Perception 18</x:t>
        </x:is>
      </x:c>
      <x:c r="Y169" s="2" t="inlineStr">
        <x:is>
          <x:t xml:space="preserve">Common, Infernal</x:t>
        </x:is>
      </x:c>
      <x:c r="Z169" s="2" t="inlineStr">
        <x:is>
          <x:t xml:space="preserve">Greater Magic Resistance. The rakshasa automatically succeeds on saving throws against spells and other magical effects, and the attack rolls of spells automat- ically miss it. Without the rakshasa’s permission, no spell can observe the rakshasa remotely or detect its thoughts, creature type, or alignment. Fiendish Restoration. If the rakshasa dies outside the Nine Hells, its body turns to ichor, and it gains a new body instantly, reviving with all its Hit Points some- where in the Nine Hells.</x:t>
        </x:is>
      </x:c>
      <x:c r="AA169" s="2" t="inlineStr">
        <x:is>
          <x:t xml:space="preserve">Multiattack. The rakshasa makes three Cursed Touch attacks. Cursed Touch. Melee Attack Roll: +10, reach 5 ft. Hit: 12 (2d6 + 5) Slashing damage plus 19 (3d12) Necrotic damage. If the target is a creature, it is cursed. While cursed, the target gains no benefit from finishing a Short or Long Rest. Baleful Command (Recharge 5-6). Wisdom Saving Throw: DC 18, each enemy in a 30-foot Emanation orig- inating from the rakshasa. Failure: 28 (8d6) Psychic dam- age, and the target has the Frightened and Incapacitated conditions until the start of the rakshasa’s next turn. Spellcasting. The rakshasa casts one of the following spells, requiring no Material components and using Charisma as the spellcasting ability (spell save DC 18): At Will: Detect Magic, Detect Thoughts, Disguise Self, Mage Hand, Minor Illusion 1/Day Each: Fly, Invisibility, Major Image, Plane Shift Red Dragons</x:t>
        </x:is>
      </x:c>
      <x:c r="AB169" s="2" t="n"/>
      <x:c r="AC169" s="2" t="n"/>
      <x:c r="AD169" s="2" t="n"/>
      <x:c r="AE169" s="2" t="inlineStr">
        <x:is>
          <x:t xml:space="preserve">Includes Spellcasting; see Traits/Actions text</x:t>
        </x:is>
      </x:c>
      <x:c r="AF169" s="2" t="inlineStr">
        <x:is>
          <x:t xml:space="preserve">Imported from SRD 5.2.1 p. 317 Index of Stat Blocks</x:t>
        </x:is>
      </x:c>
      <x:c r="AG169" s="2" t="inlineStr">
        <x:is>
          <x:t xml:space="preserve">https://www.dndbeyond.com/srd</x:t>
        </x:is>
      </x:c>
    </x:row>
    <x:row r="170" ht="18" customHeight="1">
      <x:c r="A170" s="2" t="inlineStr">
        <x:is>
          <x:t xml:space="preserve">Red Dragon Wyrmling</x:t>
        </x:is>
      </x:c>
      <x:c r="B170" s="2" t="inlineStr">
        <x:is>
          <x:t xml:space="preserve">SRD 5.2.1</x:t>
        </x:is>
      </x:c>
      <x:c r="C170" s="2" t="inlineStr">
        <x:is>
          <x:t xml:space="preserve">Dragon (Chromatic)</x:t>
        </x:is>
      </x:c>
      <x:c r="D170" s="2" t="inlineStr">
        <x:is>
          <x:t xml:space="preserve">Medium</x:t>
        </x:is>
      </x:c>
      <x:c r="E170" s="2" t="inlineStr">
        <x:is>
          <x:t xml:space="preserve">Chaotic Evil</x:t>
        </x:is>
      </x:c>
      <x:c r="F170" s="2" t="inlineStr">
        <x:is>
          <x:t xml:space="preserve">4</x:t>
        </x:is>
      </x:c>
      <x:c r="G170" s="2" t="inlineStr">
        <x:is>
          <x:t xml:space="preserve">1100</x:t>
        </x:is>
      </x:c>
      <x:c r="H170" s="2" t="inlineStr">
        <x:is>
          <x:t xml:space="preserve">17</x:t>
        </x:is>
      </x:c>
      <x:c r="I170" s="2" t="inlineStr">
        <x:is>
          <x:t xml:space="preserve">75</x:t>
        </x:is>
      </x:c>
      <x:c r="J170" s="2" t="inlineStr">
        <x:is>
          <x:t xml:space="preserve">30 ft., Climb 30 ft., Fly 60 ft.</x:t>
        </x:is>
      </x:c>
      <x:c r="K170" s="2" t="inlineStr">
        <x:is>
          <x:t xml:space="preserve">2</x:t>
        </x:is>
      </x:c>
      <x:c r="L170" s="2" t="inlineStr">
        <x:is>
          <x:t xml:space="preserve">14</x:t>
        </x:is>
      </x:c>
      <x:c r="M170" s="2" t="inlineStr">
        <x:is>
          <x:t xml:space="preserve">13</x:t>
        </x:is>
      </x:c>
      <x:c r="N170" s="2" t="inlineStr">
        <x:is>
          <x:t xml:space="preserve">6</x:t>
        </x:is>
      </x:c>
      <x:c r="O170" s="2" t="inlineStr">
        <x:is>
          <x:t xml:space="preserve">2</x:t>
        </x:is>
      </x:c>
      <x:c r="P170" s="2" t="inlineStr">
        <x:is>
          <x:t xml:space="preserve">19</x:t>
        </x:is>
      </x:c>
      <x:c r="Q170" s="2" t="inlineStr">
        <x:is>
          <x:t xml:space="preserve">10</x:t>
        </x:is>
      </x:c>
      <x:c r="R170" s="2" t="inlineStr">
        <x:is>
          <x:t xml:space="preserve">17</x:t>
        </x:is>
      </x:c>
      <x:c r="S170" s="2" t="inlineStr">
        <x:is>
          <x:t xml:space="preserve">12</x:t>
        </x:is>
      </x:c>
      <x:c r="T170" s="2" t="inlineStr">
        <x:is>
          <x:t xml:space="preserve">11</x:t>
        </x:is>
      </x:c>
      <x:c r="U170" s="2" t="inlineStr">
        <x:is>
          <x:t xml:space="preserve">15</x:t>
        </x:is>
      </x:c>
      <x:c r="V170" s="2" t="inlineStr">
        <x:is>
          <x:t xml:space="preserve">DEX +2, WIS +2</x:t>
        </x:is>
      </x:c>
      <x:c r="W170" s="2" t="inlineStr">
        <x:is>
          <x:t xml:space="preserve">Perception +4, Stealth +2</x:t>
        </x:is>
      </x:c>
      <x:c r="X170" s="2" t="inlineStr">
        <x:is>
          <x:t xml:space="preserve">Blindsight 10 ft., Darkvision 60 ft.; Passive Perception 14</x:t>
        </x:is>
      </x:c>
      <x:c r="Y170" s="2" t="inlineStr">
        <x:is>
          <x:t xml:space="preserve">Draconic</x:t>
        </x:is>
      </x:c>
      <x:c r="Z170" s="2" t="n"/>
      <x:c r="AA170" s="2" t="inlineStr">
        <x:is>
          <x:t xml:space="preserve">Multiattack. The dragon makes two Rend attacks. Rend. Melee Attack Roll: +6, reach 5 ft. Hit: 9 (1d10 + 4) Slashing damage plus 3 (1d6) Fire damage. Fire Breath (Recharge 5-6). Dexterity Saving Throw: DC 13, each creature in a 15-foot Cone. Failure: 24 (7d6) Fire damage. Success: Half damage.</x:t>
        </x:is>
      </x:c>
      <x:c r="AB170" s="2" t="n"/>
      <x:c r="AC170" s="2" t="n"/>
      <x:c r="AD170" s="2" t="n"/>
      <x:c r="AE170" s="2" t="n"/>
      <x:c r="AF170" s="2" t="inlineStr">
        <x:is>
          <x:t xml:space="preserve">Imported from SRD 5.2.1 p. 318 Index of Stat Blocks</x:t>
        </x:is>
      </x:c>
      <x:c r="AG170" s="2" t="inlineStr">
        <x:is>
          <x:t xml:space="preserve">https://www.dndbeyond.com/srd</x:t>
        </x:is>
      </x:c>
    </x:row>
    <x:row r="171" ht="18" customHeight="1">
      <x:c r="A171" s="2" t="inlineStr">
        <x:is>
          <x:t xml:space="preserve">Young Red Dragon</x:t>
        </x:is>
      </x:c>
      <x:c r="B171" s="2" t="inlineStr">
        <x:is>
          <x:t xml:space="preserve">SRD 5.2.1</x:t>
        </x:is>
      </x:c>
      <x:c r="C171" s="2" t="inlineStr">
        <x:is>
          <x:t xml:space="preserve">Dragon (Chromatic)</x:t>
        </x:is>
      </x:c>
      <x:c r="D171" s="2" t="inlineStr">
        <x:is>
          <x:t xml:space="preserve">Large</x:t>
        </x:is>
      </x:c>
      <x:c r="E171" s="2" t="inlineStr">
        <x:is>
          <x:t xml:space="preserve">Chaotic Evil</x:t>
        </x:is>
      </x:c>
      <x:c r="F171" s="2" t="inlineStr">
        <x:is>
          <x:t xml:space="preserve">10</x:t>
        </x:is>
      </x:c>
      <x:c r="G171" s="2" t="inlineStr">
        <x:is>
          <x:t xml:space="preserve">5900</x:t>
        </x:is>
      </x:c>
      <x:c r="H171" s="2" t="inlineStr">
        <x:is>
          <x:t xml:space="preserve">18</x:t>
        </x:is>
      </x:c>
      <x:c r="I171" s="2" t="inlineStr">
        <x:is>
          <x:t xml:space="preserve">178</x:t>
        </x:is>
      </x:c>
      <x:c r="J171" s="2" t="inlineStr">
        <x:is>
          <x:t xml:space="preserve">40 ft., Climb 40 ft., Fly 80 ft.</x:t>
        </x:is>
      </x:c>
      <x:c r="K171" s="2" t="inlineStr">
        <x:is>
          <x:t xml:space="preserve">4</x:t>
        </x:is>
      </x:c>
      <x:c r="L171" s="2" t="inlineStr">
        <x:is>
          <x:t xml:space="preserve">18</x:t>
        </x:is>
      </x:c>
      <x:c r="M171" s="2" t="inlineStr">
        <x:is>
          <x:t xml:space="preserve">17</x:t>
        </x:is>
      </x:c>
      <x:c r="N171" s="2" t="inlineStr">
        <x:is>
          <x:t xml:space="preserve">10</x:t>
        </x:is>
      </x:c>
      <x:c r="O171" s="2" t="inlineStr">
        <x:is>
          <x:t xml:space="preserve">4</x:t>
        </x:is>
      </x:c>
      <x:c r="P171" s="2" t="inlineStr">
        <x:is>
          <x:t xml:space="preserve">23</x:t>
        </x:is>
      </x:c>
      <x:c r="Q171" s="2" t="inlineStr">
        <x:is>
          <x:t xml:space="preserve">10</x:t>
        </x:is>
      </x:c>
      <x:c r="R171" s="2" t="inlineStr">
        <x:is>
          <x:t xml:space="preserve">21</x:t>
        </x:is>
      </x:c>
      <x:c r="S171" s="2" t="inlineStr">
        <x:is>
          <x:t xml:space="preserve">14</x:t>
        </x:is>
      </x:c>
      <x:c r="T171" s="2" t="inlineStr">
        <x:is>
          <x:t xml:space="preserve">11</x:t>
        </x:is>
      </x:c>
      <x:c r="U171" s="2" t="inlineStr">
        <x:is>
          <x:t xml:space="preserve">19</x:t>
        </x:is>
      </x:c>
      <x:c r="V171" s="2" t="inlineStr">
        <x:is>
          <x:t xml:space="preserve">DEX +4, WIS +4</x:t>
        </x:is>
      </x:c>
      <x:c r="W171" s="2" t="inlineStr">
        <x:is>
          <x:t xml:space="preserve">Perception +8, Stealth +4</x:t>
        </x:is>
      </x:c>
      <x:c r="X171" s="2" t="inlineStr">
        <x:is>
          <x:t xml:space="preserve">Blindsight 30 ft., Darkvision 120 ft.; Passive Perception 18</x:t>
        </x:is>
      </x:c>
      <x:c r="Y171" s="2" t="inlineStr">
        <x:is>
          <x:t xml:space="preserve">Common, Draconic</x:t>
        </x:is>
      </x:c>
      <x:c r="Z171" s="2" t="n"/>
      <x:c r="AA171" s="2" t="inlineStr">
        <x:is>
          <x:t xml:space="preserve">Multiattack. The dragon makes three Rend attacks. Rend. Melee Attack Roll: +10, reach 10 ft. Hit: 13 (2d6 + 6) Slashing damage plus 3 (1d6) Fire damage. Fire Breath (Recharge 5-6). Dexterity Saving Throw: DC 17, each creature in a 30-foot Cone. Failure: 56 (16d6) Fire damage. Success: Half damage.</x:t>
        </x:is>
      </x:c>
      <x:c r="AB171" s="2" t="n"/>
      <x:c r="AC171" s="2" t="n"/>
      <x:c r="AD171" s="2" t="n"/>
      <x:c r="AE171" s="2" t="n"/>
      <x:c r="AF171" s="2" t="inlineStr">
        <x:is>
          <x:t xml:space="preserve">Imported from SRD 5.2.1 p. 318 Index of Stat Blocks</x:t>
        </x:is>
      </x:c>
      <x:c r="AG171" s="2" t="inlineStr">
        <x:is>
          <x:t xml:space="preserve">https://www.dndbeyond.com/srd</x:t>
        </x:is>
      </x:c>
    </x:row>
    <x:row r="172" ht="18" customHeight="1">
      <x:c r="A172" s="2" t="inlineStr">
        <x:is>
          <x:t xml:space="preserve">Adult Red Dragon</x:t>
        </x:is>
      </x:c>
      <x:c r="B172" s="2" t="inlineStr">
        <x:is>
          <x:t xml:space="preserve">SRD 5.2.1</x:t>
        </x:is>
      </x:c>
      <x:c r="C172" s="2" t="inlineStr">
        <x:is>
          <x:t xml:space="preserve">Dragon (Chromatic)</x:t>
        </x:is>
      </x:c>
      <x:c r="D172" s="2" t="inlineStr">
        <x:is>
          <x:t xml:space="preserve">Huge</x:t>
        </x:is>
      </x:c>
      <x:c r="E172" s="2" t="inlineStr">
        <x:is>
          <x:t xml:space="preserve">Chaotic Evil</x:t>
        </x:is>
      </x:c>
      <x:c r="F172" s="2" t="inlineStr">
        <x:is>
          <x:t xml:space="preserve">17</x:t>
        </x:is>
      </x:c>
      <x:c r="G172" s="2" t="inlineStr">
        <x:is>
          <x:t xml:space="preserve">18000</x:t>
        </x:is>
      </x:c>
      <x:c r="H172" s="2" t="inlineStr">
        <x:is>
          <x:t xml:space="preserve">19</x:t>
        </x:is>
      </x:c>
      <x:c r="I172" s="2" t="inlineStr">
        <x:is>
          <x:t xml:space="preserve">256</x:t>
        </x:is>
      </x:c>
      <x:c r="J172" s="2" t="inlineStr">
        <x:is>
          <x:t xml:space="preserve">40 ft., Climb 40 ft., Fly 80 ft.</x:t>
        </x:is>
      </x:c>
      <x:c r="K172" s="2" t="inlineStr">
        <x:is>
          <x:t xml:space="preserve">6</x:t>
        </x:is>
      </x:c>
      <x:c r="L172" s="2" t="inlineStr">
        <x:is>
          <x:t xml:space="preserve">23</x:t>
        </x:is>
      </x:c>
      <x:c r="M172" s="2" t="inlineStr">
        <x:is>
          <x:t xml:space="preserve">21</x:t>
        </x:is>
      </x:c>
      <x:c r="N172" s="2" t="inlineStr">
        <x:is>
          <x:t xml:space="preserve">14</x:t>
        </x:is>
      </x:c>
      <x:c r="O172" s="2" t="inlineStr">
        <x:is>
          <x:t xml:space="preserve">12</x:t>
        </x:is>
      </x:c>
      <x:c r="P172" s="2" t="inlineStr">
        <x:is>
          <x:t xml:space="preserve">27</x:t>
        </x:is>
      </x:c>
      <x:c r="Q172" s="2" t="inlineStr">
        <x:is>
          <x:t xml:space="preserve">10</x:t>
        </x:is>
      </x:c>
      <x:c r="R172" s="2" t="inlineStr">
        <x:is>
          <x:t xml:space="preserve">25</x:t>
        </x:is>
      </x:c>
      <x:c r="S172" s="2" t="inlineStr">
        <x:is>
          <x:t xml:space="preserve">16</x:t>
        </x:is>
      </x:c>
      <x:c r="T172" s="2" t="inlineStr">
        <x:is>
          <x:t xml:space="preserve">13</x:t>
        </x:is>
      </x:c>
      <x:c r="U172" s="2" t="inlineStr">
        <x:is>
          <x:t xml:space="preserve">23</x:t>
        </x:is>
      </x:c>
      <x:c r="V172" s="2" t="inlineStr">
        <x:is>
          <x:t xml:space="preserve">DEX +6, WIS +7</x:t>
        </x:is>
      </x:c>
      <x:c r="W172" s="2" t="inlineStr">
        <x:is>
          <x:t xml:space="preserve">Perception +13, Stealth +6</x:t>
        </x:is>
      </x:c>
      <x:c r="X172" s="2" t="inlineStr">
        <x:is>
          <x:t xml:space="preserve">Blindsight 60 ft., Darkvision 120 ft.; Passive Perception 23</x:t>
        </x:is>
      </x:c>
      <x:c r="Y172" s="2" t="inlineStr">
        <x:is>
          <x:t xml:space="preserve">Common, Draconic</x:t>
        </x:is>
      </x:c>
      <x:c r="Z172" s="2" t="inlineStr">
        <x:is>
          <x:t xml:space="preserve">Legendary Resistance (3/Day, or 4/Day in Lair). If the dragon fails a saving throw, it can choose to suc- ceed instead.</x:t>
        </x:is>
      </x:c>
      <x:c r="AA172" s="2" t="inlineStr">
        <x:is>
          <x:t xml:space="preserve">Multiattack. The dragon makes three Rend attacks. It can replace one attack with a use of Spellcasting to cast Scorching Ray. Rend. Melee Attack Roll: +14, reach 10 ft. Hit: 13 (1d10 + 8) Slashing damage plus 5 (2d4) Fire damage. Fire Breath (Recharge 5-6). Dexterity Saving Throw: DC 21, each creature in a 60-foot Cone. Failure: 59 (17d6) Fire damage. Success: Half damage. Spellcasting. The dragon casts one of the following spells, requiring no Material components and using Charisma as the spellcasting ability (spell save DC 20, +12 to hit with spell attacks): At Will: Command (level 2 version), Detect Magic, Scorching Ray 1/Day: Fireball</x:t>
        </x:is>
      </x:c>
      <x:c r="AB172" s="2" t="n"/>
      <x:c r="AC172" s="2" t="n"/>
      <x:c r="AD172" s="2" t="inlineStr">
        <x:is>
          <x:t xml:space="preserve">Legendary Action Uses: 3 (4 in Lair). Immediately after another creature’s turn, the dragon can expend a use to take one of the following actions. The dragon regains all expended uses at the start of each of its turns. Commanding Presence. The dragon uses Spellcasting to cast Command (level 2 version). The dragon can’t take this action again until the start of its next turn. Fiery Rays. The dragon uses Spellcasting to cast Scorch- ing Ray. The dragon can’t take this action again until the start of its next turn. Pounce. The dragon moves up to half its Speed, and it makes one Rend attack.</x:t>
        </x:is>
      </x:c>
      <x:c r="AE172" s="2" t="inlineStr">
        <x:is>
          <x:t xml:space="preserve">Includes Spellcasting; see Traits/Actions text</x:t>
        </x:is>
      </x:c>
      <x:c r="AF172" s="2" t="inlineStr">
        <x:is>
          <x:t xml:space="preserve">Imported from SRD 5.2.1 p. 318 Index of Stat Blocks</x:t>
        </x:is>
      </x:c>
      <x:c r="AG172" s="2" t="inlineStr">
        <x:is>
          <x:t xml:space="preserve">https://www.dndbeyond.com/srd</x:t>
        </x:is>
      </x:c>
    </x:row>
    <x:row r="173" ht="18" customHeight="1">
      <x:c r="A173" s="2" t="inlineStr">
        <x:is>
          <x:t xml:space="preserve">Ancient Red Dragon</x:t>
        </x:is>
      </x:c>
      <x:c r="B173" s="2" t="inlineStr">
        <x:is>
          <x:t xml:space="preserve">SRD 5.2.1</x:t>
        </x:is>
      </x:c>
      <x:c r="C173" s="2" t="inlineStr">
        <x:is>
          <x:t xml:space="preserve">Dragon (Chromatic)</x:t>
        </x:is>
      </x:c>
      <x:c r="D173" s="2" t="inlineStr">
        <x:is>
          <x:t xml:space="preserve">Gargantuan</x:t>
        </x:is>
      </x:c>
      <x:c r="E173" s="2" t="inlineStr">
        <x:is>
          <x:t xml:space="preserve">Chaotic Evil</x:t>
        </x:is>
      </x:c>
      <x:c r="F173" s="2" t="inlineStr">
        <x:is>
          <x:t xml:space="preserve">24</x:t>
        </x:is>
      </x:c>
      <x:c r="G173" s="2" t="inlineStr">
        <x:is>
          <x:t xml:space="preserve">62000</x:t>
        </x:is>
      </x:c>
      <x:c r="H173" s="2" t="inlineStr">
        <x:is>
          <x:t xml:space="preserve">22</x:t>
        </x:is>
      </x:c>
      <x:c r="I173" s="2" t="inlineStr">
        <x:is>
          <x:t xml:space="preserve">507</x:t>
        </x:is>
      </x:c>
      <x:c r="J173" s="2" t="inlineStr">
        <x:is>
          <x:t xml:space="preserve">40 ft., Climb 40 ft., Fly 80 ft.</x:t>
        </x:is>
      </x:c>
      <x:c r="K173" s="2" t="inlineStr">
        <x:is>
          <x:t xml:space="preserve">7</x:t>
        </x:is>
      </x:c>
      <x:c r="L173" s="2" t="inlineStr">
        <x:is>
          <x:t xml:space="preserve">26</x:t>
        </x:is>
      </x:c>
      <x:c r="M173" s="2" t="inlineStr">
        <x:is>
          <x:t xml:space="preserve">24</x:t>
        </x:is>
      </x:c>
      <x:c r="N173" s="2" t="inlineStr">
        <x:is>
          <x:t xml:space="preserve">17</x:t>
        </x:is>
      </x:c>
      <x:c r="O173" s="2" t="inlineStr">
        <x:is>
          <x:t xml:space="preserve">14</x:t>
        </x:is>
      </x:c>
      <x:c r="P173" s="2" t="inlineStr">
        <x:is>
          <x:t xml:space="preserve">30</x:t>
        </x:is>
      </x:c>
      <x:c r="Q173" s="2" t="inlineStr">
        <x:is>
          <x:t xml:space="preserve">10</x:t>
        </x:is>
      </x:c>
      <x:c r="R173" s="2" t="inlineStr">
        <x:is>
          <x:t xml:space="preserve">29</x:t>
        </x:is>
      </x:c>
      <x:c r="S173" s="2" t="inlineStr">
        <x:is>
          <x:t xml:space="preserve">18</x:t>
        </x:is>
      </x:c>
      <x:c r="T173" s="2" t="inlineStr">
        <x:is>
          <x:t xml:space="preserve">15</x:t>
        </x:is>
      </x:c>
      <x:c r="U173" s="2" t="inlineStr">
        <x:is>
          <x:t xml:space="preserve">27</x:t>
        </x:is>
      </x:c>
      <x:c r="V173" s="2" t="inlineStr">
        <x:is>
          <x:t xml:space="preserve">DEX +7, WIS +9</x:t>
        </x:is>
      </x:c>
      <x:c r="W173" s="2" t="inlineStr">
        <x:is>
          <x:t xml:space="preserve">Perception +16, Stealth +7</x:t>
        </x:is>
      </x:c>
      <x:c r="X173" s="2" t="inlineStr">
        <x:is>
          <x:t xml:space="preserve">Blindsight 60 ft., Darkvision 120 ft.; Passive Perception 26</x:t>
        </x:is>
      </x:c>
      <x:c r="Y173" s="2" t="inlineStr">
        <x:is>
          <x:t xml:space="preserve">Common, Draconic</x:t>
        </x:is>
      </x:c>
      <x:c r="Z173" s="2" t="inlineStr">
        <x:is>
          <x:t xml:space="preserve">Legendary Resistance (4/Day, or 5/Day in Lair). If the dragon fails a saving throw, it can choose to suc- ceed instead.</x:t>
        </x:is>
      </x:c>
      <x:c r="AA173" s="2" t="inlineStr">
        <x:is>
          <x:t xml:space="preserve">Multiattack. The dragon makes three Rend attacks. It can replace one attack with a use of Spellcasting to cast Scorching Ray (level 3 version). Rend. Melee Attack Roll: +17, reach 15 ft. Hit: 19 (2d8 + 10) Slashing damage plus 10 (3d6) Fire damage. Fire Breath (Recharge 5-6). Dexterity Saving Throw: DC 24, each creature in a 90-foot Cone. Failure: 91 (26d6) Fire damage. Success: Half damage. Spellcasting. The dragon casts one of the following spells, requiring no Material components and using Charisma as the spellcasting ability (spell save DC 23, +15 to hit with spell attacks): At Will: Command (level 2 version), Detect Magic, Scorching Ray (level 3 version) 1/Day Each: Fireball (level 6 version), Scrying</x:t>
        </x:is>
      </x:c>
      <x:c r="AB173" s="2" t="n"/>
      <x:c r="AC173" s="2" t="n"/>
      <x:c r="AD173" s="2" t="inlineStr">
        <x:is>
          <x:t xml:space="preserve">Legendary Action Uses: 3 (4 in Lair). Immediately after another creature’s turn, the dragon can expend a use to take one of the following actions. The dragon regains all expended uses at the start of each of its turns. Commanding Presence. The dragon uses Spellcasting to cast Command (level 2 version). The dragon can’t take this action again until the start of its next turn. Fiery Rays. The dragon uses Spellcasting to cast Scorch- ing Ray (level 3 version). The dragon can’t take this ac- tion again until the start of its next turn. Pounce. The dragon moves up to half its Speed, and it makes one Rend attack. Remorhaz</x:t>
        </x:is>
      </x:c>
      <x:c r="AE173" s="2" t="inlineStr">
        <x:is>
          <x:t xml:space="preserve">Includes Spellcasting; see Traits/Actions text</x:t>
        </x:is>
      </x:c>
      <x:c r="AF173" s="2" t="inlineStr">
        <x:is>
          <x:t xml:space="preserve">Imported from SRD 5.2.1 p. 319 Index of Stat Blocks</x:t>
        </x:is>
      </x:c>
      <x:c r="AG173" s="2" t="inlineStr">
        <x:is>
          <x:t xml:space="preserve">https://www.dndbeyond.com/srd</x:t>
        </x:is>
      </x:c>
    </x:row>
    <x:row r="174" ht="18" customHeight="1">
      <x:c r="A174" s="2" t="inlineStr">
        <x:is>
          <x:t xml:space="preserve">Remorhaz</x:t>
        </x:is>
      </x:c>
      <x:c r="B174" s="2" t="inlineStr">
        <x:is>
          <x:t xml:space="preserve">SRD 5.2.1</x:t>
        </x:is>
      </x:c>
      <x:c r="C174" s="2" t="inlineStr">
        <x:is>
          <x:t xml:space="preserve">Monstrosity</x:t>
        </x:is>
      </x:c>
      <x:c r="D174" s="2" t="inlineStr">
        <x:is>
          <x:t xml:space="preserve">Huge</x:t>
        </x:is>
      </x:c>
      <x:c r="E174" s="2" t="inlineStr">
        <x:is>
          <x:t xml:space="preserve">Unaligned</x:t>
        </x:is>
      </x:c>
      <x:c r="F174" s="2" t="inlineStr">
        <x:is>
          <x:t xml:space="preserve">11</x:t>
        </x:is>
      </x:c>
      <x:c r="G174" s="2" t="inlineStr">
        <x:is>
          <x:t xml:space="preserve">7200</x:t>
        </x:is>
      </x:c>
      <x:c r="H174" s="2" t="inlineStr">
        <x:is>
          <x:t xml:space="preserve">17</x:t>
        </x:is>
      </x:c>
      <x:c r="I174" s="2" t="inlineStr">
        <x:is>
          <x:t xml:space="preserve">195</x:t>
        </x:is>
      </x:c>
      <x:c r="J174" s="2" t="inlineStr">
        <x:is>
          <x:t xml:space="preserve">40 ft., Burrow 30 ft.</x:t>
        </x:is>
      </x:c>
      <x:c r="K174" s="2" t="inlineStr">
        <x:is>
          <x:t xml:space="preserve">4</x:t>
        </x:is>
      </x:c>
      <x:c r="L174" s="2" t="inlineStr">
        <x:is>
          <x:t xml:space="preserve">10</x:t>
        </x:is>
      </x:c>
      <x:c r="M174" s="2" t="inlineStr">
        <x:is>
          <x:t xml:space="preserve">19</x:t>
        </x:is>
      </x:c>
      <x:c r="N174" s="2" t="inlineStr">
        <x:is>
          <x:t xml:space="preserve">11</x:t>
        </x:is>
      </x:c>
      <x:c r="O174" s="2" t="inlineStr">
        <x:is>
          <x:t xml:space="preserve">5</x:t>
        </x:is>
      </x:c>
      <x:c r="P174" s="2" t="inlineStr">
        <x:is>
          <x:t xml:space="preserve">24</x:t>
        </x:is>
      </x:c>
      <x:c r="Q174" s="2" t="inlineStr">
        <x:is>
          <x:t xml:space="preserve">13</x:t>
        </x:is>
      </x:c>
      <x:c r="R174" s="2" t="inlineStr">
        <x:is>
          <x:t xml:space="preserve">21</x:t>
        </x:is>
      </x:c>
      <x:c r="S174" s="2" t="inlineStr">
        <x:is>
          <x:t xml:space="preserve">4</x:t>
        </x:is>
      </x:c>
      <x:c r="T174" s="2" t="inlineStr">
        <x:is>
          <x:t xml:space="preserve">10</x:t>
        </x:is>
      </x:c>
      <x:c r="U174" s="2" t="inlineStr">
        <x:is>
          <x:t xml:space="preserve">5</x:t>
        </x:is>
      </x:c>
      <x:c r="V174" s="2" t="n"/>
      <x:c r="W174" s="2" t="n"/>
      <x:c r="X174" s="2" t="inlineStr">
        <x:is>
          <x:t xml:space="preserve">Darkvision 60 ft., Tremorsense 60 ft.; Passive Perception 10</x:t>
        </x:is>
      </x:c>
      <x:c r="Y174" s="2" t="inlineStr">
        <x:is>
          <x:t xml:space="preserve">None</x:t>
        </x:is>
      </x:c>
      <x:c r="Z174" s="2" t="inlineStr">
        <x:is>
          <x:t xml:space="preserve">Heat Aura. At the end of each of the remorhaz’s turns, each creature in a 5-foot Emanation originating from the remorhaz takes 16 (3d10) Fire damage.</x:t>
        </x:is>
      </x:c>
      <x:c r="AA174" s="2" t="inlineStr">
        <x:is>
          <x:t xml:space="preserve">Bite. Melee Attack Roll: +11, reach 10 ft. Hit: 18 (2d10 + 7) Piercing damage plus 14 (4d6) Fire damage. If the target is a Large or smaller creature, it has the Grappled condition (escape DC 17), and it has the Restrained condition until the grapple ends.</x:t>
        </x:is>
      </x:c>
      <x:c r="AB174" s="2" t="inlineStr">
        <x:is>
          <x:t xml:space="preserve">Swallow. Strength Saving Throw: DC 19, one Large or smaller creature Grappled by the remorhaz (it can have up to two creatures swallowed at a time). Failure: The target is swallowed by the remorhaz, and the Grappled condition ends. A swallowed creature has the Blinded and Restrained conditions, it has Total Cover against attacks and other effects outside the remorhaz, and it takes 10 (3d6) Acid damage plus 10 (3d6) Fire damage at the start of each of the remorhaz’s turns. If the remorhaz takes 30 damage or more on a single turn from a creature inside it, the remorhaz must suc- ceed on a DC 15 Constitution saving throw at the end of that turn or regurgitate all swallowed creatures, each of which falls in a space within 5 feet of the remorhaz and has the Prone condition. If the remorhaz dies, any swallowed creature no longer has the Restrained condi- tion and can escape from the corpse by using 15 feet of movement, exiting Prone. Roc</x:t>
        </x:is>
      </x:c>
      <x:c r="AC174" s="2" t="n"/>
      <x:c r="AD174" s="2" t="n"/>
      <x:c r="AE174" s="2" t="n"/>
      <x:c r="AF174" s="2" t="inlineStr">
        <x:is>
          <x:t xml:space="preserve">Imported from SRD 5.2.1 p. 319 Index of Stat Blocks</x:t>
        </x:is>
      </x:c>
      <x:c r="AG174" s="2" t="inlineStr">
        <x:is>
          <x:t xml:space="preserve">https://www.dndbeyond.com/srd</x:t>
        </x:is>
      </x:c>
    </x:row>
    <x:row r="175" ht="18" customHeight="1">
      <x:c r="A175" s="2" t="inlineStr">
        <x:is>
          <x:t xml:space="preserve">Roc</x:t>
        </x:is>
      </x:c>
      <x:c r="B175" s="2" t="inlineStr">
        <x:is>
          <x:t xml:space="preserve">SRD 5.2.1</x:t>
        </x:is>
      </x:c>
      <x:c r="C175" s="2" t="inlineStr">
        <x:is>
          <x:t xml:space="preserve">Monstrosity</x:t>
        </x:is>
      </x:c>
      <x:c r="D175" s="2" t="inlineStr">
        <x:is>
          <x:t xml:space="preserve">Gargantuan</x:t>
        </x:is>
      </x:c>
      <x:c r="E175" s="2" t="inlineStr">
        <x:is>
          <x:t xml:space="preserve">Unaligned</x:t>
        </x:is>
      </x:c>
      <x:c r="F175" s="2" t="inlineStr">
        <x:is>
          <x:t xml:space="preserve">11</x:t>
        </x:is>
      </x:c>
      <x:c r="G175" s="2" t="inlineStr">
        <x:is>
          <x:t xml:space="preserve">7200</x:t>
        </x:is>
      </x:c>
      <x:c r="H175" s="2" t="inlineStr">
        <x:is>
          <x:t xml:space="preserve">15</x:t>
        </x:is>
      </x:c>
      <x:c r="I175" s="2" t="inlineStr">
        <x:is>
          <x:t xml:space="preserve">248</x:t>
        </x:is>
      </x:c>
      <x:c r="J175" s="2" t="inlineStr">
        <x:is>
          <x:t xml:space="preserve">20 ft., Fly 120 ft.</x:t>
        </x:is>
      </x:c>
      <x:c r="K175" s="2" t="inlineStr">
        <x:is>
          <x:t xml:space="preserve">4</x:t>
        </x:is>
      </x:c>
      <x:c r="L175" s="2" t="inlineStr">
        <x:is>
          <x:t xml:space="preserve">18</x:t>
        </x:is>
      </x:c>
      <x:c r="M175" s="2" t="n"/>
      <x:c r="N175" s="2" t="inlineStr">
        <x:is>
          <x:t xml:space="preserve">13</x:t>
        </x:is>
      </x:c>
      <x:c r="O175" s="2" t="inlineStr">
        <x:is>
          <x:t xml:space="preserve">8</x:t>
        </x:is>
      </x:c>
      <x:c r="P175" s="2" t="inlineStr">
        <x:is>
          <x:t xml:space="preserve">28</x:t>
        </x:is>
      </x:c>
      <x:c r="Q175" s="2" t="inlineStr">
        <x:is>
          <x:t xml:space="preserve">10</x:t>
        </x:is>
      </x:c>
      <x:c r="R175" s="2" t="inlineStr">
        <x:is>
          <x:t xml:space="preserve">20</x:t>
        </x:is>
      </x:c>
      <x:c r="S175" s="2" t="inlineStr">
        <x:is>
          <x:t xml:space="preserve">3</x:t>
        </x:is>
      </x:c>
      <x:c r="T175" s="2" t="inlineStr">
        <x:is>
          <x:t xml:space="preserve">10</x:t>
        </x:is>
      </x:c>
      <x:c r="U175" s="2" t="inlineStr">
        <x:is>
          <x:t xml:space="preserve">9</x:t>
        </x:is>
      </x:c>
      <x:c r="V175" s="2" t="inlineStr">
        <x:is>
          <x:t xml:space="preserve">DEX +4, WIS +4</x:t>
        </x:is>
      </x:c>
      <x:c r="W175" s="2" t="inlineStr">
        <x:is>
          <x:t xml:space="preserve">Perception +8</x:t>
        </x:is>
      </x:c>
      <x:c r="X175" s="2" t="inlineStr">
        <x:is>
          <x:t xml:space="preserve">Passive Perception 18</x:t>
        </x:is>
      </x:c>
      <x:c r="Y175" s="2" t="inlineStr">
        <x:is>
          <x:t xml:space="preserve">None</x:t>
        </x:is>
      </x:c>
      <x:c r="Z175" s="2" t="n"/>
      <x:c r="AA175" s="2" t="inlineStr">
        <x:is>
          <x:t xml:space="preserve">Multiattack. The roc makes two Beak attacks. It can replace one attack with a Talons attack. Beak. Melee Attack Roll: +13, reach 10 ft. Hit: 28 (3d12 + 9) Piercing damage. Talons. Melee Attack Roll: +13, reach 5 ft. Hit: 23 (4d6 + 9) Slashing damage. If the target is a Huge or smaller creature, it has the Grappled condition (escape DC 19) from both talons, and it has the Restrained condition until the grapple ends.</x:t>
        </x:is>
      </x:c>
      <x:c r="AB175" s="2" t="inlineStr">
        <x:is>
          <x:t xml:space="preserve">Swoop (Recharge 5-6). If the roc has a creature Grap- pled, the roc flies up to half its Fly Speed without pro- voking Opportunity Attacks and drops that creature. Roper</x:t>
        </x:is>
      </x:c>
      <x:c r="AC175" s="2" t="n"/>
      <x:c r="AD175" s="2" t="n"/>
      <x:c r="AE175" s="2" t="n"/>
      <x:c r="AF175" s="2" t="inlineStr">
        <x:is>
          <x:t xml:space="preserve">Imported from SRD 5.2.1 p. 320 Index of Stat Blocks</x:t>
        </x:is>
      </x:c>
      <x:c r="AG175" s="2" t="inlineStr">
        <x:is>
          <x:t xml:space="preserve">https://www.dndbeyond.com/srd</x:t>
        </x:is>
      </x:c>
    </x:row>
    <x:row r="176" ht="18" customHeight="1">
      <x:c r="A176" s="2" t="inlineStr">
        <x:is>
          <x:t xml:space="preserve">Roper</x:t>
        </x:is>
      </x:c>
      <x:c r="B176" s="2" t="inlineStr">
        <x:is>
          <x:t xml:space="preserve">SRD 5.2.1</x:t>
        </x:is>
      </x:c>
      <x:c r="C176" s="2" t="inlineStr">
        <x:is>
          <x:t xml:space="preserve">Aberration</x:t>
        </x:is>
      </x:c>
      <x:c r="D176" s="2" t="inlineStr">
        <x:is>
          <x:t xml:space="preserve">Large</x:t>
        </x:is>
      </x:c>
      <x:c r="E176" s="2" t="inlineStr">
        <x:is>
          <x:t xml:space="preserve">Neutral Evil</x:t>
        </x:is>
      </x:c>
      <x:c r="F176" s="2" t="inlineStr">
        <x:is>
          <x:t xml:space="preserve">5</x:t>
        </x:is>
      </x:c>
      <x:c r="G176" s="2" t="inlineStr">
        <x:is>
          <x:t xml:space="preserve">1800</x:t>
        </x:is>
      </x:c>
      <x:c r="H176" s="2" t="inlineStr">
        <x:is>
          <x:t xml:space="preserve">20</x:t>
        </x:is>
      </x:c>
      <x:c r="I176" s="2" t="inlineStr">
        <x:is>
          <x:t xml:space="preserve">93</x:t>
        </x:is>
      </x:c>
      <x:c r="J176" s="2" t="inlineStr">
        <x:is>
          <x:t xml:space="preserve">10 ft., Climb 20 ft.</x:t>
        </x:is>
      </x:c>
      <x:c r="K176" s="2" t="inlineStr">
        <x:is>
          <x:t xml:space="preserve">3</x:t>
        </x:is>
      </x:c>
      <x:c r="L176" s="2" t="inlineStr">
        <x:is>
          <x:t xml:space="preserve">16</x:t>
        </x:is>
      </x:c>
      <x:c r="M176" s="2" t="n"/>
      <x:c r="N176" s="2" t="inlineStr">
        <x:is>
          <x:t xml:space="preserve">7</x:t>
        </x:is>
      </x:c>
      <x:c r="O176" s="2" t="inlineStr">
        <x:is>
          <x:t xml:space="preserve">5</x:t>
        </x:is>
      </x:c>
      <x:c r="P176" s="2" t="inlineStr">
        <x:is>
          <x:t xml:space="preserve">18</x:t>
        </x:is>
      </x:c>
      <x:c r="Q176" s="2" t="inlineStr">
        <x:is>
          <x:t xml:space="preserve">8</x:t>
        </x:is>
      </x:c>
      <x:c r="R176" s="2" t="inlineStr">
        <x:is>
          <x:t xml:space="preserve">17</x:t>
        </x:is>
      </x:c>
      <x:c r="S176" s="2" t="inlineStr">
        <x:is>
          <x:t xml:space="preserve">7</x:t>
        </x:is>
      </x:c>
      <x:c r="T176" s="2" t="inlineStr">
        <x:is>
          <x:t xml:space="preserve">16</x:t>
        </x:is>
      </x:c>
      <x:c r="U176" s="2" t="inlineStr">
        <x:is>
          <x:t xml:space="preserve">6</x:t>
        </x:is>
      </x:c>
      <x:c r="V176" s="2" t="n"/>
      <x:c r="W176" s="2" t="inlineStr">
        <x:is>
          <x:t xml:space="preserve">Perception +6, Stealth +5</x:t>
        </x:is>
      </x:c>
      <x:c r="X176" s="2" t="inlineStr">
        <x:is>
          <x:t xml:space="preserve">Darkvision 60 ft.; Passive Perception 16</x:t>
        </x:is>
      </x:c>
      <x:c r="Y176" s="2" t="inlineStr">
        <x:is>
          <x:t xml:space="preserve">None</x:t>
        </x:is>
      </x:c>
      <x:c r="Z176" s="2" t="inlineStr">
        <x:is>
          <x:t xml:space="preserve">Spider Climb. The roper can climb difficult surfaces, including along ceilings, without needing to make an ability check.</x:t>
        </x:is>
      </x:c>
      <x:c r="AA176" s="2" t="inlineStr">
        <x:is>
          <x:t xml:space="preserve">Multiattack. The roper makes two Tentacle attacks, uses Reel, and makes two Bite attacks. Bite. Melee Attack Roll: +7, reach 5 ft. Hit: 17 (3d8 + 4) Piercing damage. Tentacle. Melee Attack Roll: +7, reach 60 ft. Hit: The target has the Grappled condition (escape DC 14) from one of six tentacles, and the target has the Poisoned condition until the grapple ends. The tentacle can be damaged, freeing a creature it has Grappled when destroyed (AC 20, HP 10, Immunity to Poison and Psychic damage). Damaging the tentacle deals no damage to the roper, and a destroyed tentacle regrows at the start of the roper’s next turn. Reel. The roper pulls each creature Grappled by it up to 30 feet straight toward it. Rust Monster</x:t>
        </x:is>
      </x:c>
      <x:c r="AB176" s="2" t="n"/>
      <x:c r="AC176" s="2" t="n"/>
      <x:c r="AD176" s="2" t="n"/>
      <x:c r="AE176" s="2" t="n"/>
      <x:c r="AF176" s="2" t="inlineStr">
        <x:is>
          <x:t xml:space="preserve">Imported from SRD 5.2.1 p. 320 Index of Stat Blocks</x:t>
        </x:is>
      </x:c>
      <x:c r="AG176" s="2" t="inlineStr">
        <x:is>
          <x:t xml:space="preserve">https://www.dndbeyond.com/srd</x:t>
        </x:is>
      </x:c>
    </x:row>
    <x:row r="177" ht="18" customHeight="1">
      <x:c r="A177" s="2" t="inlineStr">
        <x:is>
          <x:t xml:space="preserve">Rust Monster</x:t>
        </x:is>
      </x:c>
      <x:c r="B177" s="2" t="inlineStr">
        <x:is>
          <x:t xml:space="preserve">SRD 5.2.1</x:t>
        </x:is>
      </x:c>
      <x:c r="C177" s="2" t="inlineStr">
        <x:is>
          <x:t xml:space="preserve">Monstrosity</x:t>
        </x:is>
      </x:c>
      <x:c r="D177" s="2" t="inlineStr">
        <x:is>
          <x:t xml:space="preserve">Medium</x:t>
        </x:is>
      </x:c>
      <x:c r="E177" s="2" t="inlineStr">
        <x:is>
          <x:t xml:space="preserve">Unaligned</x:t>
        </x:is>
      </x:c>
      <x:c r="F177" s="2" t="inlineStr">
        <x:is>
          <x:t xml:space="preserve">1/2</x:t>
        </x:is>
      </x:c>
      <x:c r="G177" s="2" t="inlineStr">
        <x:is>
          <x:t xml:space="preserve">100</x:t>
        </x:is>
      </x:c>
      <x:c r="H177" s="2" t="inlineStr">
        <x:is>
          <x:t xml:space="preserve">14</x:t>
        </x:is>
      </x:c>
      <x:c r="I177" s="2" t="inlineStr">
        <x:is>
          <x:t xml:space="preserve">33</x:t>
        </x:is>
      </x:c>
      <x:c r="J177" s="2" t="inlineStr">
        <x:is>
          <x:t xml:space="preserve">40 ft.</x:t>
        </x:is>
      </x:c>
      <x:c r="K177" s="2" t="inlineStr">
        <x:is>
          <x:t xml:space="preserve">2</x:t>
        </x:is>
      </x:c>
      <x:c r="L177" s="2" t="inlineStr">
        <x:is>
          <x:t xml:space="preserve">11</x:t>
        </x:is>
      </x:c>
      <x:c r="M177" s="2" t="n"/>
      <x:c r="N177" s="2" t="inlineStr">
        <x:is>
          <x:t xml:space="preserve">3</x:t>
        </x:is>
      </x:c>
      <x:c r="O177" s="2" t="inlineStr">
        <x:is>
          <x:t xml:space="preserve">1</x:t>
        </x:is>
      </x:c>
      <x:c r="P177" s="2" t="inlineStr">
        <x:is>
          <x:t xml:space="preserve">13</x:t>
        </x:is>
      </x:c>
      <x:c r="Q177" s="2" t="inlineStr">
        <x:is>
          <x:t xml:space="preserve">12</x:t>
        </x:is>
      </x:c>
      <x:c r="R177" s="2" t="inlineStr">
        <x:is>
          <x:t xml:space="preserve">13</x:t>
        </x:is>
      </x:c>
      <x:c r="S177" s="2" t="inlineStr">
        <x:is>
          <x:t xml:space="preserve">2</x:t>
        </x:is>
      </x:c>
      <x:c r="T177" s="2" t="inlineStr">
        <x:is>
          <x:t xml:space="preserve">13</x:t>
        </x:is>
      </x:c>
      <x:c r="U177" s="2" t="inlineStr">
        <x:is>
          <x:t xml:space="preserve">6</x:t>
        </x:is>
      </x:c>
      <x:c r="V177" s="2" t="n"/>
      <x:c r="W177" s="2" t="n"/>
      <x:c r="X177" s="2" t="inlineStr">
        <x:is>
          <x:t xml:space="preserve">Darkvision 60 ft.; Passive Perception 11</x:t>
        </x:is>
      </x:c>
      <x:c r="Y177" s="2" t="inlineStr">
        <x:is>
          <x:t xml:space="preserve">None</x:t>
        </x:is>
      </x:c>
      <x:c r="Z177" s="2" t="inlineStr">
        <x:is>
          <x:t xml:space="preserve">Iron Scent. The rust monster can pinpoint the location of ferrous metal within 30 feet of itself.</x:t>
        </x:is>
      </x:c>
      <x:c r="AA177" s="2" t="inlineStr">
        <x:is>
          <x:t xml:space="preserve">Multiattack. The rust monster makes one Bite attack and uses Antennae twice. Bite. Melee Attack Roll: +3, reach 5 ft. Hit: 5 (1d8 + 1) Piercing damage. Antennae. The rust monster targets one nonmagical metal object—armor or a weapon—worn or carried by a creature within 5 feet of itself. Dexterity Saving Throw: DC 11, the creature with the object. Failure: The object takes a -1 penalty to the AC it offers (ar- mor) or to its attack rolls (weapon). Armor is destroyed if the penalty reduces its AC to 10, and a weapon is destroyed if its penalty reaches -5. The penalty can be removed by casting the Mending spell on the armor or weapon. Destroy Metal. The rust monster touches a nonmagi- cal metal object within 5 feet of itself that isn’t being worn or carried. The touch destroys a 1-foot Cube of the object.</x:t>
        </x:is>
      </x:c>
      <x:c r="AB177" s="2" t="n"/>
      <x:c r="AC177" s="2" t="inlineStr">
        <x:is>
          <x:t xml:space="preserve">Reflexive Antennae. Trigger: An attack roll hits the rust monster. Response: The rust monster uses Antennae. Sahuagin</x:t>
        </x:is>
      </x:c>
      <x:c r="AD177" s="2" t="n"/>
      <x:c r="AE177" s="2" t="n"/>
      <x:c r="AF177" s="2" t="inlineStr">
        <x:is>
          <x:t xml:space="preserve">Imported from SRD 5.2.1 p. 320 Index of Stat Blocks</x:t>
        </x:is>
      </x:c>
      <x:c r="AG177" s="2" t="inlineStr">
        <x:is>
          <x:t xml:space="preserve">https://www.dndbeyond.com/srd</x:t>
        </x:is>
      </x:c>
    </x:row>
    <x:row r="178" ht="18" customHeight="1">
      <x:c r="A178" s="2" t="inlineStr">
        <x:is>
          <x:t xml:space="preserve">Sahuagin Warrior</x:t>
        </x:is>
      </x:c>
      <x:c r="B178" s="2" t="inlineStr">
        <x:is>
          <x:t xml:space="preserve">SRD 5.2.1</x:t>
        </x:is>
      </x:c>
      <x:c r="C178" s="2" t="inlineStr">
        <x:is>
          <x:t xml:space="preserve">Fiend</x:t>
        </x:is>
      </x:c>
      <x:c r="D178" s="2" t="inlineStr">
        <x:is>
          <x:t xml:space="preserve">Medium</x:t>
        </x:is>
      </x:c>
      <x:c r="E178" s="2" t="inlineStr">
        <x:is>
          <x:t xml:space="preserve">Lawful Evil</x:t>
        </x:is>
      </x:c>
      <x:c r="F178" s="2" t="inlineStr">
        <x:is>
          <x:t xml:space="preserve">1/2</x:t>
        </x:is>
      </x:c>
      <x:c r="G178" s="2" t="inlineStr">
        <x:is>
          <x:t xml:space="preserve">100</x:t>
        </x:is>
      </x:c>
      <x:c r="H178" s="2" t="inlineStr">
        <x:is>
          <x:t xml:space="preserve">12</x:t>
        </x:is>
      </x:c>
      <x:c r="I178" s="2" t="inlineStr">
        <x:is>
          <x:t xml:space="preserve">22</x:t>
        </x:is>
      </x:c>
      <x:c r="J178" s="2" t="inlineStr">
        <x:is>
          <x:t xml:space="preserve">30 ft., Swim 40 ft.</x:t>
        </x:is>
      </x:c>
      <x:c r="K178" s="2" t="inlineStr">
        <x:is>
          <x:t xml:space="preserve">2</x:t>
        </x:is>
      </x:c>
      <x:c r="L178" s="2" t="inlineStr">
        <x:is>
          <x:t xml:space="preserve">15</x:t>
        </x:is>
      </x:c>
      <x:c r="M178" s="2" t="n"/>
      <x:c r="N178" s="2" t="inlineStr">
        <x:is>
          <x:t xml:space="preserve">3</x:t>
        </x:is>
      </x:c>
      <x:c r="O178" s="2" t="inlineStr">
        <x:is>
          <x:t xml:space="preserve">0</x:t>
        </x:is>
      </x:c>
      <x:c r="P178" s="2" t="inlineStr">
        <x:is>
          <x:t xml:space="preserve">13</x:t>
        </x:is>
      </x:c>
      <x:c r="Q178" s="2" t="inlineStr">
        <x:is>
          <x:t xml:space="preserve">11</x:t>
        </x:is>
      </x:c>
      <x:c r="R178" s="2" t="inlineStr">
        <x:is>
          <x:t xml:space="preserve">12</x:t>
        </x:is>
      </x:c>
      <x:c r="S178" s="2" t="inlineStr">
        <x:is>
          <x:t xml:space="preserve">12</x:t>
        </x:is>
      </x:c>
      <x:c r="T178" s="2" t="inlineStr">
        <x:is>
          <x:t xml:space="preserve">13</x:t>
        </x:is>
      </x:c>
      <x:c r="U178" s="2" t="inlineStr">
        <x:is>
          <x:t xml:space="preserve">9</x:t>
        </x:is>
      </x:c>
      <x:c r="V178" s="2" t="n"/>
      <x:c r="W178" s="2" t="inlineStr">
        <x:is>
          <x:t xml:space="preserve">Perception +5</x:t>
        </x:is>
      </x:c>
      <x:c r="X178" s="2" t="inlineStr">
        <x:is>
          <x:t xml:space="preserve">Darkvision 120 ft.; Passive Perception 15</x:t>
        </x:is>
      </x:c>
      <x:c r="Y178" s="2" t="inlineStr">
        <x:is>
          <x:t xml:space="preserve">Sahuagin</x:t>
        </x:is>
      </x:c>
      <x:c r="Z178" s="2" t="inlineStr">
        <x:is>
          <x:t xml:space="preserve">Blood Frenzy. The sahuagin has Advantage on at- tack rolls against any creature that doesn’t have all its Hit Points. Limited Amphibiousness. The sahuagin can breathe air and water, but it must be submerged at least once every 4 hours to avoid suffocating outside water. Shark Telepathy. The sahuagin can magically control sharks within 120 feet of itself, using a special telepathy.</x:t>
        </x:is>
      </x:c>
      <x:c r="AA178" s="2" t="inlineStr">
        <x:is>
          <x:t xml:space="preserve">Multiattack. The sahuagin makes two Claw attacks. Claw. Melee Attack Roll: +3, reach 5 ft. Hit: 4 (1d6 + 1) Slashing damage.</x:t>
        </x:is>
      </x:c>
      <x:c r="AB178" s="2" t="inlineStr">
        <x:is>
          <x:t xml:space="preserve">Aquatic Charge. The sahuagin swims up to its Swim Speed straight toward an enemy it can see. Salamander</x:t>
        </x:is>
      </x:c>
      <x:c r="AC178" s="2" t="n"/>
      <x:c r="AD178" s="2" t="n"/>
      <x:c r="AE178" s="2" t="n"/>
      <x:c r="AF178" s="2" t="inlineStr">
        <x:is>
          <x:t xml:space="preserve">Imported from SRD 5.2.1 p. 321 Index of Stat Blocks</x:t>
        </x:is>
      </x:c>
      <x:c r="AG178" s="2" t="inlineStr">
        <x:is>
          <x:t xml:space="preserve">https://www.dndbeyond.com/srd</x:t>
        </x:is>
      </x:c>
    </x:row>
    <x:row r="179" ht="18" customHeight="1">
      <x:c r="A179" s="2" t="inlineStr">
        <x:is>
          <x:t xml:space="preserve">Salamander</x:t>
        </x:is>
      </x:c>
      <x:c r="B179" s="2" t="inlineStr">
        <x:is>
          <x:t xml:space="preserve">SRD 5.2.1</x:t>
        </x:is>
      </x:c>
      <x:c r="C179" s="2" t="inlineStr">
        <x:is>
          <x:t xml:space="preserve">Elemental</x:t>
        </x:is>
      </x:c>
      <x:c r="D179" s="2" t="inlineStr">
        <x:is>
          <x:t xml:space="preserve">Large</x:t>
        </x:is>
      </x:c>
      <x:c r="E179" s="2" t="inlineStr">
        <x:is>
          <x:t xml:space="preserve">Neutral Evil</x:t>
        </x:is>
      </x:c>
      <x:c r="F179" s="2" t="inlineStr">
        <x:is>
          <x:t xml:space="preserve">5</x:t>
        </x:is>
      </x:c>
      <x:c r="G179" s="2" t="inlineStr">
        <x:is>
          <x:t xml:space="preserve">1800</x:t>
        </x:is>
      </x:c>
      <x:c r="H179" s="2" t="inlineStr">
        <x:is>
          <x:t xml:space="preserve">15</x:t>
        </x:is>
      </x:c>
      <x:c r="I179" s="2" t="inlineStr">
        <x:is>
          <x:t xml:space="preserve">90</x:t>
        </x:is>
      </x:c>
      <x:c r="J179" s="2" t="inlineStr">
        <x:is>
          <x:t xml:space="preserve">30 ft., Climb 30 ft.</x:t>
        </x:is>
      </x:c>
      <x:c r="K179" s="2" t="inlineStr">
        <x:is>
          <x:t xml:space="preserve">3</x:t>
        </x:is>
      </x:c>
      <x:c r="L179" s="2" t="inlineStr">
        <x:is>
          <x:t xml:space="preserve">10</x:t>
        </x:is>
      </x:c>
      <x:c r="M179" s="2" t="inlineStr">
        <x:is>
          <x:t xml:space="preserve">15</x:t>
        </x:is>
      </x:c>
      <x:c r="N179" s="2" t="inlineStr">
        <x:is>
          <x:t xml:space="preserve">7</x:t>
        </x:is>
      </x:c>
      <x:c r="O179" s="2" t="inlineStr">
        <x:is>
          <x:t xml:space="preserve">2</x:t>
        </x:is>
      </x:c>
      <x:c r="P179" s="2" t="inlineStr">
        <x:is>
          <x:t xml:space="preserve">18</x:t>
        </x:is>
      </x:c>
      <x:c r="Q179" s="2" t="inlineStr">
        <x:is>
          <x:t xml:space="preserve">14</x:t>
        </x:is>
      </x:c>
      <x:c r="R179" s="2" t="inlineStr">
        <x:is>
          <x:t xml:space="preserve">15</x:t>
        </x:is>
      </x:c>
      <x:c r="S179" s="2" t="inlineStr">
        <x:is>
          <x:t xml:space="preserve">11</x:t>
        </x:is>
      </x:c>
      <x:c r="T179" s="2" t="inlineStr">
        <x:is>
          <x:t xml:space="preserve">10</x:t>
        </x:is>
      </x:c>
      <x:c r="U179" s="2" t="inlineStr">
        <x:is>
          <x:t xml:space="preserve">12</x:t>
        </x:is>
      </x:c>
      <x:c r="V179" s="2" t="n"/>
      <x:c r="W179" s="2" t="n"/>
      <x:c r="X179" s="2" t="inlineStr">
        <x:is>
          <x:t xml:space="preserve">Darkvision 60 ft.; Passive Perception 10</x:t>
        </x:is>
      </x:c>
      <x:c r="Y179" s="2" t="inlineStr">
        <x:is>
          <x:t xml:space="preserve">Primordial (Ignan)</x:t>
        </x:is>
      </x:c>
      <x:c r="Z179" s="2" t="inlineStr">
        <x:is>
          <x:t xml:space="preserve">Fire Aura. At the end of each of the salamander’s turns, each creature of the salamander’s choice in a 5-foot Emanation originating from the salamander takes 7 (2d6) Fire damage.</x:t>
        </x:is>
      </x:c>
      <x:c r="AA179" s="2" t="inlineStr">
        <x:is>
          <x:t xml:space="preserve">Multiattack. The salamander makes two Flame Spear attacks. It can replace one attack with a use of Constrict. Flame Spear. Melee or Ranged Attack Roll: +7, reach 5 ft. or range 20/60 ft. Hit: 13 (2d8 + 4) Piercing damage plus 7 (2d6) Fire damage. Hit or Miss: The spear magi- cally returns to the salamander’s hand immediately after a ranged attack. Constrict. Strength Saving Throw: DC 15, one Large or smaller creature the salamander can see within 10 feet. Failure: 11 (2d6 + 4) Bludgeoning damage plus 7 (2d6) Fire damage. The target has the Grappled condition (es- cape DC 14), and it has the Restrained condition until the grapple ends. Satyr</x:t>
        </x:is>
      </x:c>
      <x:c r="AB179" s="2" t="n"/>
      <x:c r="AC179" s="2" t="n"/>
      <x:c r="AD179" s="2" t="n"/>
      <x:c r="AE179" s="2" t="n"/>
      <x:c r="AF179" s="2" t="inlineStr">
        <x:is>
          <x:t xml:space="preserve">Imported from SRD 5.2.1 p. 321 Index of Stat Blocks</x:t>
        </x:is>
      </x:c>
      <x:c r="AG179" s="2" t="inlineStr">
        <x:is>
          <x:t xml:space="preserve">https://www.dndbeyond.com/srd</x:t>
        </x:is>
      </x:c>
    </x:row>
    <x:row r="180" ht="18" customHeight="1">
      <x:c r="A180" s="2" t="inlineStr">
        <x:is>
          <x:t xml:space="preserve">Satyr</x:t>
        </x:is>
      </x:c>
      <x:c r="B180" s="2" t="inlineStr">
        <x:is>
          <x:t xml:space="preserve">SRD 5.2.1</x:t>
        </x:is>
      </x:c>
      <x:c r="C180" s="2" t="inlineStr">
        <x:is>
          <x:t xml:space="preserve">Fey</x:t>
        </x:is>
      </x:c>
      <x:c r="D180" s="2" t="inlineStr">
        <x:is>
          <x:t xml:space="preserve">Medium</x:t>
        </x:is>
      </x:c>
      <x:c r="E180" s="2" t="inlineStr">
        <x:is>
          <x:t xml:space="preserve">Chaotic Neutral</x:t>
        </x:is>
      </x:c>
      <x:c r="F180" s="2" t="inlineStr">
        <x:is>
          <x:t xml:space="preserve">1/2</x:t>
        </x:is>
      </x:c>
      <x:c r="G180" s="2" t="inlineStr">
        <x:is>
          <x:t xml:space="preserve">100</x:t>
        </x:is>
      </x:c>
      <x:c r="H180" s="2" t="inlineStr">
        <x:is>
          <x:t xml:space="preserve">13</x:t>
        </x:is>
      </x:c>
      <x:c r="I180" s="2" t="inlineStr">
        <x:is>
          <x:t xml:space="preserve">31</x:t>
        </x:is>
      </x:c>
      <x:c r="J180" s="2" t="inlineStr">
        <x:is>
          <x:t xml:space="preserve">40 ft.</x:t>
        </x:is>
      </x:c>
      <x:c r="K180" s="2" t="inlineStr">
        <x:is>
          <x:t xml:space="preserve">2</x:t>
        </x:is>
      </x:c>
      <x:c r="L180" s="2" t="inlineStr">
        <x:is>
          <x:t xml:space="preserve">12</x:t>
        </x:is>
      </x:c>
      <x:c r="M180" s="2" t="inlineStr">
        <x:is>
          <x:t xml:space="preserve">12</x:t>
        </x:is>
      </x:c>
      <x:c r="N180" s="2" t="inlineStr">
        <x:is>
          <x:t xml:space="preserve">5</x:t>
        </x:is>
      </x:c>
      <x:c r="O180" s="2" t="inlineStr">
        <x:is>
          <x:t xml:space="preserve">3</x:t>
        </x:is>
      </x:c>
      <x:c r="P180" s="2" t="inlineStr">
        <x:is>
          <x:t xml:space="preserve">12</x:t>
        </x:is>
      </x:c>
      <x:c r="Q180" s="2" t="inlineStr">
        <x:is>
          <x:t xml:space="preserve">16</x:t>
        </x:is>
      </x:c>
      <x:c r="R180" s="2" t="inlineStr">
        <x:is>
          <x:t xml:space="preserve">11</x:t>
        </x:is>
      </x:c>
      <x:c r="S180" s="2" t="inlineStr">
        <x:is>
          <x:t xml:space="preserve">12</x:t>
        </x:is>
      </x:c>
      <x:c r="T180" s="2" t="inlineStr">
        <x:is>
          <x:t xml:space="preserve">10</x:t>
        </x:is>
      </x:c>
      <x:c r="U180" s="2" t="inlineStr">
        <x:is>
          <x:t xml:space="preserve">14</x:t>
        </x:is>
      </x:c>
      <x:c r="V180" s="2" t="n"/>
      <x:c r="W180" s="2" t="inlineStr">
        <x:is>
          <x:t xml:space="preserve">Perception +2, Performance +6, Stealth +5</x:t>
        </x:is>
      </x:c>
      <x:c r="X180" s="2" t="inlineStr">
        <x:is>
          <x:t xml:space="preserve">Passive Perception 12</x:t>
        </x:is>
      </x:c>
      <x:c r="Y180" s="2" t="inlineStr">
        <x:is>
          <x:t xml:space="preserve">Common, Elvish, Sylvan</x:t>
        </x:is>
      </x:c>
      <x:c r="Z180" s="2" t="inlineStr">
        <x:is>
          <x:t xml:space="preserve">Magic Resistance. The satyr has Advantage on saving throws against spells and other magical effects.</x:t>
        </x:is>
      </x:c>
      <x:c r="AA180" s="2" t="inlineStr">
        <x:is>
          <x:t xml:space="preserve">Hooves. Melee Attack Roll: +5, reach 5 ft. Hit: 5 (1d4 + 3) Bludgeoning damage. If the target is a Medium or smaller creature, the satyr pushes the target up to 10 feet straight away from itself. Mockery. Wisdom Saving Throw: DC 12, one creature the satyr can see within 90 feet. Failure: 5 (1d6 + 2) Psychic damage. Scout</x:t>
        </x:is>
      </x:c>
      <x:c r="AB180" s="2" t="n"/>
      <x:c r="AC180" s="2" t="n"/>
      <x:c r="AD180" s="2" t="n"/>
      <x:c r="AE180" s="2" t="n"/>
      <x:c r="AF180" s="2" t="inlineStr">
        <x:is>
          <x:t xml:space="preserve">Imported from SRD 5.2.1 p. 321 Index of Stat Blocks</x:t>
        </x:is>
      </x:c>
      <x:c r="AG180" s="2" t="inlineStr">
        <x:is>
          <x:t xml:space="preserve">https://www.dndbeyond.com/srd</x:t>
        </x:is>
      </x:c>
    </x:row>
    <x:row r="181" ht="18" customHeight="1">
      <x:c r="A181" s="2" t="inlineStr">
        <x:is>
          <x:t xml:space="preserve">Scout</x:t>
        </x:is>
      </x:c>
      <x:c r="B181" s="2" t="inlineStr">
        <x:is>
          <x:t xml:space="preserve">SRD 5.2.1</x:t>
        </x:is>
      </x:c>
      <x:c r="C181" s="2" t="inlineStr">
        <x:is>
          <x:t xml:space="preserve">Humanoid</x:t>
        </x:is>
      </x:c>
      <x:c r="D181" s="2" t="inlineStr">
        <x:is>
          <x:t xml:space="preserve">Medium or Small</x:t>
        </x:is>
      </x:c>
      <x:c r="E181" s="2" t="inlineStr">
        <x:is>
          <x:t xml:space="preserve">Neutral</x:t>
        </x:is>
      </x:c>
      <x:c r="F181" s="2" t="inlineStr">
        <x:is>
          <x:t xml:space="preserve">1/2</x:t>
        </x:is>
      </x:c>
      <x:c r="G181" s="2" t="inlineStr">
        <x:is>
          <x:t xml:space="preserve">100</x:t>
        </x:is>
      </x:c>
      <x:c r="H181" s="2" t="inlineStr">
        <x:is>
          <x:t xml:space="preserve">13</x:t>
        </x:is>
      </x:c>
      <x:c r="I181" s="2" t="inlineStr">
        <x:is>
          <x:t xml:space="preserve">16</x:t>
        </x:is>
      </x:c>
      <x:c r="J181" s="2" t="inlineStr">
        <x:is>
          <x:t xml:space="preserve">30 ft.</x:t>
        </x:is>
      </x:c>
      <x:c r="K181" s="2" t="inlineStr">
        <x:is>
          <x:t xml:space="preserve">2</x:t>
        </x:is>
      </x:c>
      <x:c r="L181" s="2" t="inlineStr">
        <x:is>
          <x:t xml:space="preserve">15</x:t>
        </x:is>
      </x:c>
      <x:c r="M181" s="2" t="n"/>
      <x:c r="N181" s="2" t="inlineStr">
        <x:is>
          <x:t xml:space="preserve">4</x:t>
        </x:is>
      </x:c>
      <x:c r="O181" s="2" t="inlineStr">
        <x:is>
          <x:t xml:space="preserve">2</x:t>
        </x:is>
      </x:c>
      <x:c r="P181" s="2" t="inlineStr">
        <x:is>
          <x:t xml:space="preserve">11</x:t>
        </x:is>
      </x:c>
      <x:c r="Q181" s="2" t="inlineStr">
        <x:is>
          <x:t xml:space="preserve">14</x:t>
        </x:is>
      </x:c>
      <x:c r="R181" s="2" t="inlineStr">
        <x:is>
          <x:t xml:space="preserve">12</x:t>
        </x:is>
      </x:c>
      <x:c r="S181" s="2" t="inlineStr">
        <x:is>
          <x:t xml:space="preserve">11</x:t>
        </x:is>
      </x:c>
      <x:c r="T181" s="2" t="inlineStr">
        <x:is>
          <x:t xml:space="preserve">13</x:t>
        </x:is>
      </x:c>
      <x:c r="U181" s="2" t="inlineStr">
        <x:is>
          <x:t xml:space="preserve">11</x:t>
        </x:is>
      </x:c>
      <x:c r="V181" s="2" t="n"/>
      <x:c r="W181" s="2" t="inlineStr">
        <x:is>
          <x:t xml:space="preserve">Nature +4, Perception +5, Stealth +6, Survival +5</x:t>
        </x:is>
      </x:c>
      <x:c r="X181" s="2" t="inlineStr">
        <x:is>
          <x:t xml:space="preserve">Passive Perception 15</x:t>
        </x:is>
      </x:c>
      <x:c r="Y181" s="2" t="inlineStr">
        <x:is>
          <x:t xml:space="preserve">Common plus one other language</x:t>
        </x:is>
      </x:c>
      <x:c r="Z181" s="2" t="n"/>
      <x:c r="AA181" s="2" t="inlineStr">
        <x:is>
          <x:t xml:space="preserve">Multiattack. The scout makes two attacks, using Shorts- word and Longbow in any combination. Shortsword. Melee Attack Roll: +4, reach 5 ft. Hit: 5 (1d6 + 2) Piercing damage. Longbow. Ranged Attack Roll: +4, range 150/600 ft. Hit: 6 (1d8 + 2) Piercing damage. Sea Hag</x:t>
        </x:is>
      </x:c>
      <x:c r="AB181" s="2" t="n"/>
      <x:c r="AC181" s="2" t="n"/>
      <x:c r="AD181" s="2" t="n"/>
      <x:c r="AE181" s="2" t="n"/>
      <x:c r="AF181" s="2" t="inlineStr">
        <x:is>
          <x:t xml:space="preserve">Imported from SRD 5.2.1 p. 322 Index of Stat Blocks</x:t>
        </x:is>
      </x:c>
      <x:c r="AG181" s="2" t="inlineStr">
        <x:is>
          <x:t xml:space="preserve">https://www.dndbeyond.com/srd</x:t>
        </x:is>
      </x:c>
    </x:row>
    <x:row r="182" ht="18" customHeight="1">
      <x:c r="A182" s="2" t="inlineStr">
        <x:is>
          <x:t xml:space="preserve">Sea Hag</x:t>
        </x:is>
      </x:c>
      <x:c r="B182" s="2" t="inlineStr">
        <x:is>
          <x:t xml:space="preserve">SRD 5.2.1</x:t>
        </x:is>
      </x:c>
      <x:c r="C182" s="2" t="inlineStr">
        <x:is>
          <x:t xml:space="preserve">Fey</x:t>
        </x:is>
      </x:c>
      <x:c r="D182" s="2" t="inlineStr">
        <x:is>
          <x:t xml:space="preserve">Medium</x:t>
        </x:is>
      </x:c>
      <x:c r="E182" s="2" t="inlineStr">
        <x:is>
          <x:t xml:space="preserve">Chaotic Evil</x:t>
        </x:is>
      </x:c>
      <x:c r="F182" s="2" t="inlineStr">
        <x:is>
          <x:t xml:space="preserve">2</x:t>
        </x:is>
      </x:c>
      <x:c r="G182" s="2" t="inlineStr">
        <x:is>
          <x:t xml:space="preserve">450</x:t>
        </x:is>
      </x:c>
      <x:c r="H182" s="2" t="inlineStr">
        <x:is>
          <x:t xml:space="preserve">14</x:t>
        </x:is>
      </x:c>
      <x:c r="I182" s="2" t="inlineStr">
        <x:is>
          <x:t xml:space="preserve">52</x:t>
        </x:is>
      </x:c>
      <x:c r="J182" s="2" t="inlineStr">
        <x:is>
          <x:t xml:space="preserve">30 ft., Swim 40 ft.</x:t>
        </x:is>
      </x:c>
      <x:c r="K182" s="2" t="inlineStr">
        <x:is>
          <x:t xml:space="preserve">2</x:t>
        </x:is>
      </x:c>
      <x:c r="L182" s="2" t="inlineStr">
        <x:is>
          <x:t xml:space="preserve">11</x:t>
        </x:is>
      </x:c>
      <x:c r="M182" s="2" t="inlineStr">
        <x:is>
          <x:t xml:space="preserve">11</x:t>
        </x:is>
      </x:c>
      <x:c r="N182" s="2" t="inlineStr">
        <x:is>
          <x:t xml:space="preserve">5</x:t>
        </x:is>
      </x:c>
      <x:c r="O182" s="2" t="inlineStr">
        <x:is>
          <x:t xml:space="preserve">1</x:t>
        </x:is>
      </x:c>
      <x:c r="P182" s="2" t="inlineStr">
        <x:is>
          <x:t xml:space="preserve">16</x:t>
        </x:is>
      </x:c>
      <x:c r="Q182" s="2" t="inlineStr">
        <x:is>
          <x:t xml:space="preserve">13</x:t>
        </x:is>
      </x:c>
      <x:c r="R182" s="2" t="inlineStr">
        <x:is>
          <x:t xml:space="preserve">16</x:t>
        </x:is>
      </x:c>
      <x:c r="S182" s="2" t="inlineStr">
        <x:is>
          <x:t xml:space="preserve">12</x:t>
        </x:is>
      </x:c>
      <x:c r="T182" s="2" t="inlineStr">
        <x:is>
          <x:t xml:space="preserve">12</x:t>
        </x:is>
      </x:c>
      <x:c r="U182" s="2" t="inlineStr">
        <x:is>
          <x:t xml:space="preserve">13</x:t>
        </x:is>
      </x:c>
      <x:c r="V182" s="2" t="n"/>
      <x:c r="W182" s="2" t="n"/>
      <x:c r="X182" s="2" t="inlineStr">
        <x:is>
          <x:t xml:space="preserve">Darkvision 60 ft.; Passive Perception 11</x:t>
        </x:is>
      </x:c>
      <x:c r="Y182" s="2" t="inlineStr">
        <x:is>
          <x:t xml:space="preserve">Common, Giant, Primordial (Aquan)</x:t>
        </x:is>
      </x:c>
      <x:c r="Z182" s="2" t="inlineStr">
        <x:is>
          <x:t xml:space="preserve">Amphibious. The hag can breathe air and water. Coven Magic. While within 30 feet of at least two hag allies, the hag can cast one of the following spells, requiring no Material components, using the spell’s normal casting time, and using Intelligence as the spell- casting ability (spell save DC 11): Augury, Find Familiar, Identify, Locate Object, Scrying, or Unseen Servant. The hag must finish a Long Rest before using this trait to cast that spell again. Vile Appearance. Wisdom Saving Throw: DC 11, any Beast or Humanoid that starts its turn within 30 feet of the hag and can see the hag’s true form. Failure: The target has the Frightened condition until the start of its next turn. Success: The target is immune to this hag’s Vile Appearance for 24 hours.</x:t>
        </x:is>
      </x:c>
      <x:c r="AA182" s="2" t="inlineStr">
        <x:is>
          <x:t xml:space="preserve">Claw. Melee Attack Roll: +5, reach 5 ft. Hit: 10 (2d6 + 3) Slashing damage. Death Glare (Recharge 5-6). Wisdom Saving Throw: DC 11, one Frightened creature the hag can see within 30 feet. Failure: If the target has 20 Hit Points or fewer, it drops to 0 Hit Points. Otherwise, the target takes 13 (3d8) Psychic damage. Illusory Appearance. The hag casts Disguise Self, using Constitution as the spellcasting ability (spell save DC 13). The spell’s duration is 24 hours. Shadow</x:t>
        </x:is>
      </x:c>
      <x:c r="AB182" s="2" t="n"/>
      <x:c r="AC182" s="2" t="n"/>
      <x:c r="AD182" s="2" t="n"/>
      <x:c r="AE182" s="2" t="n"/>
      <x:c r="AF182" s="2" t="inlineStr">
        <x:is>
          <x:t xml:space="preserve">Imported from SRD 5.2.1 p. 322 Index of Stat Blocks</x:t>
        </x:is>
      </x:c>
      <x:c r="AG182" s="2" t="inlineStr">
        <x:is>
          <x:t xml:space="preserve">https://www.dndbeyond.com/srd</x:t>
        </x:is>
      </x:c>
    </x:row>
    <x:row r="183" ht="18" customHeight="1">
      <x:c r="A183" s="2" t="inlineStr">
        <x:is>
          <x:t xml:space="preserve">Shadow</x:t>
        </x:is>
      </x:c>
      <x:c r="B183" s="2" t="inlineStr">
        <x:is>
          <x:t xml:space="preserve">SRD 5.2.1</x:t>
        </x:is>
      </x:c>
      <x:c r="C183" s="2" t="inlineStr">
        <x:is>
          <x:t xml:space="preserve">Undead</x:t>
        </x:is>
      </x:c>
      <x:c r="D183" s="2" t="inlineStr">
        <x:is>
          <x:t xml:space="preserve">Medium</x:t>
        </x:is>
      </x:c>
      <x:c r="E183" s="2" t="inlineStr">
        <x:is>
          <x:t xml:space="preserve">Chaotic Evil</x:t>
        </x:is>
      </x:c>
      <x:c r="F183" s="2" t="inlineStr">
        <x:is>
          <x:t xml:space="preserve">1/2</x:t>
        </x:is>
      </x:c>
      <x:c r="G183" s="2" t="inlineStr">
        <x:is>
          <x:t xml:space="preserve">100</x:t>
        </x:is>
      </x:c>
      <x:c r="H183" s="2" t="inlineStr">
        <x:is>
          <x:t xml:space="preserve">12</x:t>
        </x:is>
      </x:c>
      <x:c r="I183" s="2" t="inlineStr">
        <x:is>
          <x:t xml:space="preserve">27</x:t>
        </x:is>
      </x:c>
      <x:c r="J183" s="2" t="inlineStr">
        <x:is>
          <x:t xml:space="preserve">40 ft.</x:t>
        </x:is>
      </x:c>
      <x:c r="K183" s="2" t="inlineStr">
        <x:is>
          <x:t xml:space="preserve">2</x:t>
        </x:is>
      </x:c>
      <x:c r="L183" s="2" t="inlineStr">
        <x:is>
          <x:t xml:space="preserve">10</x:t>
        </x:is>
      </x:c>
      <x:c r="M183" s="2" t="n"/>
      <x:c r="N183" s="2" t="inlineStr">
        <x:is>
          <x:t xml:space="preserve">4</x:t>
        </x:is>
      </x:c>
      <x:c r="O183" s="2" t="inlineStr">
        <x:is>
          <x:t xml:space="preserve">2</x:t>
        </x:is>
      </x:c>
      <x:c r="P183" s="2" t="inlineStr">
        <x:is>
          <x:t xml:space="preserve">6</x:t>
        </x:is>
      </x:c>
      <x:c r="Q183" s="2" t="inlineStr">
        <x:is>
          <x:t xml:space="preserve">14</x:t>
        </x:is>
      </x:c>
      <x:c r="R183" s="2" t="inlineStr">
        <x:is>
          <x:t xml:space="preserve">13</x:t>
        </x:is>
      </x:c>
      <x:c r="S183" s="2" t="inlineStr">
        <x:is>
          <x:t xml:space="preserve">6</x:t>
        </x:is>
      </x:c>
      <x:c r="T183" s="2" t="inlineStr">
        <x:is>
          <x:t xml:space="preserve">10</x:t>
        </x:is>
      </x:c>
      <x:c r="U183" s="2" t="inlineStr">
        <x:is>
          <x:t xml:space="preserve">8</x:t>
        </x:is>
      </x:c>
      <x:c r="V183" s="2" t="n"/>
      <x:c r="W183" s="2" t="inlineStr">
        <x:is>
          <x:t xml:space="preserve">Stealth +6</x:t>
        </x:is>
      </x:c>
      <x:c r="X183" s="2" t="inlineStr">
        <x:is>
          <x:t xml:space="preserve">Darkvision 60 ft.; Passive Perception 10</x:t>
        </x:is>
      </x:c>
      <x:c r="Y183" s="2" t="inlineStr">
        <x:is>
          <x:t xml:space="preserve">None</x:t>
        </x:is>
      </x:c>
      <x:c r="Z183" s="2" t="inlineStr">
        <x:is>
          <x:t xml:space="preserve">Amorphous. The shadow can move through a space as narrow as 1 inch without expending extra move- ment to do so. Sunlight Weakness. While in sunlight, the shadow has Disadvantage on D20 Tests.</x:t>
        </x:is>
      </x:c>
      <x:c r="AA183" s="2" t="inlineStr">
        <x:is>
          <x:t xml:space="preserve">Draining Swipe. Melee Attack Roll: +4, reach 5 ft. Hit: 5 (1d6 + 2) Necrotic damage, and the target’s Strength score decreases by 1d4. The target dies if this reduces that score to 0. If a Humanoid is slain by this attack, a Shadow rises from the corpse 1d4 hours later.</x:t>
        </x:is>
      </x:c>
      <x:c r="AB183" s="2" t="inlineStr">
        <x:is>
          <x:t xml:space="preserve">Shadow Stealth. While in Dim Light or Darkness, the shadow takes the Hide action. Shambling Mound</x:t>
        </x:is>
      </x:c>
      <x:c r="AC183" s="2" t="n"/>
      <x:c r="AD183" s="2" t="n"/>
      <x:c r="AE183" s="2" t="n"/>
      <x:c r="AF183" s="2" t="inlineStr">
        <x:is>
          <x:t xml:space="preserve">Imported from SRD 5.2.1 p. 322 Index of Stat Blocks</x:t>
        </x:is>
      </x:c>
      <x:c r="AG183" s="2" t="inlineStr">
        <x:is>
          <x:t xml:space="preserve">https://www.dndbeyond.com/srd</x:t>
        </x:is>
      </x:c>
    </x:row>
    <x:row r="184" ht="18" customHeight="1">
      <x:c r="A184" s="2" t="inlineStr">
        <x:is>
          <x:t xml:space="preserve">Shambling Mound</x:t>
        </x:is>
      </x:c>
      <x:c r="B184" s="2" t="inlineStr">
        <x:is>
          <x:t xml:space="preserve">SRD 5.2.1</x:t>
        </x:is>
      </x:c>
      <x:c r="C184" s="2" t="inlineStr">
        <x:is>
          <x:t xml:space="preserve">Plant</x:t>
        </x:is>
      </x:c>
      <x:c r="D184" s="2" t="inlineStr">
        <x:is>
          <x:t xml:space="preserve">Large</x:t>
        </x:is>
      </x:c>
      <x:c r="E184" s="2" t="inlineStr">
        <x:is>
          <x:t xml:space="preserve">Unaligned</x:t>
        </x:is>
      </x:c>
      <x:c r="F184" s="2" t="inlineStr">
        <x:is>
          <x:t xml:space="preserve">5</x:t>
        </x:is>
      </x:c>
      <x:c r="G184" s="2" t="inlineStr">
        <x:is>
          <x:t xml:space="preserve">1800</x:t>
        </x:is>
      </x:c>
      <x:c r="H184" s="2" t="inlineStr">
        <x:is>
          <x:t xml:space="preserve">15</x:t>
        </x:is>
      </x:c>
      <x:c r="I184" s="2" t="inlineStr">
        <x:is>
          <x:t xml:space="preserve">110</x:t>
        </x:is>
      </x:c>
      <x:c r="J184" s="2" t="inlineStr">
        <x:is>
          <x:t xml:space="preserve">30 ft., Swim 20 ft.</x:t>
        </x:is>
      </x:c>
      <x:c r="K184" s="2" t="inlineStr">
        <x:is>
          <x:t xml:space="preserve">3</x:t>
        </x:is>
      </x:c>
      <x:c r="L184" s="2" t="inlineStr">
        <x:is>
          <x:t xml:space="preserve">10</x:t>
        </x:is>
      </x:c>
      <x:c r="M184" s="2" t="inlineStr">
        <x:is>
          <x:t xml:space="preserve">15</x:t>
        </x:is>
      </x:c>
      <x:c r="N184" s="2" t="inlineStr">
        <x:is>
          <x:t xml:space="preserve">7</x:t>
        </x:is>
      </x:c>
      <x:c r="O184" s="2" t="inlineStr">
        <x:is>
          <x:t xml:space="preserve">-1</x:t>
        </x:is>
      </x:c>
      <x:c r="P184" s="2" t="inlineStr">
        <x:is>
          <x:t xml:space="preserve">18</x:t>
        </x:is>
      </x:c>
      <x:c r="Q184" s="2" t="inlineStr">
        <x:is>
          <x:t xml:space="preserve">8</x:t>
        </x:is>
      </x:c>
      <x:c r="R184" s="2" t="inlineStr">
        <x:is>
          <x:t xml:space="preserve">16</x:t>
        </x:is>
      </x:c>
      <x:c r="S184" s="2" t="inlineStr">
        <x:is>
          <x:t xml:space="preserve">5</x:t>
        </x:is>
      </x:c>
      <x:c r="T184" s="2" t="inlineStr">
        <x:is>
          <x:t xml:space="preserve">10</x:t>
        </x:is>
      </x:c>
      <x:c r="U184" s="2" t="inlineStr">
        <x:is>
          <x:t xml:space="preserve">5</x:t>
        </x:is>
      </x:c>
      <x:c r="V184" s="2" t="n"/>
      <x:c r="W184" s="2" t="inlineStr">
        <x:is>
          <x:t xml:space="preserve">Stealth +3</x:t>
        </x:is>
      </x:c>
      <x:c r="X184" s="2" t="inlineStr">
        <x:is>
          <x:t xml:space="preserve">Blindsight 60 ft.; Passive Perception 10</x:t>
        </x:is>
      </x:c>
      <x:c r="Y184" s="2" t="inlineStr">
        <x:is>
          <x:t xml:space="preserve">None</x:t>
        </x:is>
      </x:c>
      <x:c r="Z184" s="2" t="inlineStr">
        <x:is>
          <x:t xml:space="preserve">Lightning Absorption. Whenever the shambling mound is subjected to Lightning damage, it regains a number of Hit Points equal to the Lightning damage dealt.</x:t>
        </x:is>
      </x:c>
      <x:c r="AA184" s="2" t="inlineStr">
        <x:is>
          <x:t xml:space="preserve">Multiattack. The shambling mound makes three Charged Tendril attacks. It can replace one attack with a use of Engulf. Charged Tendril. Melee Attack Roll: +7, reach 10 ft. Hit: 7 (1d6 + 4) Bludgeoning damage plus 5 (2d4) Lightning damage. If the target is a Medium or smaller creature, the shambling mound pulls the target 5 feet straight toward itself. Engulf. Strength Saving Throw: DC 15, one Medium or smaller creature within 5 feet. Failure: The target is pulled into the shambling mound’s space and has the Grappled condition (escape DC 14). Until the grapple ends, the target has the Blinded and Restrained con- ditions, and it takes 10 (3d6) Lightning damage at the start of each of its turns. When the shambling mound moves, the Grappled target moves with it, costing it no extra movement. The shambling mound can have only one creature Grappled by this action at a time. Shield Guardian</x:t>
        </x:is>
      </x:c>
      <x:c r="AB184" s="2" t="n"/>
      <x:c r="AC184" s="2" t="n"/>
      <x:c r="AD184" s="2" t="n"/>
      <x:c r="AE184" s="2" t="n"/>
      <x:c r="AF184" s="2" t="inlineStr">
        <x:is>
          <x:t xml:space="preserve">Imported from SRD 5.2.1 p. 323 Index of Stat Blocks</x:t>
        </x:is>
      </x:c>
      <x:c r="AG184" s="2" t="inlineStr">
        <x:is>
          <x:t xml:space="preserve">https://www.dndbeyond.com/srd</x:t>
        </x:is>
      </x:c>
    </x:row>
    <x:row r="185" ht="18" customHeight="1">
      <x:c r="A185" s="2" t="inlineStr">
        <x:is>
          <x:t xml:space="preserve">Shield Guardian</x:t>
        </x:is>
      </x:c>
      <x:c r="B185" s="2" t="inlineStr">
        <x:is>
          <x:t xml:space="preserve">SRD 5.2.1</x:t>
        </x:is>
      </x:c>
      <x:c r="C185" s="2" t="inlineStr">
        <x:is>
          <x:t xml:space="preserve">Construct</x:t>
        </x:is>
      </x:c>
      <x:c r="D185" s="2" t="inlineStr">
        <x:is>
          <x:t xml:space="preserve">Large</x:t>
        </x:is>
      </x:c>
      <x:c r="E185" s="2" t="inlineStr">
        <x:is>
          <x:t xml:space="preserve">Unaligned</x:t>
        </x:is>
      </x:c>
      <x:c r="F185" s="2" t="inlineStr">
        <x:is>
          <x:t xml:space="preserve">7</x:t>
        </x:is>
      </x:c>
      <x:c r="G185" s="2" t="inlineStr">
        <x:is>
          <x:t xml:space="preserve">2900</x:t>
        </x:is>
      </x:c>
      <x:c r="H185" s="2" t="inlineStr">
        <x:is>
          <x:t xml:space="preserve">17</x:t>
        </x:is>
      </x:c>
      <x:c r="I185" s="2" t="inlineStr">
        <x:is>
          <x:t xml:space="preserve">142</x:t>
        </x:is>
      </x:c>
      <x:c r="J185" s="2" t="inlineStr">
        <x:is>
          <x:t xml:space="preserve">30 ft.</x:t>
        </x:is>
      </x:c>
      <x:c r="K185" s="2" t="inlineStr">
        <x:is>
          <x:t xml:space="preserve">3</x:t>
        </x:is>
      </x:c>
      <x:c r="L185" s="2" t="inlineStr">
        <x:is>
          <x:t xml:space="preserve">10</x:t>
        </x:is>
      </x:c>
      <x:c r="M185" s="2" t="n"/>
      <x:c r="N185" s="2" t="inlineStr">
        <x:is>
          <x:t xml:space="preserve">7</x:t>
        </x:is>
      </x:c>
      <x:c r="O185" s="2" t="inlineStr">
        <x:is>
          <x:t xml:space="preserve">-1</x:t>
        </x:is>
      </x:c>
      <x:c r="P185" s="2" t="inlineStr">
        <x:is>
          <x:t xml:space="preserve">18</x:t>
        </x:is>
      </x:c>
      <x:c r="Q185" s="2" t="inlineStr">
        <x:is>
          <x:t xml:space="preserve">8</x:t>
        </x:is>
      </x:c>
      <x:c r="R185" s="2" t="inlineStr">
        <x:is>
          <x:t xml:space="preserve">18</x:t>
        </x:is>
      </x:c>
      <x:c r="S185" s="2" t="inlineStr">
        <x:is>
          <x:t xml:space="preserve">7</x:t>
        </x:is>
      </x:c>
      <x:c r="T185" s="2" t="inlineStr">
        <x:is>
          <x:t xml:space="preserve">10</x:t>
        </x:is>
      </x:c>
      <x:c r="U185" s="2" t="inlineStr">
        <x:is>
          <x:t xml:space="preserve">3</x:t>
        </x:is>
      </x:c>
      <x:c r="V185" s="2" t="n"/>
      <x:c r="W185" s="2" t="n"/>
      <x:c r="X185" s="2" t="inlineStr">
        <x:is>
          <x:t xml:space="preserve">Blindsight 10 ft., Darkvision 60 ft.; Passive Perception 10</x:t>
        </x:is>
      </x:c>
      <x:c r="Y185" s="2" t="inlineStr">
        <x:is>
          <x:t xml:space="preserve">Understands commands given in any language but can’t speak</x:t>
        </x:is>
      </x:c>
      <x:c r="Z185" s="2" t="inlineStr">
        <x:is>
          <x:t xml:space="preserve">Bound. The guardian is magically bound to an amulet. While the guardian and its amulet are on the same plane of existence, the amulet’s wearer can telepathi- cally call the guardian to travel to it, and the guardian knows the distance and direction to the amulet. If the guardian is within 60 feet of the amulet’s wearer, half of any damage the wearer takes (round up) is transferred to the guardian. Regeneration. The guardian regains 10 Hit Points at the start of each of its turns if it has at least 1 Hit Point. Spell Storing. A spellcaster who wears the guardian’s amulet can cause the guardian to store one spell of level 4 or lower. To do so, the wearer must cast the spell on the guardian while within 5 feet of it. The spell has no effect but is stored within the guardian. Any previously stored spell is lost when a new spell is stored. The guardian can cast the spell stored with any parameters set by the original caster, requiring no spell components and using the caster’s spellcasting ability. The stored spell is then lost.</x:t>
        </x:is>
      </x:c>
      <x:c r="AA185" s="2" t="inlineStr">
        <x:is>
          <x:t xml:space="preserve">Multiattack. The guardian makes two Fist attacks. Fist. Melee Attack Roll: +7, reach 10 ft. Hit: 11 (2d6 + 4) Bludgeoning damage plus 7 (2d6) Force damage.</x:t>
        </x:is>
      </x:c>
      <x:c r="AB185" s="2" t="n"/>
      <x:c r="AC185" s="2" t="inlineStr">
        <x:is>
          <x:t xml:space="preserve">Protection. Trigger: An attack roll hits the wearer of the guardian’s amulet while the wearer is within 5 feet of the guardian. Response: The wearer gains a +5 bonus to AC, including against the triggering attack and pos- sibly causing it to miss, until the start of the guardian’s next turn. Silver Dragons</x:t>
        </x:is>
      </x:c>
      <x:c r="AD185" s="2" t="n"/>
      <x:c r="AE185" s="2" t="n"/>
      <x:c r="AF185" s="2" t="inlineStr">
        <x:is>
          <x:t xml:space="preserve">Imported from SRD 5.2.1 p. 323 Index of Stat Blocks</x:t>
        </x:is>
      </x:c>
      <x:c r="AG185" s="2" t="inlineStr">
        <x:is>
          <x:t xml:space="preserve">https://www.dndbeyond.com/srd</x:t>
        </x:is>
      </x:c>
    </x:row>
    <x:row r="186" ht="18" customHeight="1">
      <x:c r="A186" s="2" t="inlineStr">
        <x:is>
          <x:t xml:space="preserve">Silver Dragon Wyrmling</x:t>
        </x:is>
      </x:c>
      <x:c r="B186" s="2" t="inlineStr">
        <x:is>
          <x:t xml:space="preserve">SRD 5.2.1</x:t>
        </x:is>
      </x:c>
      <x:c r="C186" s="2" t="inlineStr">
        <x:is>
          <x:t xml:space="preserve">Dragon (Metallic)</x:t>
        </x:is>
      </x:c>
      <x:c r="D186" s="2" t="inlineStr">
        <x:is>
          <x:t xml:space="preserve">Medium</x:t>
        </x:is>
      </x:c>
      <x:c r="E186" s="2" t="inlineStr">
        <x:is>
          <x:t xml:space="preserve">Lawful Good</x:t>
        </x:is>
      </x:c>
      <x:c r="F186" s="2" t="n"/>
      <x:c r="G186" s="2" t="n"/>
      <x:c r="H186" s="2" t="inlineStr">
        <x:is>
          <x:t xml:space="preserve">17</x:t>
        </x:is>
      </x:c>
      <x:c r="I186" s="2" t="inlineStr">
        <x:is>
          <x:t xml:space="preserve">45</x:t>
        </x:is>
      </x:c>
      <x:c r="J186" s="2" t="inlineStr">
        <x:is>
          <x:t xml:space="preserve">30 ft., Fly 60 ft.</x:t>
        </x:is>
      </x:c>
      <x:c r="K186" s="2" t="n"/>
      <x:c r="L186" s="2" t="inlineStr">
        <x:is>
          <x:t xml:space="preserve">14</x:t>
        </x:is>
      </x:c>
      <x:c r="M186" s="2" t="inlineStr">
        <x:is>
          <x:t xml:space="preserve">13</x:t>
        </x:is>
      </x:c>
      <x:c r="N186" s="2" t="inlineStr">
        <x:is>
          <x:t xml:space="preserve">6</x:t>
        </x:is>
      </x:c>
      <x:c r="O186" s="2" t="inlineStr">
        <x:is>
          <x:t xml:space="preserve">2</x:t>
        </x:is>
      </x:c>
      <x:c r="P186" s="2" t="inlineStr">
        <x:is>
          <x:t xml:space="preserve">19</x:t>
        </x:is>
      </x:c>
      <x:c r="Q186" s="2" t="inlineStr">
        <x:is>
          <x:t xml:space="preserve">10</x:t>
        </x:is>
      </x:c>
      <x:c r="R186" s="2" t="inlineStr">
        <x:is>
          <x:t xml:space="preserve">17</x:t>
        </x:is>
      </x:c>
      <x:c r="S186" s="2" t="inlineStr">
        <x:is>
          <x:t xml:space="preserve">12</x:t>
        </x:is>
      </x:c>
      <x:c r="T186" s="2" t="inlineStr">
        <x:is>
          <x:t xml:space="preserve">11</x:t>
        </x:is>
      </x:c>
      <x:c r="U186" s="2" t="inlineStr">
        <x:is>
          <x:t xml:space="preserve">15</x:t>
        </x:is>
      </x:c>
      <x:c r="V186" s="2" t="inlineStr">
        <x:is>
          <x:t xml:space="preserve">DEX +2, WIS +2</x:t>
        </x:is>
      </x:c>
      <x:c r="W186" s="2" t="inlineStr">
        <x:is>
          <x:t xml:space="preserve">Perception +4, Stealth +2</x:t>
        </x:is>
      </x:c>
      <x:c r="X186" s="2" t="inlineStr">
        <x:is>
          <x:t xml:space="preserve">Blindsight 10 ft., Darkvision 60 ft.; Passive Perception 14</x:t>
        </x:is>
      </x:c>
      <x:c r="Y186" s="2" t="inlineStr">
        <x:is>
          <x:t xml:space="preserve">Draconic</x:t>
        </x:is>
      </x:c>
      <x:c r="Z186" s="2" t="n"/>
      <x:c r="AA186" s="2" t="inlineStr">
        <x:is>
          <x:t xml:space="preserve">Multiattack. The dragon makes two Rend attacks. Rend. Melee Attack Roll: +6, reach 5 ft. Hit: 9 (1d10 + 4) Piercing damage. Cold Breath (Recharge 5-6). Constitution Saving Throw: DC 13, each creature in a 15-foot Cone. Failure: 18 (4d8) Cold damage. Success: Half damage. Paralyzing Breath. Constitution Saving Throw: DC 13, each creature in a 15-foot Cone. First Failure: The target has the Incapacitated condition until the end of its next turn, when it repeats the save. Second Failure: The tar- get has the Paralyzed condition, and it repeats the save at the end of each of its turns, ending the effect on itself on a success. After 1 minute, it succeeds automatically.</x:t>
        </x:is>
      </x:c>
      <x:c r="AB186" s="2" t="n"/>
      <x:c r="AC186" s="2" t="n"/>
      <x:c r="AD186" s="2" t="n"/>
      <x:c r="AE186" s="2" t="n"/>
      <x:c r="AF186" s="2" t="inlineStr">
        <x:is>
          <x:t xml:space="preserve">Imported from SRD 5.2.1 p. 324 Index of Stat Blocks</x:t>
        </x:is>
      </x:c>
      <x:c r="AG186" s="2" t="inlineStr">
        <x:is>
          <x:t xml:space="preserve">https://www.dndbeyond.com/srd</x:t>
        </x:is>
      </x:c>
    </x:row>
    <x:row r="187" ht="18" customHeight="1">
      <x:c r="A187" s="2" t="inlineStr">
        <x:is>
          <x:t xml:space="preserve">Young Silver Dragon</x:t>
        </x:is>
      </x:c>
      <x:c r="B187" s="2" t="inlineStr">
        <x:is>
          <x:t xml:space="preserve">SRD 5.2.1</x:t>
        </x:is>
      </x:c>
      <x:c r="C187" s="2" t="inlineStr">
        <x:is>
          <x:t xml:space="preserve">Dragon (Metallic)</x:t>
        </x:is>
      </x:c>
      <x:c r="D187" s="2" t="inlineStr">
        <x:is>
          <x:t xml:space="preserve">Large</x:t>
        </x:is>
      </x:c>
      <x:c r="E187" s="2" t="inlineStr">
        <x:is>
          <x:t xml:space="preserve">Lawful Good</x:t>
        </x:is>
      </x:c>
      <x:c r="F187" s="2" t="inlineStr">
        <x:is>
          <x:t xml:space="preserve">9</x:t>
        </x:is>
      </x:c>
      <x:c r="G187" s="2" t="inlineStr">
        <x:is>
          <x:t xml:space="preserve">5000</x:t>
        </x:is>
      </x:c>
      <x:c r="H187" s="2" t="inlineStr">
        <x:is>
          <x:t xml:space="preserve">18</x:t>
        </x:is>
      </x:c>
      <x:c r="I187" s="2" t="inlineStr">
        <x:is>
          <x:t xml:space="preserve">168</x:t>
        </x:is>
      </x:c>
      <x:c r="J187" s="2" t="inlineStr">
        <x:is>
          <x:t xml:space="preserve">40 ft., Fly 80 ft.</x:t>
        </x:is>
      </x:c>
      <x:c r="K187" s="2" t="inlineStr">
        <x:is>
          <x:t xml:space="preserve">4</x:t>
        </x:is>
      </x:c>
      <x:c r="L187" s="2" t="inlineStr">
        <x:is>
          <x:t xml:space="preserve">18</x:t>
        </x:is>
      </x:c>
      <x:c r="M187" s="2" t="inlineStr">
        <x:is>
          <x:t xml:space="preserve">17</x:t>
        </x:is>
      </x:c>
      <x:c r="N187" s="2" t="inlineStr">
        <x:is>
          <x:t xml:space="preserve">10</x:t>
        </x:is>
      </x:c>
      <x:c r="O187" s="2" t="inlineStr">
        <x:is>
          <x:t xml:space="preserve">4</x:t>
        </x:is>
      </x:c>
      <x:c r="P187" s="2" t="inlineStr">
        <x:is>
          <x:t xml:space="preserve">23</x:t>
        </x:is>
      </x:c>
      <x:c r="Q187" s="2" t="inlineStr">
        <x:is>
          <x:t xml:space="preserve">10</x:t>
        </x:is>
      </x:c>
      <x:c r="R187" s="2" t="inlineStr">
        <x:is>
          <x:t xml:space="preserve">21</x:t>
        </x:is>
      </x:c>
      <x:c r="S187" s="2" t="inlineStr">
        <x:is>
          <x:t xml:space="preserve">14</x:t>
        </x:is>
      </x:c>
      <x:c r="T187" s="2" t="inlineStr">
        <x:is>
          <x:t xml:space="preserve">11</x:t>
        </x:is>
      </x:c>
      <x:c r="U187" s="2" t="inlineStr">
        <x:is>
          <x:t xml:space="preserve">19</x:t>
        </x:is>
      </x:c>
      <x:c r="V187" s="2" t="inlineStr">
        <x:is>
          <x:t xml:space="preserve">DEX +4, WIS +4</x:t>
        </x:is>
      </x:c>
      <x:c r="W187" s="2" t="inlineStr">
        <x:is>
          <x:t xml:space="preserve">History +6, Perception +8, Stealth +4</x:t>
        </x:is>
      </x:c>
      <x:c r="X187" s="2" t="inlineStr">
        <x:is>
          <x:t xml:space="preserve">Blindsight 30 ft., Darkvision 120 ft.; Passive Perception 18</x:t>
        </x:is>
      </x:c>
      <x:c r="Y187" s="2" t="inlineStr">
        <x:is>
          <x:t xml:space="preserve">Common, Draconic</x:t>
        </x:is>
      </x:c>
      <x:c r="Z187" s="2" t="n"/>
      <x:c r="AA187" s="2" t="inlineStr">
        <x:is>
          <x:t xml:space="preserve">Multiattack. The dragon makes three Rend attacks. It can replace one attack with a use of Paralyzing Breath. Rend. Melee Attack Roll: +10, reach 10 ft. Hit: 15 (2d8 + 6) Slashing damage. Cold Breath (Recharge 5-6). Constitution Saving Throw: DC 17, each creature in a 30-foot Cone. Failure: 49 (11d8) Cold damage. Success: Half damage. Paralyzing Breath. Constitution Saving Throw: DC 17, each creature in a 30-foot Cone. First Failure: The target has the Incapacitated condition until the end of its next turn, when it repeats the save. Second Failure: The tar- get has the Paralyzed condition, and it repeats the save at the end of each of its turns, ending the effect on itself on a success. After 1 minute, it succeeds automatically.</x:t>
        </x:is>
      </x:c>
      <x:c r="AB187" s="2" t="n"/>
      <x:c r="AC187" s="2" t="n"/>
      <x:c r="AD187" s="2" t="n"/>
      <x:c r="AE187" s="2" t="n"/>
      <x:c r="AF187" s="2" t="inlineStr">
        <x:is>
          <x:t xml:space="preserve">Imported from SRD 5.2.1 p. 324 Index of Stat Blocks</x:t>
        </x:is>
      </x:c>
      <x:c r="AG187" s="2" t="inlineStr">
        <x:is>
          <x:t xml:space="preserve">https://www.dndbeyond.com/srd</x:t>
        </x:is>
      </x:c>
    </x:row>
    <x:row r="188" ht="18" customHeight="1">
      <x:c r="A188" s="2" t="inlineStr">
        <x:is>
          <x:t xml:space="preserve">Adult Silver Dragon</x:t>
        </x:is>
      </x:c>
      <x:c r="B188" s="2" t="inlineStr">
        <x:is>
          <x:t xml:space="preserve">SRD 5.2.1</x:t>
        </x:is>
      </x:c>
      <x:c r="C188" s="2" t="inlineStr">
        <x:is>
          <x:t xml:space="preserve">Dragon (Metallic)</x:t>
        </x:is>
      </x:c>
      <x:c r="D188" s="2" t="inlineStr">
        <x:is>
          <x:t xml:space="preserve">Huge</x:t>
        </x:is>
      </x:c>
      <x:c r="E188" s="2" t="inlineStr">
        <x:is>
          <x:t xml:space="preserve">Lawful Good</x:t>
        </x:is>
      </x:c>
      <x:c r="F188" s="2" t="inlineStr">
        <x:is>
          <x:t xml:space="preserve">16</x:t>
        </x:is>
      </x:c>
      <x:c r="G188" s="2" t="inlineStr">
        <x:is>
          <x:t xml:space="preserve">15000</x:t>
        </x:is>
      </x:c>
      <x:c r="H188" s="2" t="inlineStr">
        <x:is>
          <x:t xml:space="preserve">19</x:t>
        </x:is>
      </x:c>
      <x:c r="I188" s="2" t="inlineStr">
        <x:is>
          <x:t xml:space="preserve">216</x:t>
        </x:is>
      </x:c>
      <x:c r="J188" s="2" t="inlineStr">
        <x:is>
          <x:t xml:space="preserve">40 ft., Fly 80 ft.</x:t>
        </x:is>
      </x:c>
      <x:c r="K188" s="2" t="inlineStr">
        <x:is>
          <x:t xml:space="preserve">5</x:t>
        </x:is>
      </x:c>
      <x:c r="L188" s="2" t="inlineStr">
        <x:is>
          <x:t xml:space="preserve">21</x:t>
        </x:is>
      </x:c>
      <x:c r="M188" s="2" t="inlineStr">
        <x:is>
          <x:t xml:space="preserve">20</x:t>
        </x:is>
      </x:c>
      <x:c r="N188" s="2" t="inlineStr">
        <x:is>
          <x:t xml:space="preserve">13</x:t>
        </x:is>
      </x:c>
      <x:c r="O188" s="2" t="inlineStr">
        <x:is>
          <x:t xml:space="preserve">10</x:t>
        </x:is>
      </x:c>
      <x:c r="P188" s="2" t="inlineStr">
        <x:is>
          <x:t xml:space="preserve">27</x:t>
        </x:is>
      </x:c>
      <x:c r="Q188" s="2" t="inlineStr">
        <x:is>
          <x:t xml:space="preserve">10</x:t>
        </x:is>
      </x:c>
      <x:c r="R188" s="2" t="inlineStr">
        <x:is>
          <x:t xml:space="preserve">25</x:t>
        </x:is>
      </x:c>
      <x:c r="S188" s="2" t="inlineStr">
        <x:is>
          <x:t xml:space="preserve">16</x:t>
        </x:is>
      </x:c>
      <x:c r="T188" s="2" t="inlineStr">
        <x:is>
          <x:t xml:space="preserve">13</x:t>
        </x:is>
      </x:c>
      <x:c r="U188" s="2" t="inlineStr">
        <x:is>
          <x:t xml:space="preserve">22</x:t>
        </x:is>
      </x:c>
      <x:c r="V188" s="2" t="inlineStr">
        <x:is>
          <x:t xml:space="preserve">DEX +5, WIS +6</x:t>
        </x:is>
      </x:c>
      <x:c r="W188" s="2" t="inlineStr">
        <x:is>
          <x:t xml:space="preserve">History +8, Perception +11, Stealth +5</x:t>
        </x:is>
      </x:c>
      <x:c r="X188" s="2" t="inlineStr">
        <x:is>
          <x:t xml:space="preserve">Blindsight 60 ft., Darkvision 120 ft.; Passive Perception 21</x:t>
        </x:is>
      </x:c>
      <x:c r="Y188" s="2" t="inlineStr">
        <x:is>
          <x:t xml:space="preserve">Common, Draconic</x:t>
        </x:is>
      </x:c>
      <x:c r="Z188" s="2" t="inlineStr">
        <x:is>
          <x:t xml:space="preserve">Legendary Resistance (3/Day, or 4/Day in Lair). If the dragon fails a saving throw, it can choose to suc- ceed instead.</x:t>
        </x:is>
      </x:c>
      <x:c r="AA188" s="2" t="inlineStr">
        <x:is>
          <x:t xml:space="preserve">Multiattack. The dragon makes three Rend attacks. It can replace one attack with a use of (A) Paralyzing Breath or (B) Spellcasting to cast Ice Knife. Rend. Melee Attack Roll: +13, reach 10 ft. Hit: 17 (2d8 + 8) Slashing damage plus 4 (1d8) Cold damage. Cold Breath (Recharge 5-6). Constitution Saving Throw: DC 20, each creature in a 60-foot Cone. Fail- ure: 54 (12d8) Cold damage. Success: Half damage. Paralyzing Breath. Constitution Saving Throw: DC 20, each creature in a 60-foot Cone. First Failure: The target has the Incapacitated condition until the end of its next turn, when it repeats the save. Second Failure: The tar- get has the Paralyzed condition, and it repeats the save at the end of each of its turns, ending the effect on itself on a success. After 1 minute, it succeeds automatically. Spellcasting. The dragon casts one of the following spells, requiring no Material components and using Charisma as the spellcasting ability (spell save DC 19, +11 to hit with spell attacks): At Will: Detect Magic, Hold Monster, Ice Knife, Shapechange (Beast or Humanoid form only, no Temporary Hit Points gained from the spell, and no Concentration or Temporary Hit Points required to maintain the spell) 1/Day Each: Ice Storm (level 5 version), Zone of Truth</x:t>
        </x:is>
      </x:c>
      <x:c r="AB188" s="2" t="n"/>
      <x:c r="AC188" s="2" t="n"/>
      <x:c r="AD188" s="2" t="inlineStr">
        <x:is>
          <x:t xml:space="preserve">Legendary Action Uses: 3 (4 in Lair). Immediately after another creature’s turn, the dragon can expend a use to take one of the following actions. The dragon regains all expended uses at the start of each of its turns. Chill. The dragon uses Spellcasting to cast Hold Mon- ster. The dragon can’t take this action again until the start of its next turn. Cold Gale. Dexterity Saving Throw: DC 19, each crea- ture in a 60-foot-long, 10-foot-wide Line. Failure: 14 (4d6) Cold damage, and the target is pushed up to 30 feet straight away from the dragon. Success: Half dam- age only. Failure or Success: The dragon can’t take this action again until the start of its next turn. Pounce. The dragon moves up to half its Speed, and it makes one Rend attack.</x:t>
        </x:is>
      </x:c>
      <x:c r="AE188" s="2" t="inlineStr">
        <x:is>
          <x:t xml:space="preserve">Includes Spellcasting; see Traits/Actions text</x:t>
        </x:is>
      </x:c>
      <x:c r="AF188" s="2" t="inlineStr">
        <x:is>
          <x:t xml:space="preserve">Imported from SRD 5.2.1 p. 324 Index of Stat Blocks</x:t>
        </x:is>
      </x:c>
      <x:c r="AG188" s="2" t="inlineStr">
        <x:is>
          <x:t xml:space="preserve">https://www.dndbeyond.com/srd</x:t>
        </x:is>
      </x:c>
    </x:row>
    <x:row r="189" ht="18" customHeight="1">
      <x:c r="A189" s="2" t="inlineStr">
        <x:is>
          <x:t xml:space="preserve">Ancient Silver Dragon</x:t>
        </x:is>
      </x:c>
      <x:c r="B189" s="2" t="inlineStr">
        <x:is>
          <x:t xml:space="preserve">SRD 5.2.1</x:t>
        </x:is>
      </x:c>
      <x:c r="C189" s="2" t="inlineStr">
        <x:is>
          <x:t xml:space="preserve">Dragon (Metallic)</x:t>
        </x:is>
      </x:c>
      <x:c r="D189" s="2" t="inlineStr">
        <x:is>
          <x:t xml:space="preserve">Gargantuan</x:t>
        </x:is>
      </x:c>
      <x:c r="E189" s="2" t="inlineStr">
        <x:is>
          <x:t xml:space="preserve">Lawful Good</x:t>
        </x:is>
      </x:c>
      <x:c r="F189" s="2" t="inlineStr">
        <x:is>
          <x:t xml:space="preserve">23</x:t>
        </x:is>
      </x:c>
      <x:c r="G189" s="2" t="inlineStr">
        <x:is>
          <x:t xml:space="preserve">50000</x:t>
        </x:is>
      </x:c>
      <x:c r="H189" s="2" t="inlineStr">
        <x:is>
          <x:t xml:space="preserve">22</x:t>
        </x:is>
      </x:c>
      <x:c r="I189" s="2" t="inlineStr">
        <x:is>
          <x:t xml:space="preserve">468</x:t>
        </x:is>
      </x:c>
      <x:c r="J189" s="2" t="inlineStr">
        <x:is>
          <x:t xml:space="preserve">40 ft., Fly 80 ft.</x:t>
        </x:is>
      </x:c>
      <x:c r="K189" s="2" t="inlineStr">
        <x:is>
          <x:t xml:space="preserve">7</x:t>
        </x:is>
      </x:c>
      <x:c r="L189" s="2" t="inlineStr">
        <x:is>
          <x:t xml:space="preserve">26</x:t>
        </x:is>
      </x:c>
      <x:c r="M189" s="2" t="inlineStr">
        <x:is>
          <x:t xml:space="preserve">24</x:t>
        </x:is>
      </x:c>
      <x:c r="N189" s="2" t="inlineStr">
        <x:is>
          <x:t xml:space="preserve">17</x:t>
        </x:is>
      </x:c>
      <x:c r="O189" s="2" t="inlineStr">
        <x:is>
          <x:t xml:space="preserve">14</x:t>
        </x:is>
      </x:c>
      <x:c r="P189" s="2" t="inlineStr">
        <x:is>
          <x:t xml:space="preserve">30</x:t>
        </x:is>
      </x:c>
      <x:c r="Q189" s="2" t="inlineStr">
        <x:is>
          <x:t xml:space="preserve">10</x:t>
        </x:is>
      </x:c>
      <x:c r="R189" s="2" t="inlineStr">
        <x:is>
          <x:t xml:space="preserve">29</x:t>
        </x:is>
      </x:c>
      <x:c r="S189" s="2" t="inlineStr">
        <x:is>
          <x:t xml:space="preserve">18</x:t>
        </x:is>
      </x:c>
      <x:c r="T189" s="2" t="inlineStr">
        <x:is>
          <x:t xml:space="preserve">15</x:t>
        </x:is>
      </x:c>
      <x:c r="U189" s="2" t="inlineStr">
        <x:is>
          <x:t xml:space="preserve">26</x:t>
        </x:is>
      </x:c>
      <x:c r="V189" s="2" t="inlineStr">
        <x:is>
          <x:t xml:space="preserve">DEX +7, WIS +9</x:t>
        </x:is>
      </x:c>
      <x:c r="W189" s="2" t="inlineStr">
        <x:is>
          <x:t xml:space="preserve">History +11, Perception +16, Stealth +7</x:t>
        </x:is>
      </x:c>
      <x:c r="X189" s="2" t="inlineStr">
        <x:is>
          <x:t xml:space="preserve">Blindsight 60 ft., Darkvision 120 ft.; Passive Perception 26</x:t>
        </x:is>
      </x:c>
      <x:c r="Y189" s="2" t="inlineStr">
        <x:is>
          <x:t xml:space="preserve">Common, Draconic</x:t>
        </x:is>
      </x:c>
      <x:c r="Z189" s="2" t="inlineStr">
        <x:is>
          <x:t xml:space="preserve">Legendary Resistance (4/Day, or 5/Day in Lair). If the dragon fails a saving throw, it can choose to suc- ceed instead.</x:t>
        </x:is>
      </x:c>
      <x:c r="AA189" s="2" t="inlineStr">
        <x:is>
          <x:t xml:space="preserve">Multiattack. The dragon makes three Rend attacks. It can replace one attack with a use of (A) Paralyz- ing Breath or (B) Spellcasting to cast Ice Knife (level 2 version). Rend. Melee Attack Roll: +17, reach 15 ft. Hit: 19 (2d8 + 10) Slashing damage plus 9 (2d8) Cold damage. Cold Breath (Recharge 5-6). Constitution Saving Throw: DC 24, each creature in a 90-foot Cone. Fail- ure: 67 (15d8) Cold damage. Success: Half damage. Paralyzing Breath. Constitution Saving Throw: DC 24, each creature in a 90-foot Cone. First Failure: The target has the Incapacitated condition until the end of its next turn, when it repeats the save. Second Failure: The tar- get has the Paralyzed condition, and it repeats the save at the end of each of its turns, ending the effect on itself on a success. After 1 minute, it succeeds automatically. Spellcasting. The dragon casts one of the following spells, requiring no Material components and using Charisma as the spellcasting ability (spell save DC 23, +15 to hit with spell attacks): At Will: Detect Magic, Hold Monster, Ice Knife (level 2 version), Shapechange (Beast or Humanoid form only, no Temporary Hit Points gained from the spell, and no Concentration or Temporary Hit Points required to maintain the spell) 1/Day Each: Control Weather, Ice Storm (level 7 ver- sion), Teleport, Zone of Truth</x:t>
        </x:is>
      </x:c>
      <x:c r="AB189" s="2" t="n"/>
      <x:c r="AC189" s="2" t="n"/>
      <x:c r="AD189" s="2" t="inlineStr">
        <x:is>
          <x:t xml:space="preserve">Legendary Action Uses: 3 (4 in Lair). Immediately after another creature’s turn, the dragon can expend a use to take one of the following actions. The dragon regains all expended uses at the start of each of its turns. Chill. The dragon uses Spellcasting to cast Hold Mon- ster. The dragon can’t take this action again until the start of its next turn. Cold Gale. Dexterity Saving Throw: DC 23, each crea- ture in a 60-foot-long, 10-foot-wide Line. Failure: 14 (4d6) Cold damage, and the target is pushed up to 30 feet straight away from the dragon. Success: Half dam- age only. Failure or Success: The dragon can’t take this action again until the start of its next turn. Pounce. The dragon moves up to half its Speed, and it makes one Rend attack. Skeletons</x:t>
        </x:is>
      </x:c>
      <x:c r="AE189" s="2" t="inlineStr">
        <x:is>
          <x:t xml:space="preserve">Includes Spellcasting; see Traits/Actions text</x:t>
        </x:is>
      </x:c>
      <x:c r="AF189" s="2" t="inlineStr">
        <x:is>
          <x:t xml:space="preserve">Imported from SRD 5.2.1 p. 325 Index of Stat Blocks</x:t>
        </x:is>
      </x:c>
      <x:c r="AG189" s="2" t="inlineStr">
        <x:is>
          <x:t xml:space="preserve">https://www.dndbeyond.com/srd</x:t>
        </x:is>
      </x:c>
    </x:row>
    <x:row r="190" ht="18" customHeight="1">
      <x:c r="A190" s="2" t="inlineStr">
        <x:is>
          <x:t xml:space="preserve">Skeleton</x:t>
        </x:is>
      </x:c>
      <x:c r="B190" s="2" t="inlineStr">
        <x:is>
          <x:t xml:space="preserve">SRD 5.2.1</x:t>
        </x:is>
      </x:c>
      <x:c r="C190" s="2" t="inlineStr">
        <x:is>
          <x:t xml:space="preserve">Undead</x:t>
        </x:is>
      </x:c>
      <x:c r="D190" s="2" t="inlineStr">
        <x:is>
          <x:t xml:space="preserve">Medium</x:t>
        </x:is>
      </x:c>
      <x:c r="E190" s="2" t="inlineStr">
        <x:is>
          <x:t xml:space="preserve">Lawful Evil</x:t>
        </x:is>
      </x:c>
      <x:c r="F190" s="2" t="inlineStr">
        <x:is>
          <x:t xml:space="preserve">1/4</x:t>
        </x:is>
      </x:c>
      <x:c r="G190" s="2" t="inlineStr">
        <x:is>
          <x:t xml:space="preserve">50</x:t>
        </x:is>
      </x:c>
      <x:c r="H190" s="2" t="inlineStr">
        <x:is>
          <x:t xml:space="preserve">14</x:t>
        </x:is>
      </x:c>
      <x:c r="I190" s="2" t="inlineStr">
        <x:is>
          <x:t xml:space="preserve">13</x:t>
        </x:is>
      </x:c>
      <x:c r="J190" s="2" t="inlineStr">
        <x:is>
          <x:t xml:space="preserve">30 ft.</x:t>
        </x:is>
      </x:c>
      <x:c r="K190" s="2" t="inlineStr">
        <x:is>
          <x:t xml:space="preserve">2</x:t>
        </x:is>
      </x:c>
      <x:c r="L190" s="2" t="inlineStr">
        <x:is>
          <x:t xml:space="preserve">9</x:t>
        </x:is>
      </x:c>
      <x:c r="M190" s="2" t="n"/>
      <x:c r="N190" s="2" t="inlineStr">
        <x:is>
          <x:t xml:space="preserve">5</x:t>
        </x:is>
      </x:c>
      <x:c r="O190" s="2" t="inlineStr">
        <x:is>
          <x:t xml:space="preserve">3</x:t>
        </x:is>
      </x:c>
      <x:c r="P190" s="2" t="inlineStr">
        <x:is>
          <x:t xml:space="preserve">10</x:t>
        </x:is>
      </x:c>
      <x:c r="Q190" s="2" t="inlineStr">
        <x:is>
          <x:t xml:space="preserve">16</x:t>
        </x:is>
      </x:c>
      <x:c r="R190" s="2" t="inlineStr">
        <x:is>
          <x:t xml:space="preserve">15</x:t>
        </x:is>
      </x:c>
      <x:c r="S190" s="2" t="inlineStr">
        <x:is>
          <x:t xml:space="preserve">6</x:t>
        </x:is>
      </x:c>
      <x:c r="T190" s="2" t="inlineStr">
        <x:is>
          <x:t xml:space="preserve">8</x:t>
        </x:is>
      </x:c>
      <x:c r="U190" s="2" t="inlineStr">
        <x:is>
          <x:t xml:space="preserve">5</x:t>
        </x:is>
      </x:c>
      <x:c r="V190" s="2" t="n"/>
      <x:c r="W190" s="2" t="n"/>
      <x:c r="X190" s="2" t="inlineStr">
        <x:is>
          <x:t xml:space="preserve">Darkvision 60 ft.; Passive Perception 9</x:t>
        </x:is>
      </x:c>
      <x:c r="Y190" s="2" t="inlineStr">
        <x:is>
          <x:t xml:space="preserve">Understands Common plus one other language but can’t speak</x:t>
        </x:is>
      </x:c>
      <x:c r="Z190" s="2" t="n"/>
      <x:c r="AA190" s="2" t="inlineStr">
        <x:is>
          <x:t xml:space="preserve">Shortsword. Melee Attack Roll: +5, reach 5 ft. Hit: 6 (1d6 + 3) Piercing damage. Shortbow. Ranged Attack Roll: +5, range 80/320 ft. Hit: 6 (1d6 + 3) Piercing damage.</x:t>
        </x:is>
      </x:c>
      <x:c r="AB190" s="2" t="n"/>
      <x:c r="AC190" s="2" t="n"/>
      <x:c r="AD190" s="2" t="n"/>
      <x:c r="AE190" s="2" t="n"/>
      <x:c r="AF190" s="2" t="inlineStr">
        <x:is>
          <x:t xml:space="preserve">Imported from SRD 5.2.1 p. 325 Index of Stat Blocks</x:t>
        </x:is>
      </x:c>
      <x:c r="AG190" s="2" t="inlineStr">
        <x:is>
          <x:t xml:space="preserve">https://www.dndbeyond.com/srd</x:t>
        </x:is>
      </x:c>
    </x:row>
    <x:row r="191" ht="18" customHeight="1">
      <x:c r="A191" s="2" t="inlineStr">
        <x:is>
          <x:t xml:space="preserve">Warhorse Skeleton</x:t>
        </x:is>
      </x:c>
      <x:c r="B191" s="2" t="inlineStr">
        <x:is>
          <x:t xml:space="preserve">SRD 5.2.1</x:t>
        </x:is>
      </x:c>
      <x:c r="C191" s="2" t="inlineStr">
        <x:is>
          <x:t xml:space="preserve">Undead</x:t>
        </x:is>
      </x:c>
      <x:c r="D191" s="2" t="inlineStr">
        <x:is>
          <x:t xml:space="preserve">Large</x:t>
        </x:is>
      </x:c>
      <x:c r="E191" s="2" t="inlineStr">
        <x:is>
          <x:t xml:space="preserve">Lawful Evil</x:t>
        </x:is>
      </x:c>
      <x:c r="F191" s="2" t="inlineStr">
        <x:is>
          <x:t xml:space="preserve">1/2</x:t>
        </x:is>
      </x:c>
      <x:c r="G191" s="2" t="inlineStr">
        <x:is>
          <x:t xml:space="preserve">100</x:t>
        </x:is>
      </x:c>
      <x:c r="H191" s="2" t="inlineStr">
        <x:is>
          <x:t xml:space="preserve">13</x:t>
        </x:is>
      </x:c>
      <x:c r="I191" s="2" t="inlineStr">
        <x:is>
          <x:t xml:space="preserve">22</x:t>
        </x:is>
      </x:c>
      <x:c r="J191" s="2" t="inlineStr">
        <x:is>
          <x:t xml:space="preserve">60 ft.</x:t>
        </x:is>
      </x:c>
      <x:c r="K191" s="2" t="inlineStr">
        <x:is>
          <x:t xml:space="preserve">2</x:t>
        </x:is>
      </x:c>
      <x:c r="L191" s="2" t="inlineStr">
        <x:is>
          <x:t xml:space="preserve">9</x:t>
        </x:is>
      </x:c>
      <x:c r="M191" s="2" t="n"/>
      <x:c r="N191" s="2" t="inlineStr">
        <x:is>
          <x:t xml:space="preserve">6</x:t>
        </x:is>
      </x:c>
      <x:c r="O191" s="2" t="inlineStr">
        <x:is>
          <x:t xml:space="preserve">1</x:t>
        </x:is>
      </x:c>
      <x:c r="P191" s="2" t="inlineStr">
        <x:is>
          <x:t xml:space="preserve">18</x:t>
        </x:is>
      </x:c>
      <x:c r="Q191" s="2" t="inlineStr">
        <x:is>
          <x:t xml:space="preserve">12</x:t>
        </x:is>
      </x:c>
      <x:c r="R191" s="2" t="inlineStr">
        <x:is>
          <x:t xml:space="preserve">15</x:t>
        </x:is>
      </x:c>
      <x:c r="S191" s="2" t="inlineStr">
        <x:is>
          <x:t xml:space="preserve">2</x:t>
        </x:is>
      </x:c>
      <x:c r="T191" s="2" t="inlineStr">
        <x:is>
          <x:t xml:space="preserve">8</x:t>
        </x:is>
      </x:c>
      <x:c r="U191" s="2" t="inlineStr">
        <x:is>
          <x:t xml:space="preserve">5</x:t>
        </x:is>
      </x:c>
      <x:c r="V191" s="2" t="n"/>
      <x:c r="W191" s="2" t="n"/>
      <x:c r="X191" s="2" t="inlineStr">
        <x:is>
          <x:t xml:space="preserve">Darkvision 60 ft.; Passive Perception 9</x:t>
        </x:is>
      </x:c>
      <x:c r="Y191" s="2" t="inlineStr">
        <x:is>
          <x:t xml:space="preserve">None</x:t>
        </x:is>
      </x:c>
      <x:c r="Z191" s="2" t="n"/>
      <x:c r="AA191" s="2" t="inlineStr">
        <x:is>
          <x:t xml:space="preserve">Hooves. Melee Attack Roll: +6, reach 5 ft. Hit: 7 (1d6 + 4) Bludgeoning damage. If the target is a Large or smaller creature and the skeleton moved 20+ feet straight toward it immediately before the hit, the target has the Prone condition.</x:t>
        </x:is>
      </x:c>
      <x:c r="AB191" s="2" t="n"/>
      <x:c r="AC191" s="2" t="n"/>
      <x:c r="AD191" s="2" t="n"/>
      <x:c r="AE191" s="2" t="n"/>
      <x:c r="AF191" s="2" t="inlineStr">
        <x:is>
          <x:t xml:space="preserve">Imported from SRD 5.2.1 p. 326 Index of Stat Blocks</x:t>
        </x:is>
      </x:c>
      <x:c r="AG191" s="2" t="inlineStr">
        <x:is>
          <x:t xml:space="preserve">https://www.dndbeyond.com/srd</x:t>
        </x:is>
      </x:c>
    </x:row>
    <x:row r="192" ht="18" customHeight="1">
      <x:c r="A192" s="2" t="inlineStr">
        <x:is>
          <x:t xml:space="preserve">Minotaur Skeleton</x:t>
        </x:is>
      </x:c>
      <x:c r="B192" s="2" t="inlineStr">
        <x:is>
          <x:t xml:space="preserve">SRD 5.2.1</x:t>
        </x:is>
      </x:c>
      <x:c r="C192" s="2" t="inlineStr">
        <x:is>
          <x:t xml:space="preserve">Undead</x:t>
        </x:is>
      </x:c>
      <x:c r="D192" s="2" t="inlineStr">
        <x:is>
          <x:t xml:space="preserve">Large</x:t>
        </x:is>
      </x:c>
      <x:c r="E192" s="2" t="inlineStr">
        <x:is>
          <x:t xml:space="preserve">Lawful Evil</x:t>
        </x:is>
      </x:c>
      <x:c r="F192" s="2" t="inlineStr">
        <x:is>
          <x:t xml:space="preserve">2</x:t>
        </x:is>
      </x:c>
      <x:c r="G192" s="2" t="inlineStr">
        <x:is>
          <x:t xml:space="preserve">450</x:t>
        </x:is>
      </x:c>
      <x:c r="H192" s="2" t="inlineStr">
        <x:is>
          <x:t xml:space="preserve">12</x:t>
        </x:is>
      </x:c>
      <x:c r="I192" s="2" t="inlineStr">
        <x:is>
          <x:t xml:space="preserve">45</x:t>
        </x:is>
      </x:c>
      <x:c r="J192" s="2" t="inlineStr">
        <x:is>
          <x:t xml:space="preserve">40 ft.</x:t>
        </x:is>
      </x:c>
      <x:c r="K192" s="2" t="inlineStr">
        <x:is>
          <x:t xml:space="preserve">2</x:t>
        </x:is>
      </x:c>
      <x:c r="L192" s="2" t="inlineStr">
        <x:is>
          <x:t xml:space="preserve">9</x:t>
        </x:is>
      </x:c>
      <x:c r="M192" s="2" t="n"/>
      <x:c r="N192" s="2" t="inlineStr">
        <x:is>
          <x:t xml:space="preserve">6</x:t>
        </x:is>
      </x:c>
      <x:c r="O192" s="2" t="inlineStr">
        <x:is>
          <x:t xml:space="preserve">0</x:t>
        </x:is>
      </x:c>
      <x:c r="P192" s="2" t="inlineStr">
        <x:is>
          <x:t xml:space="preserve">18</x:t>
        </x:is>
      </x:c>
      <x:c r="Q192" s="2" t="inlineStr">
        <x:is>
          <x:t xml:space="preserve">11</x:t>
        </x:is>
      </x:c>
      <x:c r="R192" s="2" t="inlineStr">
        <x:is>
          <x:t xml:space="preserve">15</x:t>
        </x:is>
      </x:c>
      <x:c r="S192" s="2" t="inlineStr">
        <x:is>
          <x:t xml:space="preserve">6</x:t>
        </x:is>
      </x:c>
      <x:c r="T192" s="2" t="inlineStr">
        <x:is>
          <x:t xml:space="preserve">8</x:t>
        </x:is>
      </x:c>
      <x:c r="U192" s="2" t="inlineStr">
        <x:is>
          <x:t xml:space="preserve">5</x:t>
        </x:is>
      </x:c>
      <x:c r="V192" s="2" t="n"/>
      <x:c r="W192" s="2" t="n"/>
      <x:c r="X192" s="2" t="inlineStr">
        <x:is>
          <x:t xml:space="preserve">Darkvision 60 ft.; Passive Perception 9</x:t>
        </x:is>
      </x:c>
      <x:c r="Y192" s="2" t="inlineStr">
        <x:is>
          <x:t xml:space="preserve">Understands Abyssal but can’t speak</x:t>
        </x:is>
      </x:c>
      <x:c r="Z192" s="2" t="n"/>
      <x:c r="AA192" s="2" t="inlineStr">
        <x:is>
          <x:t xml:space="preserve">Gore. Melee Attack Roll: +6, reach 5 ft. Hit: 11 (2d6 + 4) Piercing damage. If the target is a Large or smaller creature and the skeleton moved 20+ feet straight toward it immediately before the hit, the target takes an extra 9 (2d8) Piercing damage and has the Prone condition. Slam. Melee Attack Roll: +6, reach 5 ft. Hit: 15 (2d10 + 4) Bludgeoning damage. Solar</x:t>
        </x:is>
      </x:c>
      <x:c r="AB192" s="2" t="n"/>
      <x:c r="AC192" s="2" t="n"/>
      <x:c r="AD192" s="2" t="n"/>
      <x:c r="AE192" s="2" t="n"/>
      <x:c r="AF192" s="2" t="inlineStr">
        <x:is>
          <x:t xml:space="preserve">Imported from SRD 5.2.1 p. 326 Index of Stat Blocks</x:t>
        </x:is>
      </x:c>
      <x:c r="AG192" s="2" t="inlineStr">
        <x:is>
          <x:t xml:space="preserve">https://www.dndbeyond.com/srd</x:t>
        </x:is>
      </x:c>
    </x:row>
    <x:row r="193" ht="18" customHeight="1">
      <x:c r="A193" s="2" t="inlineStr">
        <x:is>
          <x:t xml:space="preserve">Solar</x:t>
        </x:is>
      </x:c>
      <x:c r="B193" s="2" t="inlineStr">
        <x:is>
          <x:t xml:space="preserve">SRD 5.2.1</x:t>
        </x:is>
      </x:c>
      <x:c r="C193" s="2" t="inlineStr">
        <x:is>
          <x:t xml:space="preserve">Celestial (Angel)</x:t>
        </x:is>
      </x:c>
      <x:c r="D193" s="2" t="inlineStr">
        <x:is>
          <x:t xml:space="preserve">Large</x:t>
        </x:is>
      </x:c>
      <x:c r="E193" s="2" t="inlineStr">
        <x:is>
          <x:t xml:space="preserve">Lawful Good</x:t>
        </x:is>
      </x:c>
      <x:c r="F193" s="2" t="inlineStr">
        <x:is>
          <x:t xml:space="preserve">21</x:t>
        </x:is>
      </x:c>
      <x:c r="G193" s="2" t="inlineStr">
        <x:is>
          <x:t xml:space="preserve">33000</x:t>
        </x:is>
      </x:c>
      <x:c r="H193" s="2" t="inlineStr">
        <x:is>
          <x:t xml:space="preserve">21</x:t>
        </x:is>
      </x:c>
      <x:c r="I193" s="2" t="inlineStr">
        <x:is>
          <x:t xml:space="preserve">297</x:t>
        </x:is>
      </x:c>
      <x:c r="J193" s="2" t="inlineStr">
        <x:is>
          <x:t xml:space="preserve">50 ft., Fly 150 ft. (hover)</x:t>
        </x:is>
      </x:c>
      <x:c r="K193" s="2" t="inlineStr">
        <x:is>
          <x:t xml:space="preserve">7</x:t>
        </x:is>
      </x:c>
      <x:c r="L193" s="2" t="inlineStr">
        <x:is>
          <x:t xml:space="preserve">24</x:t>
        </x:is>
      </x:c>
      <x:c r="M193" s="2" t="inlineStr">
        <x:is>
          <x:t xml:space="preserve">25</x:t>
        </x:is>
      </x:c>
      <x:c r="N193" s="2" t="inlineStr">
        <x:is>
          <x:t xml:space="preserve">15</x:t>
        </x:is>
      </x:c>
      <x:c r="O193" s="2" t="inlineStr">
        <x:is>
          <x:t xml:space="preserve">20</x:t>
        </x:is>
      </x:c>
      <x:c r="P193" s="2" t="inlineStr">
        <x:is>
          <x:t xml:space="preserve">26</x:t>
        </x:is>
      </x:c>
      <x:c r="Q193" s="2" t="inlineStr">
        <x:is>
          <x:t xml:space="preserve">22</x:t>
        </x:is>
      </x:c>
      <x:c r="R193" s="2" t="inlineStr">
        <x:is>
          <x:t xml:space="preserve">26</x:t>
        </x:is>
      </x:c>
      <x:c r="S193" s="2" t="inlineStr">
        <x:is>
          <x:t xml:space="preserve">25</x:t>
        </x:is>
      </x:c>
      <x:c r="T193" s="2" t="inlineStr">
        <x:is>
          <x:t xml:space="preserve">25</x:t>
        </x:is>
      </x:c>
      <x:c r="U193" s="2" t="inlineStr">
        <x:is>
          <x:t xml:space="preserve">30</x:t>
        </x:is>
      </x:c>
      <x:c r="V193" s="2" t="n"/>
      <x:c r="W193" s="2" t="inlineStr">
        <x:is>
          <x:t xml:space="preserve">Perception +14</x:t>
        </x:is>
      </x:c>
      <x:c r="X193" s="2" t="inlineStr">
        <x:is>
          <x:t xml:space="preserve">Truesight 120 ft.; Passive Perception 24</x:t>
        </x:is>
      </x:c>
      <x:c r="Y193" s="2" t="inlineStr">
        <x:is>
          <x:t xml:space="preserve">All; telepathy 120 ft.</x:t>
        </x:is>
      </x:c>
      <x:c r="Z193" s="2" t="inlineStr">
        <x:is>
          <x:t xml:space="preserve">Divine Awareness. The solar knows if it hears a lie. Exalted Restoration. If the solar dies outside Mount Celestia, its body disappears, and it gains a new body instantly, reviving with all its Hit Points somewhere in Mount Celestia. Legendary Resistance (4/Day). If the solar fails a saving throw, it can choose to succeed instead. Magic Resistance. The solar has Advantage on saving throws against spells and other magical effects.</x:t>
        </x:is>
      </x:c>
      <x:c r="AA193" s="2" t="inlineStr">
        <x:is>
          <x:t xml:space="preserve">Multiattack. The solar makes two Flying Sword attacks. It can replace one attack with a use of Slaying Bow. Flying Sword. Melee or Ranged Attack Roll: +15, reach 10 ft. or range 120 ft. Hit: 22 (4d6 + 8) Slashing damage plus 36 (8d8) Radiant damage. Hit or Miss: The sword magically returns to the solar’s hand or hovers within 5 feet of the solar immediately after a ranged attack. Slaying Bow. Dexterity Saving Throw: DC 21, one crea- ture the solar can see within 600 feet. Failure: If the creature has 100 Hit Points or fewer, it dies. It other- wise takes 24 (4d8 + 6) Piercing damage plus 36 (8d8) Radiant damage. Spellcasting. The solar casts one of the following spells, requiring no Material components and using Charisma as the spellcasting ability (spell save DC 25): At Will: Detect Evil and Good 1/Day Each: Commune, Control Weather, Dispel Evil and Good, Resurrection</x:t>
        </x:is>
      </x:c>
      <x:c r="AB193" s="2" t="inlineStr">
        <x:is>
          <x:t xml:space="preserve">Divine Aid (3/Day). The solar casts Cure Wounds (level 2 version), Lesser Restoration, or Remove Curse, using the same spellcasting ability as Spellcasting.</x:t>
        </x:is>
      </x:c>
      <x:c r="AC193" s="2" t="n"/>
      <x:c r="AD193" s="2" t="inlineStr">
        <x:is>
          <x:t xml:space="preserve">Legendary Action Uses: 3. Immediately after another creature’s turn, the solar can expend a use to take one of the following actions. The solar regains all expended uses at the start of each of its turns. Blinding Gaze. Constitution Saving Throw: DC 25, one creature the solar can see within 120 feet. Failure: The target has the Blinded condition for 1 minute. Failure or Success: The solar can’t take this action again until the start of its next turn. Radiant Teleport. The solar teleports up to 60 feet to an unoccupied space it can see. Dexterity Saving Throw: DC 25, each creature in a 10-foot Emanation originat- ing from the solar at its destination space. Failure: 11 (2d10) Radiant damage. Success: Half damage. Specter</x:t>
        </x:is>
      </x:c>
      <x:c r="AE193" s="2" t="inlineStr">
        <x:is>
          <x:t xml:space="preserve">Includes Spellcasting; see Traits/Actions text</x:t>
        </x:is>
      </x:c>
      <x:c r="AF193" s="2" t="inlineStr">
        <x:is>
          <x:t xml:space="preserve">Imported from SRD 5.2.1 p. 326 Index of Stat Blocks</x:t>
        </x:is>
      </x:c>
      <x:c r="AG193" s="2" t="inlineStr">
        <x:is>
          <x:t xml:space="preserve">https://www.dndbeyond.com/srd</x:t>
        </x:is>
      </x:c>
    </x:row>
    <x:row r="194" ht="18" customHeight="1">
      <x:c r="A194" s="2" t="inlineStr">
        <x:is>
          <x:t xml:space="preserve">Specter</x:t>
        </x:is>
      </x:c>
      <x:c r="B194" s="2" t="inlineStr">
        <x:is>
          <x:t xml:space="preserve">SRD 5.2.1</x:t>
        </x:is>
      </x:c>
      <x:c r="C194" s="2" t="inlineStr">
        <x:is>
          <x:t xml:space="preserve">Undead</x:t>
        </x:is>
      </x:c>
      <x:c r="D194" s="2" t="inlineStr">
        <x:is>
          <x:t xml:space="preserve">Medium</x:t>
        </x:is>
      </x:c>
      <x:c r="E194" s="2" t="inlineStr">
        <x:is>
          <x:t xml:space="preserve">Chaotic Evil</x:t>
        </x:is>
      </x:c>
      <x:c r="F194" s="2" t="inlineStr">
        <x:is>
          <x:t xml:space="preserve">1</x:t>
        </x:is>
      </x:c>
      <x:c r="G194" s="2" t="inlineStr">
        <x:is>
          <x:t xml:space="preserve">200</x:t>
        </x:is>
      </x:c>
      <x:c r="H194" s="2" t="inlineStr">
        <x:is>
          <x:t xml:space="preserve">12</x:t>
        </x:is>
      </x:c>
      <x:c r="I194" s="2" t="inlineStr">
        <x:is>
          <x:t xml:space="preserve">22</x:t>
        </x:is>
      </x:c>
      <x:c r="J194" s="2" t="inlineStr">
        <x:is>
          <x:t xml:space="preserve">30 ft., Fly 50 ft. (hover)</x:t>
        </x:is>
      </x:c>
      <x:c r="K194" s="2" t="inlineStr">
        <x:is>
          <x:t xml:space="preserve">2</x:t>
        </x:is>
      </x:c>
      <x:c r="L194" s="2" t="inlineStr">
        <x:is>
          <x:t xml:space="preserve">10</x:t>
        </x:is>
      </x:c>
      <x:c r="M194" s="2" t="n"/>
      <x:c r="N194" s="2" t="inlineStr">
        <x:is>
          <x:t xml:space="preserve">4</x:t>
        </x:is>
      </x:c>
      <x:c r="O194" s="2" t="inlineStr">
        <x:is>
          <x:t xml:space="preserve">2</x:t>
        </x:is>
      </x:c>
      <x:c r="P194" s="2" t="inlineStr">
        <x:is>
          <x:t xml:space="preserve">1</x:t>
        </x:is>
      </x:c>
      <x:c r="Q194" s="2" t="inlineStr">
        <x:is>
          <x:t xml:space="preserve">14</x:t>
        </x:is>
      </x:c>
      <x:c r="R194" s="2" t="inlineStr">
        <x:is>
          <x:t xml:space="preserve">11</x:t>
        </x:is>
      </x:c>
      <x:c r="S194" s="2" t="inlineStr">
        <x:is>
          <x:t xml:space="preserve">10</x:t>
        </x:is>
      </x:c>
      <x:c r="T194" s="2" t="inlineStr">
        <x:is>
          <x:t xml:space="preserve">10</x:t>
        </x:is>
      </x:c>
      <x:c r="U194" s="2" t="inlineStr">
        <x:is>
          <x:t xml:space="preserve">11</x:t>
        </x:is>
      </x:c>
      <x:c r="V194" s="2" t="n"/>
      <x:c r="W194" s="2" t="n"/>
      <x:c r="X194" s="2" t="inlineStr">
        <x:is>
          <x:t xml:space="preserve">Darkvision 60 ft.; Passive Perception 10</x:t>
        </x:is>
      </x:c>
      <x:c r="Y194" s="2" t="inlineStr">
        <x:is>
          <x:t xml:space="preserve">Understands Common plus one other language but can’t speak</x:t>
        </x:is>
      </x:c>
      <x:c r="Z194" s="2" t="inlineStr">
        <x:is>
          <x:t xml:space="preserve">Incorporeal Movement. The specter can move through other creatures and objects as if they were Difficult Terrain. It takes 5 (1d10) Force damage if it ends its turn inside an object. Sunlight Sensitivity. While in sunlight, the specter has Disadvantage on ability checks and attack rolls.</x:t>
        </x:is>
      </x:c>
      <x:c r="AA194" s="2" t="inlineStr">
        <x:is>
          <x:t xml:space="preserve">Life Drain. Melee Attack Roll: +4, reach 5 ft. Hit: 7 (2d6) Necrotic damage. If the target is a creature, its Hit Point maximum decreases by an amount equal to the damage taken. Sphinxes</x:t>
        </x:is>
      </x:c>
      <x:c r="AB194" s="2" t="n"/>
      <x:c r="AC194" s="2" t="n"/>
      <x:c r="AD194" s="2" t="n"/>
      <x:c r="AE194" s="2" t="n"/>
      <x:c r="AF194" s="2" t="inlineStr">
        <x:is>
          <x:t xml:space="preserve">Imported from SRD 5.2.1 p. 327 Index of Stat Blocks</x:t>
        </x:is>
      </x:c>
      <x:c r="AG194" s="2" t="inlineStr">
        <x:is>
          <x:t xml:space="preserve">https://www.dndbeyond.com/srd</x:t>
        </x:is>
      </x:c>
    </x:row>
    <x:row r="195" ht="18" customHeight="1">
      <x:c r="A195" s="2" t="inlineStr">
        <x:is>
          <x:t xml:space="preserve">Sphinx of Wonder</x:t>
        </x:is>
      </x:c>
      <x:c r="B195" s="2" t="inlineStr">
        <x:is>
          <x:t xml:space="preserve">SRD 5.2.1</x:t>
        </x:is>
      </x:c>
      <x:c r="C195" s="2" t="inlineStr">
        <x:is>
          <x:t xml:space="preserve">Celestial</x:t>
        </x:is>
      </x:c>
      <x:c r="D195" s="2" t="inlineStr">
        <x:is>
          <x:t xml:space="preserve">Tiny</x:t>
        </x:is>
      </x:c>
      <x:c r="E195" s="2" t="inlineStr">
        <x:is>
          <x:t xml:space="preserve">Lawful Good</x:t>
        </x:is>
      </x:c>
      <x:c r="F195" s="2" t="inlineStr">
        <x:is>
          <x:t xml:space="preserve">1</x:t>
        </x:is>
      </x:c>
      <x:c r="G195" s="2" t="inlineStr">
        <x:is>
          <x:t xml:space="preserve">200</x:t>
        </x:is>
      </x:c>
      <x:c r="H195" s="2" t="inlineStr">
        <x:is>
          <x:t xml:space="preserve">13</x:t>
        </x:is>
      </x:c>
      <x:c r="I195" s="2" t="inlineStr">
        <x:is>
          <x:t xml:space="preserve">24</x:t>
        </x:is>
      </x:c>
      <x:c r="J195" s="2" t="inlineStr">
        <x:is>
          <x:t xml:space="preserve">20 ft., Fly 40 ft.</x:t>
        </x:is>
      </x:c>
      <x:c r="K195" s="2" t="inlineStr">
        <x:is>
          <x:t xml:space="preserve">2</x:t>
        </x:is>
      </x:c>
      <x:c r="L195" s="2" t="inlineStr">
        <x:is>
          <x:t xml:space="preserve">11</x:t>
        </x:is>
      </x:c>
      <x:c r="M195" s="2" t="n"/>
      <x:c r="N195" s="2" t="inlineStr">
        <x:is>
          <x:t xml:space="preserve">5</x:t>
        </x:is>
      </x:c>
      <x:c r="O195" s="2" t="inlineStr">
        <x:is>
          <x:t xml:space="preserve">3</x:t>
        </x:is>
      </x:c>
      <x:c r="P195" s="2" t="inlineStr">
        <x:is>
          <x:t xml:space="preserve">6</x:t>
        </x:is>
      </x:c>
      <x:c r="Q195" s="2" t="inlineStr">
        <x:is>
          <x:t xml:space="preserve">17</x:t>
        </x:is>
      </x:c>
      <x:c r="R195" s="2" t="inlineStr">
        <x:is>
          <x:t xml:space="preserve">13</x:t>
        </x:is>
      </x:c>
      <x:c r="S195" s="2" t="inlineStr">
        <x:is>
          <x:t xml:space="preserve">15</x:t>
        </x:is>
      </x:c>
      <x:c r="T195" s="2" t="inlineStr">
        <x:is>
          <x:t xml:space="preserve">12</x:t>
        </x:is>
      </x:c>
      <x:c r="U195" s="2" t="inlineStr">
        <x:is>
          <x:t xml:space="preserve">11</x:t>
        </x:is>
      </x:c>
      <x:c r="V195" s="2" t="n"/>
      <x:c r="W195" s="2" t="inlineStr">
        <x:is>
          <x:t xml:space="preserve">Arcana +4, Religion +4, Stealth +5</x:t>
        </x:is>
      </x:c>
      <x:c r="X195" s="2" t="inlineStr">
        <x:is>
          <x:t xml:space="preserve">Darkvision 60 ft.; Passive Perception 11</x:t>
        </x:is>
      </x:c>
      <x:c r="Y195" s="2" t="inlineStr">
        <x:is>
          <x:t xml:space="preserve">Celestial, Common</x:t>
        </x:is>
      </x:c>
      <x:c r="Z195" s="2" t="inlineStr">
        <x:is>
          <x:t xml:space="preserve">Magic Resistance. The sphinx has Advantage on saving throws against spells and other magical effects.</x:t>
        </x:is>
      </x:c>
      <x:c r="AA195" s="2" t="inlineStr">
        <x:is>
          <x:t xml:space="preserve">Rend. Melee Attack Roll: +5, reach 5 ft. Hit: 5 (1d4 + 3) Slashing damage plus 7 (2d6) Radiant damage.</x:t>
        </x:is>
      </x:c>
      <x:c r="AB195" s="2" t="n"/>
      <x:c r="AC195" s="2" t="inlineStr">
        <x:is>
          <x:t xml:space="preserve">Burst of Ingenuity (2/Day). Trigger: The sphinx or an- other creature within 30 feet makes an ability check or a saving throw. Response: The sphinx adds 2 to the roll.</x:t>
        </x:is>
      </x:c>
      <x:c r="AD195" s="2" t="n"/>
      <x:c r="AE195" s="2" t="n"/>
      <x:c r="AF195" s="2" t="inlineStr">
        <x:is>
          <x:t xml:space="preserve">Imported from SRD 5.2.1 p. 327 Index of Stat Blocks</x:t>
        </x:is>
      </x:c>
      <x:c r="AG195" s="2" t="inlineStr">
        <x:is>
          <x:t xml:space="preserve">https://www.dndbeyond.com/srd</x:t>
        </x:is>
      </x:c>
    </x:row>
    <x:row r="196" ht="18" customHeight="1">
      <x:c r="A196" s="2" t="inlineStr">
        <x:is>
          <x:t xml:space="preserve">Sphinx of Lore</x:t>
        </x:is>
      </x:c>
      <x:c r="B196" s="2" t="inlineStr">
        <x:is>
          <x:t xml:space="preserve">SRD 5.2.1</x:t>
        </x:is>
      </x:c>
      <x:c r="C196" s="2" t="inlineStr">
        <x:is>
          <x:t xml:space="preserve">Celestial</x:t>
        </x:is>
      </x:c>
      <x:c r="D196" s="2" t="inlineStr">
        <x:is>
          <x:t xml:space="preserve">Large</x:t>
        </x:is>
      </x:c>
      <x:c r="E196" s="2" t="inlineStr">
        <x:is>
          <x:t xml:space="preserve">Lawful Neutral</x:t>
        </x:is>
      </x:c>
      <x:c r="F196" s="2" t="inlineStr">
        <x:is>
          <x:t xml:space="preserve">11</x:t>
        </x:is>
      </x:c>
      <x:c r="G196" s="2" t="inlineStr">
        <x:is>
          <x:t xml:space="preserve">7200</x:t>
        </x:is>
      </x:c>
      <x:c r="H196" s="2" t="inlineStr">
        <x:is>
          <x:t xml:space="preserve">17</x:t>
        </x:is>
      </x:c>
      <x:c r="I196" s="2" t="inlineStr">
        <x:is>
          <x:t xml:space="preserve">170</x:t>
        </x:is>
      </x:c>
      <x:c r="J196" s="2" t="inlineStr">
        <x:is>
          <x:t xml:space="preserve">40 ft., Fly 60 ft.</x:t>
        </x:is>
      </x:c>
      <x:c r="K196" s="2" t="inlineStr">
        <x:is>
          <x:t xml:space="preserve">4</x:t>
        </x:is>
      </x:c>
      <x:c r="L196" s="2" t="inlineStr">
        <x:is>
          <x:t xml:space="preserve">18</x:t>
        </x:is>
      </x:c>
      <x:c r="M196" s="2" t="inlineStr">
        <x:is>
          <x:t xml:space="preserve">16</x:t>
        </x:is>
      </x:c>
      <x:c r="N196" s="2" t="inlineStr">
        <x:is>
          <x:t xml:space="preserve">8</x:t>
        </x:is>
      </x:c>
      <x:c r="O196" s="2" t="inlineStr">
        <x:is>
          <x:t xml:space="preserve">10</x:t>
        </x:is>
      </x:c>
      <x:c r="P196" s="2" t="inlineStr">
        <x:is>
          <x:t xml:space="preserve">18</x:t>
        </x:is>
      </x:c>
      <x:c r="Q196" s="2" t="inlineStr">
        <x:is>
          <x:t xml:space="preserve">15</x:t>
        </x:is>
      </x:c>
      <x:c r="R196" s="2" t="inlineStr">
        <x:is>
          <x:t xml:space="preserve">16</x:t>
        </x:is>
      </x:c>
      <x:c r="S196" s="2" t="inlineStr">
        <x:is>
          <x:t xml:space="preserve">18</x:t>
        </x:is>
      </x:c>
      <x:c r="T196" s="2" t="inlineStr">
        <x:is>
          <x:t xml:space="preserve">18</x:t>
        </x:is>
      </x:c>
      <x:c r="U196" s="2" t="inlineStr">
        <x:is>
          <x:t xml:space="preserve">18</x:t>
        </x:is>
      </x:c>
      <x:c r="V196" s="2" t="n"/>
      <x:c r="W196" s="2" t="inlineStr">
        <x:is>
          <x:t xml:space="preserve">Arcana +12, History +12, Perception +8, Religion +12</x:t>
        </x:is>
      </x:c>
      <x:c r="X196" s="2" t="inlineStr">
        <x:is>
          <x:t xml:space="preserve">Truesight 120 ft.; Passive Perception 18</x:t>
        </x:is>
      </x:c>
      <x:c r="Y196" s="2" t="inlineStr">
        <x:is>
          <x:t xml:space="preserve">Celestial, Common</x:t>
        </x:is>
      </x:c>
      <x:c r="Z196" s="2" t="inlineStr">
        <x:is>
          <x:t xml:space="preserve">Inscrutable. No magic can observe the sphinx remotely or detect its thoughts without its permission. Wisdom (Insight) checks made to ascertain its intentions or sin- cerity are made with Disadvantage. Legendary Resistance (3/Day, or 4/Day in Lair). If the sphinx fails a saving throw, it can choose to suc- ceed instead.</x:t>
        </x:is>
      </x:c>
      <x:c r="AA196" s="2" t="inlineStr">
        <x:is>
          <x:t xml:space="preserve">Multiattack. The sphinx makes three Claw attacks. Claw. Melee Attack Roll: +8, reach 5 ft. Hit: 14 (3d6 + 4) Slashing damage. Mind-Rending Roar (Recharge 5-6). Wisdom Saving Throw: DC 16, each enemy in a 300-foot Emanation originating from the sphinx. Failure: 35 (10d6) Psychic damage, and the target has the Incapacitated condition until the start of the sphinx’s next turn. Spellcasting. The sphinx casts one of the following spells, requiring no Material components and using In- telligence as the spellcasting ability (spell save DC 16): At Will: Detect Magic, Identify, Mage Hand, Minor Illu- sion, Prestidigitation 1/Day Each: Dispel Magic, Legend Lore, Locate Object, Plane Shift, Remove Curse, Tongues</x:t>
        </x:is>
      </x:c>
      <x:c r="AB196" s="2" t="n"/>
      <x:c r="AC196" s="2" t="n"/>
      <x:c r="AD196" s="2" t="inlineStr">
        <x:is>
          <x:t xml:space="preserve">Legendary Action Uses: 3 (4 in Lair). Immediately after another creature’s turn, the sphinx can expend a use to take one of the following actions. The sphinx regains all expended uses at the start of each of its turns. Arcane Prowl. The sphinx can teleport up to 30 feet to an unoccupied space it can see, and it makes one Claw attack. Weight of Years. Constitution Saving Throw: DC 16, one creature the sphinx can see within 120 feet. Failure: The target gains 1 Exhaustion level. While the target has any Exhaustion levels, it appears 3d10 years older. Fail- ure or Success: The sphinx can’t take this action again until the start of its next turn.</x:t>
        </x:is>
      </x:c>
      <x:c r="AE196" s="2" t="inlineStr">
        <x:is>
          <x:t xml:space="preserve">Includes Spellcasting; see Traits/Actions text</x:t>
        </x:is>
      </x:c>
      <x:c r="AF196" s="2" t="inlineStr">
        <x:is>
          <x:t xml:space="preserve">Imported from SRD 5.2.1 p. 327 Index of Stat Blocks</x:t>
        </x:is>
      </x:c>
      <x:c r="AG196" s="2" t="inlineStr">
        <x:is>
          <x:t xml:space="preserve">https://www.dndbeyond.com/srd</x:t>
        </x:is>
      </x:c>
    </x:row>
    <x:row r="197" ht="18" customHeight="1">
      <x:c r="A197" s="2" t="inlineStr">
        <x:is>
          <x:t xml:space="preserve">Sphinx of Valor</x:t>
        </x:is>
      </x:c>
      <x:c r="B197" s="2" t="inlineStr">
        <x:is>
          <x:t xml:space="preserve">SRD 5.2.1</x:t>
        </x:is>
      </x:c>
      <x:c r="C197" s="2" t="inlineStr">
        <x:is>
          <x:t xml:space="preserve">Celestial</x:t>
        </x:is>
      </x:c>
      <x:c r="D197" s="2" t="inlineStr">
        <x:is>
          <x:t xml:space="preserve">Large</x:t>
        </x:is>
      </x:c>
      <x:c r="E197" s="2" t="inlineStr">
        <x:is>
          <x:t xml:space="preserve">Lawful Neutral</x:t>
        </x:is>
      </x:c>
      <x:c r="F197" s="2" t="inlineStr">
        <x:is>
          <x:t xml:space="preserve">17</x:t>
        </x:is>
      </x:c>
      <x:c r="G197" s="2" t="inlineStr">
        <x:is>
          <x:t xml:space="preserve">18000</x:t>
        </x:is>
      </x:c>
      <x:c r="H197" s="2" t="inlineStr">
        <x:is>
          <x:t xml:space="preserve">17</x:t>
        </x:is>
      </x:c>
      <x:c r="I197" s="2" t="inlineStr">
        <x:is>
          <x:t xml:space="preserve">199</x:t>
        </x:is>
      </x:c>
      <x:c r="J197" s="2" t="inlineStr">
        <x:is>
          <x:t xml:space="preserve">40 ft., Fly 60 ft.</x:t>
        </x:is>
      </x:c>
      <x:c r="K197" s="2" t="inlineStr">
        <x:is>
          <x:t xml:space="preserve">6</x:t>
        </x:is>
      </x:c>
      <x:c r="L197" s="2" t="inlineStr">
        <x:is>
          <x:t xml:space="preserve">22</x:t>
        </x:is>
      </x:c>
      <x:c r="M197" s="2" t="inlineStr">
        <x:is>
          <x:t xml:space="preserve">20</x:t>
        </x:is>
      </x:c>
      <x:c r="N197" s="2" t="inlineStr">
        <x:is>
          <x:t xml:space="preserve">12</x:t>
        </x:is>
      </x:c>
      <x:c r="O197" s="2" t="inlineStr">
        <x:is>
          <x:t xml:space="preserve">12</x:t>
        </x:is>
      </x:c>
      <x:c r="P197" s="2" t="inlineStr">
        <x:is>
          <x:t xml:space="preserve">22</x:t>
        </x:is>
      </x:c>
      <x:c r="Q197" s="2" t="inlineStr">
        <x:is>
          <x:t xml:space="preserve">10</x:t>
        </x:is>
      </x:c>
      <x:c r="R197" s="2" t="inlineStr">
        <x:is>
          <x:t xml:space="preserve">20</x:t>
        </x:is>
      </x:c>
      <x:c r="S197" s="2" t="inlineStr">
        <x:is>
          <x:t xml:space="preserve">16</x:t>
        </x:is>
      </x:c>
      <x:c r="T197" s="2" t="inlineStr">
        <x:is>
          <x:t xml:space="preserve">23</x:t>
        </x:is>
      </x:c>
      <x:c r="U197" s="2" t="inlineStr">
        <x:is>
          <x:t xml:space="preserve">18</x:t>
        </x:is>
      </x:c>
      <x:c r="V197" s="2" t="inlineStr">
        <x:is>
          <x:t xml:space="preserve">DEX +6, CON +11, INT +9, WIS +12</x:t>
        </x:is>
      </x:c>
      <x:c r="W197" s="2" t="inlineStr">
        <x:is>
          <x:t xml:space="preserve">Arcana +9, Perception +12, Religion +15</x:t>
        </x:is>
      </x:c>
      <x:c r="X197" s="2" t="inlineStr">
        <x:is>
          <x:t xml:space="preserve">Truesight 120 ft.; Passive Perception 22</x:t>
        </x:is>
      </x:c>
      <x:c r="Y197" s="2" t="inlineStr">
        <x:is>
          <x:t xml:space="preserve">Celestial, Common</x:t>
        </x:is>
      </x:c>
      <x:c r="Z197" s="2" t="inlineStr">
        <x:is>
          <x:t xml:space="preserve">Inscrutable. No magic can observe the sphinx remotely or detect its thoughts without its permission. Wisdom (Insight) checks made to ascertain its intentions or sin- cerity are made with Disadvantage. Legendary Resistance (3/Day, or 4/Day in Lair). If the sphinx fails a saving throw, it can choose to suc- ceed instead.</x:t>
        </x:is>
      </x:c>
      <x:c r="AA197" s="2" t="inlineStr">
        <x:is>
          <x:t xml:space="preserve">Multiattack. The sphinx makes two Claw attacks and uses Roar. Claw. Melee Attack Roll: +12, reach 5 ft. Hit: 20 (4d6 + 6) Slashing damage. Roar (3/Day). The sphinx emits a magical roar. When- ever it roars, the roar has a different effect, as detailed below (the sequence resets when it takes a Long Rest): First Roar. Wisdom Saving Throw: DC 20, each enemy in a 500-foot Emanation originating from the sphinx. Failure: The target has the Frightened condition for 1 minute. Second Roar. Wisdom Saving Throw: DC 20, each enemy in a 500-foot Emanation originating from the sphinx. Failure: The target has the Paralyzed condi- tion, and it repeats the save at the end of each of its turns, ending the effect on itself on a success. After 1 minute, it succeeds automatically. Third Roar. Constitution Saving Throw: DC 20, each enemy in a 500-foot Emanation originating from the sphinx. Failure: 44 (8d10) Thunder damage, and the target has the Prone condition. Success: Half damage only. Spellcasting. The sphinx casts one of the following spells, requiring no Material components and using Wisdom as the spellcasting ability (spell save DC 20): At Will: Detect Evil and Good, Thaumaturgy 1/Day Each: Detect Magic, Dispel Magic, Greater Res- toration, Heroes’ Feast, Zone of Truth</x:t>
        </x:is>
      </x:c>
      <x:c r="AB197" s="2" t="n"/>
      <x:c r="AC197" s="2" t="n"/>
      <x:c r="AD197" s="2" t="inlineStr">
        <x:is>
          <x:t xml:space="preserve">Legendary Action Uses: 3 (4 in Lair). Immediately after another creature’s turn, the sphinx can expend a use to take one of the following actions. The sphinx regains all expended uses at the start of each of its turns. Arcane Prowl. The sphinx can teleport up to 30 feet to an unoccupied space it can see, and it makes one Claw attack. Weight of Years. Constitution Saving Throw: DC 16, one creature the sphinx can see within 120 feet. Failure: The target gains 1 Exhaustion level. While the target has any Exhaustion levels, it appears 3d10 years older. Fail- ure or Success: The sphinx can’t take this action again until the start of its next turn. Spirit Naga</x:t>
        </x:is>
      </x:c>
      <x:c r="AE197" s="2" t="inlineStr">
        <x:is>
          <x:t xml:space="preserve">Includes Spellcasting; see Traits/Actions text</x:t>
        </x:is>
      </x:c>
      <x:c r="AF197" s="2" t="inlineStr">
        <x:is>
          <x:t xml:space="preserve">Imported from SRD 5.2.1 p. 328 Index of Stat Blocks</x:t>
        </x:is>
      </x:c>
      <x:c r="AG197" s="2" t="inlineStr">
        <x:is>
          <x:t xml:space="preserve">https://www.dndbeyond.com/srd</x:t>
        </x:is>
      </x:c>
    </x:row>
    <x:row r="198" ht="18" customHeight="1">
      <x:c r="A198" s="2" t="inlineStr">
        <x:is>
          <x:t xml:space="preserve">Spirit Naga</x:t>
        </x:is>
      </x:c>
      <x:c r="B198" s="2" t="inlineStr">
        <x:is>
          <x:t xml:space="preserve">SRD 5.2.1</x:t>
        </x:is>
      </x:c>
      <x:c r="C198" s="2" t="inlineStr">
        <x:is>
          <x:t xml:space="preserve">Fiend</x:t>
        </x:is>
      </x:c>
      <x:c r="D198" s="2" t="inlineStr">
        <x:is>
          <x:t xml:space="preserve">Large</x:t>
        </x:is>
      </x:c>
      <x:c r="E198" s="2" t="inlineStr">
        <x:is>
          <x:t xml:space="preserve">Chaotic Evil</x:t>
        </x:is>
      </x:c>
      <x:c r="F198" s="2" t="inlineStr">
        <x:is>
          <x:t xml:space="preserve">8</x:t>
        </x:is>
      </x:c>
      <x:c r="G198" s="2" t="inlineStr">
        <x:is>
          <x:t xml:space="preserve">3900</x:t>
        </x:is>
      </x:c>
      <x:c r="H198" s="2" t="inlineStr">
        <x:is>
          <x:t xml:space="preserve">17</x:t>
        </x:is>
      </x:c>
      <x:c r="I198" s="2" t="inlineStr">
        <x:is>
          <x:t xml:space="preserve">135</x:t>
        </x:is>
      </x:c>
      <x:c r="J198" s="2" t="inlineStr">
        <x:is>
          <x:t xml:space="preserve">40 ft.</x:t>
        </x:is>
      </x:c>
      <x:c r="K198" s="2" t="inlineStr">
        <x:is>
          <x:t xml:space="preserve">3</x:t>
        </x:is>
      </x:c>
      <x:c r="L198" s="2" t="inlineStr">
        <x:is>
          <x:t xml:space="preserve">12</x:t>
        </x:is>
      </x:c>
      <x:c r="M198" s="2" t="n"/>
      <x:c r="N198" s="2" t="inlineStr">
        <x:is>
          <x:t xml:space="preserve">7</x:t>
        </x:is>
      </x:c>
      <x:c r="O198" s="2" t="inlineStr">
        <x:is>
          <x:t xml:space="preserve">3</x:t>
        </x:is>
      </x:c>
      <x:c r="P198" s="2" t="inlineStr">
        <x:is>
          <x:t xml:space="preserve">18</x:t>
        </x:is>
      </x:c>
      <x:c r="Q198" s="2" t="inlineStr">
        <x:is>
          <x:t xml:space="preserve">17</x:t>
        </x:is>
      </x:c>
      <x:c r="R198" s="2" t="inlineStr">
        <x:is>
          <x:t xml:space="preserve">14</x:t>
        </x:is>
      </x:c>
      <x:c r="S198" s="2" t="inlineStr">
        <x:is>
          <x:t xml:space="preserve">16</x:t>
        </x:is>
      </x:c>
      <x:c r="T198" s="2" t="inlineStr">
        <x:is>
          <x:t xml:space="preserve">15</x:t>
        </x:is>
      </x:c>
      <x:c r="U198" s="2" t="inlineStr">
        <x:is>
          <x:t xml:space="preserve">16</x:t>
        </x:is>
      </x:c>
      <x:c r="V198" s="2" t="inlineStr">
        <x:is>
          <x:t xml:space="preserve">DEX +6, CON +5, WIS +5, CHA +6</x:t>
        </x:is>
      </x:c>
      <x:c r="W198" s="2" t="n"/>
      <x:c r="X198" s="2" t="inlineStr">
        <x:is>
          <x:t xml:space="preserve">Darkvision 60 ft.; Passive Perception 12</x:t>
        </x:is>
      </x:c>
      <x:c r="Y198" s="2" t="inlineStr">
        <x:is>
          <x:t xml:space="preserve">Abyssal, Common</x:t>
        </x:is>
      </x:c>
      <x:c r="Z198" s="2" t="inlineStr">
        <x:is>
          <x:t xml:space="preserve">Fiendish Restoration. If it dies, the naga returns to life in 1d6 days and regains all its Hit Points. Only a Wish spell can prevent this trait from functioning.</x:t>
        </x:is>
      </x:c>
      <x:c r="AA198" s="2" t="inlineStr">
        <x:is>
          <x:t xml:space="preserve">Multiattack. The naga makes three attacks, using Bite or Necrotic Ray in any combination. Bite. Melee Attack Roll: +7, reach 10 ft. Hit: 7 (1d6 + 4) Piercing damage plus 14 (4d6) Poison damage. Necrotic Ray. Ranged Attack Roll: +6, range 60 ft. Hit: 21 (6d6) Necrotic damage. Spellcasting. The naga casts one of the following spells, requiring no Somatic or Material components and using Intelligence as the spellcasting ability (spell save DC 14): At Will: Detect Magic, Mage Hand, Minor Illusion, Wa- ter Breathing 2/Day Each: Detect Thoughts, Dimension Door, Hold Person (level 3 version), Lightning Bolt (level 4 version) Sprite</x:t>
        </x:is>
      </x:c>
      <x:c r="AB198" s="2" t="n"/>
      <x:c r="AC198" s="2" t="n"/>
      <x:c r="AD198" s="2" t="n"/>
      <x:c r="AE198" s="2" t="inlineStr">
        <x:is>
          <x:t xml:space="preserve">Includes Spellcasting; see Traits/Actions text</x:t>
        </x:is>
      </x:c>
      <x:c r="AF198" s="2" t="inlineStr">
        <x:is>
          <x:t xml:space="preserve">Imported from SRD 5.2.1 p. 329 Index of Stat Blocks</x:t>
        </x:is>
      </x:c>
      <x:c r="AG198" s="2" t="inlineStr">
        <x:is>
          <x:t xml:space="preserve">https://www.dndbeyond.com/srd</x:t>
        </x:is>
      </x:c>
    </x:row>
    <x:row r="199" ht="18" customHeight="1">
      <x:c r="A199" s="2" t="inlineStr">
        <x:is>
          <x:t xml:space="preserve">Sprite</x:t>
        </x:is>
      </x:c>
      <x:c r="B199" s="2" t="inlineStr">
        <x:is>
          <x:t xml:space="preserve">SRD 5.2.1</x:t>
        </x:is>
      </x:c>
      <x:c r="C199" s="2" t="inlineStr">
        <x:is>
          <x:t xml:space="preserve">Fey</x:t>
        </x:is>
      </x:c>
      <x:c r="D199" s="2" t="inlineStr">
        <x:is>
          <x:t xml:space="preserve">Tiny</x:t>
        </x:is>
      </x:c>
      <x:c r="E199" s="2" t="inlineStr">
        <x:is>
          <x:t xml:space="preserve">Neutral Good</x:t>
        </x:is>
      </x:c>
      <x:c r="F199" s="2" t="inlineStr">
        <x:is>
          <x:t xml:space="preserve">1/4</x:t>
        </x:is>
      </x:c>
      <x:c r="G199" s="2" t="inlineStr">
        <x:is>
          <x:t xml:space="preserve">50</x:t>
        </x:is>
      </x:c>
      <x:c r="H199" s="2" t="inlineStr">
        <x:is>
          <x:t xml:space="preserve">15</x:t>
        </x:is>
      </x:c>
      <x:c r="I199" s="2" t="inlineStr">
        <x:is>
          <x:t xml:space="preserve">10</x:t>
        </x:is>
      </x:c>
      <x:c r="J199" s="2" t="inlineStr">
        <x:is>
          <x:t xml:space="preserve">10 ft., Fly 40 ft.</x:t>
        </x:is>
      </x:c>
      <x:c r="K199" s="2" t="inlineStr">
        <x:is>
          <x:t xml:space="preserve">2</x:t>
        </x:is>
      </x:c>
      <x:c r="L199" s="2" t="inlineStr">
        <x:is>
          <x:t xml:space="preserve">13</x:t>
        </x:is>
      </x:c>
      <x:c r="M199" s="2" t="inlineStr">
        <x:is>
          <x:t xml:space="preserve">10</x:t>
        </x:is>
      </x:c>
      <x:c r="N199" s="2" t="inlineStr">
        <x:is>
          <x:t xml:space="preserve">6</x:t>
        </x:is>
      </x:c>
      <x:c r="O199" s="2" t="inlineStr">
        <x:is>
          <x:t xml:space="preserve">4</x:t>
        </x:is>
      </x:c>
      <x:c r="P199" s="2" t="inlineStr">
        <x:is>
          <x:t xml:space="preserve">3</x:t>
        </x:is>
      </x:c>
      <x:c r="Q199" s="2" t="inlineStr">
        <x:is>
          <x:t xml:space="preserve">18</x:t>
        </x:is>
      </x:c>
      <x:c r="R199" s="2" t="inlineStr">
        <x:is>
          <x:t xml:space="preserve">10</x:t>
        </x:is>
      </x:c>
      <x:c r="S199" s="2" t="inlineStr">
        <x:is>
          <x:t xml:space="preserve">14</x:t>
        </x:is>
      </x:c>
      <x:c r="T199" s="2" t="inlineStr">
        <x:is>
          <x:t xml:space="preserve">13</x:t>
        </x:is>
      </x:c>
      <x:c r="U199" s="2" t="inlineStr">
        <x:is>
          <x:t xml:space="preserve">11</x:t>
        </x:is>
      </x:c>
      <x:c r="V199" s="2" t="n"/>
      <x:c r="W199" s="2" t="inlineStr">
        <x:is>
          <x:t xml:space="preserve">Perception +3, Stealth +8</x:t>
        </x:is>
      </x:c>
      <x:c r="X199" s="2" t="inlineStr">
        <x:is>
          <x:t xml:space="preserve">Passive Perception 13</x:t>
        </x:is>
      </x:c>
      <x:c r="Y199" s="2" t="inlineStr">
        <x:is>
          <x:t xml:space="preserve">Common, Elvish, Sylvan</x:t>
        </x:is>
      </x:c>
      <x:c r="Z199" s="2" t="n"/>
      <x:c r="AA199" s="2" t="inlineStr">
        <x:is>
          <x:t xml:space="preserve">Needle Sword. Melee Attack Roll: +6, reach 5 ft. Hit: 6 (1d4 + 4) Piercing damage. Enchanting Bow. Ranged Attack Roll: +6, range 40/160 ft. Hit: 1 Piercing damage, and the target has the Charmed condition until the start of the sprite’s next turn. Heart Sight. Charisma Saving Throw: DC 10, one crea- ture within 5 feet the sprite can see (Celestials, Fiends, and Undead automatically fail the save). Failure: The sprite knows the target’s emotions and alignment. Invisibility. The sprite casts Invisibility on itself, requir- ing no spell components and using Charisma as the spellcasting ability. Spy</x:t>
        </x:is>
      </x:c>
      <x:c r="AB199" s="2" t="n"/>
      <x:c r="AC199" s="2" t="n"/>
      <x:c r="AD199" s="2" t="n"/>
      <x:c r="AE199" s="2" t="n"/>
      <x:c r="AF199" s="2" t="inlineStr">
        <x:is>
          <x:t xml:space="preserve">Imported from SRD 5.2.1 p. 329 Index of Stat Blocks</x:t>
        </x:is>
      </x:c>
      <x:c r="AG199" s="2" t="inlineStr">
        <x:is>
          <x:t xml:space="preserve">https://www.dndbeyond.com/srd</x:t>
        </x:is>
      </x:c>
    </x:row>
    <x:row r="200" ht="18" customHeight="1">
      <x:c r="A200" s="2" t="inlineStr">
        <x:is>
          <x:t xml:space="preserve">Spy</x:t>
        </x:is>
      </x:c>
      <x:c r="B200" s="2" t="inlineStr">
        <x:is>
          <x:t xml:space="preserve">SRD 5.2.1</x:t>
        </x:is>
      </x:c>
      <x:c r="C200" s="2" t="inlineStr">
        <x:is>
          <x:t xml:space="preserve">Humanoid</x:t>
        </x:is>
      </x:c>
      <x:c r="D200" s="2" t="inlineStr">
        <x:is>
          <x:t xml:space="preserve">Medium or Small</x:t>
        </x:is>
      </x:c>
      <x:c r="E200" s="2" t="inlineStr">
        <x:is>
          <x:t xml:space="preserve">Neutral</x:t>
        </x:is>
      </x:c>
      <x:c r="F200" s="2" t="inlineStr">
        <x:is>
          <x:t xml:space="preserve">1</x:t>
        </x:is>
      </x:c>
      <x:c r="G200" s="2" t="inlineStr">
        <x:is>
          <x:t xml:space="preserve">200</x:t>
        </x:is>
      </x:c>
      <x:c r="H200" s="2" t="inlineStr">
        <x:is>
          <x:t xml:space="preserve">12</x:t>
        </x:is>
      </x:c>
      <x:c r="I200" s="2" t="inlineStr">
        <x:is>
          <x:t xml:space="preserve">27</x:t>
        </x:is>
      </x:c>
      <x:c r="J200" s="2" t="inlineStr">
        <x:is>
          <x:t xml:space="preserve">30 ft., Climb 30 ft.</x:t>
        </x:is>
      </x:c>
      <x:c r="K200" s="2" t="inlineStr">
        <x:is>
          <x:t xml:space="preserve">2</x:t>
        </x:is>
      </x:c>
      <x:c r="L200" s="2" t="inlineStr">
        <x:is>
          <x:t xml:space="preserve">16</x:t>
        </x:is>
      </x:c>
      <x:c r="M200" s="2" t="n"/>
      <x:c r="N200" s="2" t="inlineStr">
        <x:is>
          <x:t xml:space="preserve">4</x:t>
        </x:is>
      </x:c>
      <x:c r="O200" s="2" t="inlineStr">
        <x:is>
          <x:t xml:space="preserve">4</x:t>
        </x:is>
      </x:c>
      <x:c r="P200" s="2" t="inlineStr">
        <x:is>
          <x:t xml:space="preserve">10</x:t>
        </x:is>
      </x:c>
      <x:c r="Q200" s="2" t="inlineStr">
        <x:is>
          <x:t xml:space="preserve">15</x:t>
        </x:is>
      </x:c>
      <x:c r="R200" s="2" t="inlineStr">
        <x:is>
          <x:t xml:space="preserve">10</x:t>
        </x:is>
      </x:c>
      <x:c r="S200" s="2" t="inlineStr">
        <x:is>
          <x:t xml:space="preserve">12</x:t>
        </x:is>
      </x:c>
      <x:c r="T200" s="2" t="inlineStr">
        <x:is>
          <x:t xml:space="preserve">14</x:t>
        </x:is>
      </x:c>
      <x:c r="U200" s="2" t="inlineStr">
        <x:is>
          <x:t xml:space="preserve">16</x:t>
        </x:is>
      </x:c>
      <x:c r="V200" s="2" t="n"/>
      <x:c r="W200" s="2" t="inlineStr">
        <x:is>
          <x:t xml:space="preserve">Deception +5, Insight +4, Investigation +5, Perception +6, Sleight of Hand +4, Stealth +6</x:t>
        </x:is>
      </x:c>
      <x:c r="X200" s="2" t="inlineStr">
        <x:is>
          <x:t xml:space="preserve">Passive Perception 16</x:t>
        </x:is>
      </x:c>
      <x:c r="Y200" s="2" t="inlineStr">
        <x:is>
          <x:t xml:space="preserve">Common plus one other language</x:t>
        </x:is>
      </x:c>
      <x:c r="Z200" s="2" t="n"/>
      <x:c r="AA200" s="2" t="inlineStr">
        <x:is>
          <x:t xml:space="preserve">Shortsword. Melee Attack Roll: +4, reach 5 ft. Hit: 5 (1d6 + 2) Piercing damage plus 7 (2d6) Poison damage. Hand Crossbow. Ranged Attack Roll: +4, range 30/120 ft. Hit: 5 (1d6 + 2) Piercing damage plus 7 (2d6) Poi- son damage.</x:t>
        </x:is>
      </x:c>
      <x:c r="AB200" s="2" t="inlineStr">
        <x:is>
          <x:t xml:space="preserve">Cunning Action. The spy takes the Dash, Disengage, or Hide action. Stirge</x:t>
        </x:is>
      </x:c>
      <x:c r="AC200" s="2" t="n"/>
      <x:c r="AD200" s="2" t="n"/>
      <x:c r="AE200" s="2" t="n"/>
      <x:c r="AF200" s="2" t="inlineStr">
        <x:is>
          <x:t xml:space="preserve">Imported from SRD 5.2.1 p. 329 Index of Stat Blocks</x:t>
        </x:is>
      </x:c>
      <x:c r="AG200" s="2" t="inlineStr">
        <x:is>
          <x:t xml:space="preserve">https://www.dndbeyond.com/srd</x:t>
        </x:is>
      </x:c>
    </x:row>
    <x:row r="201" ht="18" customHeight="1">
      <x:c r="A201" s="2" t="inlineStr">
        <x:is>
          <x:t xml:space="preserve">Stirge</x:t>
        </x:is>
      </x:c>
      <x:c r="B201" s="2" t="inlineStr">
        <x:is>
          <x:t xml:space="preserve">SRD 5.2.1</x:t>
        </x:is>
      </x:c>
      <x:c r="C201" s="2" t="inlineStr">
        <x:is>
          <x:t xml:space="preserve">Monstrosity</x:t>
        </x:is>
      </x:c>
      <x:c r="D201" s="2" t="inlineStr">
        <x:is>
          <x:t xml:space="preserve">Tiny</x:t>
        </x:is>
      </x:c>
      <x:c r="E201" s="2" t="inlineStr">
        <x:is>
          <x:t xml:space="preserve">Unaligned</x:t>
        </x:is>
      </x:c>
      <x:c r="F201" s="2" t="inlineStr">
        <x:is>
          <x:t xml:space="preserve">1/8</x:t>
        </x:is>
      </x:c>
      <x:c r="G201" s="2" t="inlineStr">
        <x:is>
          <x:t xml:space="preserve">25</x:t>
        </x:is>
      </x:c>
      <x:c r="H201" s="2" t="inlineStr">
        <x:is>
          <x:t xml:space="preserve">13</x:t>
        </x:is>
      </x:c>
      <x:c r="I201" s="2" t="inlineStr">
        <x:is>
          <x:t xml:space="preserve">5</x:t>
        </x:is>
      </x:c>
      <x:c r="J201" s="2" t="inlineStr">
        <x:is>
          <x:t xml:space="preserve">10 ft., Fly 40 ft.</x:t>
        </x:is>
      </x:c>
      <x:c r="K201" s="2" t="inlineStr">
        <x:is>
          <x:t xml:space="preserve">2</x:t>
        </x:is>
      </x:c>
      <x:c r="L201" s="2" t="inlineStr">
        <x:is>
          <x:t xml:space="preserve">9</x:t>
        </x:is>
      </x:c>
      <x:c r="M201" s="2" t="n"/>
      <x:c r="N201" s="2" t="inlineStr">
        <x:is>
          <x:t xml:space="preserve">5</x:t>
        </x:is>
      </x:c>
      <x:c r="O201" s="2" t="inlineStr">
        <x:is>
          <x:t xml:space="preserve">3</x:t>
        </x:is>
      </x:c>
      <x:c r="P201" s="2" t="inlineStr">
        <x:is>
          <x:t xml:space="preserve">4</x:t>
        </x:is>
      </x:c>
      <x:c r="Q201" s="2" t="inlineStr">
        <x:is>
          <x:t xml:space="preserve">16</x:t>
        </x:is>
      </x:c>
      <x:c r="R201" s="2" t="inlineStr">
        <x:is>
          <x:t xml:space="preserve">11</x:t>
        </x:is>
      </x:c>
      <x:c r="S201" s="2" t="inlineStr">
        <x:is>
          <x:t xml:space="preserve">2</x:t>
        </x:is>
      </x:c>
      <x:c r="T201" s="2" t="inlineStr">
        <x:is>
          <x:t xml:space="preserve">8</x:t>
        </x:is>
      </x:c>
      <x:c r="U201" s="2" t="inlineStr">
        <x:is>
          <x:t xml:space="preserve">6</x:t>
        </x:is>
      </x:c>
      <x:c r="V201" s="2" t="n"/>
      <x:c r="W201" s="2" t="n"/>
      <x:c r="X201" s="2" t="inlineStr">
        <x:is>
          <x:t xml:space="preserve">Darkvision 60 ft.; Passive Perception 9</x:t>
        </x:is>
      </x:c>
      <x:c r="Y201" s="2" t="inlineStr">
        <x:is>
          <x:t xml:space="preserve">None</x:t>
        </x:is>
      </x:c>
      <x:c r="Z201" s="2" t="n"/>
      <x:c r="AA201" s="2" t="inlineStr">
        <x:is>
          <x:t xml:space="preserve">Proboscis. Melee Attack Roll: +5, reach 5 ft. Hit: 6 (1d6 + 3) Piercing damage, and the stirge attaches to the target. While attached, the stirge can’t make Proboscis attacks, and the target takes 5 (2d4) Necrotic damage at the start of each of the stirge’s turns. The stirge can detach itself by spending 5 feet of its movement. The target or a creature within 5 feet of it can detach the stirge as an action. Stone Giant</x:t>
        </x:is>
      </x:c>
      <x:c r="AB201" s="2" t="n"/>
      <x:c r="AC201" s="2" t="n"/>
      <x:c r="AD201" s="2" t="n"/>
      <x:c r="AE201" s="2" t="n"/>
      <x:c r="AF201" s="2" t="inlineStr">
        <x:is>
          <x:t xml:space="preserve">Imported from SRD 5.2.1 p. 329 Index of Stat Blocks</x:t>
        </x:is>
      </x:c>
      <x:c r="AG201" s="2" t="inlineStr">
        <x:is>
          <x:t xml:space="preserve">https://www.dndbeyond.com/srd</x:t>
        </x:is>
      </x:c>
    </x:row>
    <x:row r="202" ht="18" customHeight="1">
      <x:c r="A202" s="2" t="inlineStr">
        <x:is>
          <x:t xml:space="preserve">Stone Giant</x:t>
        </x:is>
      </x:c>
      <x:c r="B202" s="2" t="inlineStr">
        <x:is>
          <x:t xml:space="preserve">SRD 5.2.1</x:t>
        </x:is>
      </x:c>
      <x:c r="C202" s="2" t="inlineStr">
        <x:is>
          <x:t xml:space="preserve">Giant</x:t>
        </x:is>
      </x:c>
      <x:c r="D202" s="2" t="inlineStr">
        <x:is>
          <x:t xml:space="preserve">Huge</x:t>
        </x:is>
      </x:c>
      <x:c r="E202" s="2" t="inlineStr">
        <x:is>
          <x:t xml:space="preserve">Neutral</x:t>
        </x:is>
      </x:c>
      <x:c r="F202" s="2" t="inlineStr">
        <x:is>
          <x:t xml:space="preserve">7</x:t>
        </x:is>
      </x:c>
      <x:c r="G202" s="2" t="inlineStr">
        <x:is>
          <x:t xml:space="preserve">2900</x:t>
        </x:is>
      </x:c>
      <x:c r="H202" s="2" t="inlineStr">
        <x:is>
          <x:t xml:space="preserve">17</x:t>
        </x:is>
      </x:c>
      <x:c r="I202" s="2" t="inlineStr">
        <x:is>
          <x:t xml:space="preserve">126</x:t>
        </x:is>
      </x:c>
      <x:c r="J202" s="2" t="inlineStr">
        <x:is>
          <x:t xml:space="preserve">40 ft.</x:t>
        </x:is>
      </x:c>
      <x:c r="K202" s="2" t="inlineStr">
        <x:is>
          <x:t xml:space="preserve">3</x:t>
        </x:is>
      </x:c>
      <x:c r="L202" s="2" t="inlineStr">
        <x:is>
          <x:t xml:space="preserve">14</x:t>
        </x:is>
      </x:c>
      <x:c r="M202" s="2" t="n"/>
      <x:c r="N202" s="2" t="inlineStr">
        <x:is>
          <x:t xml:space="preserve">9</x:t>
        </x:is>
      </x:c>
      <x:c r="O202" s="2" t="inlineStr">
        <x:is>
          <x:t xml:space="preserve">5</x:t>
        </x:is>
      </x:c>
      <x:c r="P202" s="2" t="inlineStr">
        <x:is>
          <x:t xml:space="preserve">23</x:t>
        </x:is>
      </x:c>
      <x:c r="Q202" s="2" t="inlineStr">
        <x:is>
          <x:t xml:space="preserve">15</x:t>
        </x:is>
      </x:c>
      <x:c r="R202" s="2" t="inlineStr">
        <x:is>
          <x:t xml:space="preserve">20</x:t>
        </x:is>
      </x:c>
      <x:c r="S202" s="2" t="inlineStr">
        <x:is>
          <x:t xml:space="preserve">10</x:t>
        </x:is>
      </x:c>
      <x:c r="T202" s="2" t="inlineStr">
        <x:is>
          <x:t xml:space="preserve">12</x:t>
        </x:is>
      </x:c>
      <x:c r="U202" s="2" t="inlineStr">
        <x:is>
          <x:t xml:space="preserve">9</x:t>
        </x:is>
      </x:c>
      <x:c r="V202" s="2" t="inlineStr">
        <x:is>
          <x:t xml:space="preserve">DEX +5, CON +8, WIS +4</x:t>
        </x:is>
      </x:c>
      <x:c r="W202" s="2" t="inlineStr">
        <x:is>
          <x:t xml:space="preserve">Athletics +12, Perception +4, Stealth +5</x:t>
        </x:is>
      </x:c>
      <x:c r="X202" s="2" t="inlineStr">
        <x:is>
          <x:t xml:space="preserve">Darkvision 60 ft.; Passive Perception 14</x:t>
        </x:is>
      </x:c>
      <x:c r="Y202" s="2" t="inlineStr">
        <x:is>
          <x:t xml:space="preserve">Giant</x:t>
        </x:is>
      </x:c>
      <x:c r="Z202" s="2" t="n"/>
      <x:c r="AA202" s="2" t="inlineStr">
        <x:is>
          <x:t xml:space="preserve">Multiattack. The giant makes two attacks, using Stone Club or Boulder in any combination. Stone Club. Melee Attack Roll: +9, reach 15 ft. Hit: 22 (3d10 + 6) Bludgeoning damage. Boulder. Ranged Attack Roll: +9, range 60/240 ft. Hit: 15 (2d8 + 6) Bludgeoning damage. If the target is a Large or smaller creature, it has the Prone condition.</x:t>
        </x:is>
      </x:c>
      <x:c r="AB202" s="2" t="n"/>
      <x:c r="AC202" s="2" t="inlineStr">
        <x:is>
          <x:t xml:space="preserve">Deflect Missile (Recharge 5-6). Trigger: The giant is hit by a ranged attack roll and takes Bludgeoning, Pierc- ing, or Slashing damage from it. Response: The giant reduces the damage it takes from the attack by 11 (1d10 + 6), and if that damage is reduced to 0, the giant can redirect some of the attack’s force. Dexterity Saving Throw: DC 17, one creature the giant can see within 60 feet. Failure: 11 (1d10 + 6) Force damage. Stone Golem</x:t>
        </x:is>
      </x:c>
      <x:c r="AD202" s="2" t="n"/>
      <x:c r="AE202" s="2" t="n"/>
      <x:c r="AF202" s="2" t="inlineStr">
        <x:is>
          <x:t xml:space="preserve">Imported from SRD 5.2.1 p. 330 Index of Stat Blocks</x:t>
        </x:is>
      </x:c>
      <x:c r="AG202" s="2" t="inlineStr">
        <x:is>
          <x:t xml:space="preserve">https://www.dndbeyond.com/srd</x:t>
        </x:is>
      </x:c>
    </x:row>
    <x:row r="203" ht="18" customHeight="1">
      <x:c r="A203" s="2" t="inlineStr">
        <x:is>
          <x:t xml:space="preserve">Stone Golem</x:t>
        </x:is>
      </x:c>
      <x:c r="B203" s="2" t="inlineStr">
        <x:is>
          <x:t xml:space="preserve">SRD 5.2.1</x:t>
        </x:is>
      </x:c>
      <x:c r="C203" s="2" t="inlineStr">
        <x:is>
          <x:t xml:space="preserve">Construct</x:t>
        </x:is>
      </x:c>
      <x:c r="D203" s="2" t="inlineStr">
        <x:is>
          <x:t xml:space="preserve">Large</x:t>
        </x:is>
      </x:c>
      <x:c r="E203" s="2" t="inlineStr">
        <x:is>
          <x:t xml:space="preserve">Unaligned</x:t>
        </x:is>
      </x:c>
      <x:c r="F203" s="2" t="inlineStr">
        <x:is>
          <x:t xml:space="preserve">10</x:t>
        </x:is>
      </x:c>
      <x:c r="G203" s="2" t="inlineStr">
        <x:is>
          <x:t xml:space="preserve">5900</x:t>
        </x:is>
      </x:c>
      <x:c r="H203" s="2" t="inlineStr">
        <x:is>
          <x:t xml:space="preserve">18</x:t>
        </x:is>
      </x:c>
      <x:c r="I203" s="2" t="inlineStr">
        <x:is>
          <x:t xml:space="preserve">220</x:t>
        </x:is>
      </x:c>
      <x:c r="J203" s="2" t="inlineStr">
        <x:is>
          <x:t xml:space="preserve">30 ft.</x:t>
        </x:is>
      </x:c>
      <x:c r="K203" s="2" t="inlineStr">
        <x:is>
          <x:t xml:space="preserve">4</x:t>
        </x:is>
      </x:c>
      <x:c r="L203" s="2" t="inlineStr">
        <x:is>
          <x:t xml:space="preserve">10</x:t>
        </x:is>
      </x:c>
      <x:c r="M203" s="2" t="n"/>
      <x:c r="N203" s="2" t="inlineStr">
        <x:is>
          <x:t xml:space="preserve">10</x:t>
        </x:is>
      </x:c>
      <x:c r="O203" s="2" t="inlineStr">
        <x:is>
          <x:t xml:space="preserve">3</x:t>
        </x:is>
      </x:c>
      <x:c r="P203" s="2" t="inlineStr">
        <x:is>
          <x:t xml:space="preserve">22</x:t>
        </x:is>
      </x:c>
      <x:c r="Q203" s="2" t="inlineStr">
        <x:is>
          <x:t xml:space="preserve">9</x:t>
        </x:is>
      </x:c>
      <x:c r="R203" s="2" t="inlineStr">
        <x:is>
          <x:t xml:space="preserve">20</x:t>
        </x:is>
      </x:c>
      <x:c r="S203" s="2" t="inlineStr">
        <x:is>
          <x:t xml:space="preserve">3</x:t>
        </x:is>
      </x:c>
      <x:c r="T203" s="2" t="inlineStr">
        <x:is>
          <x:t xml:space="preserve">11</x:t>
        </x:is>
      </x:c>
      <x:c r="U203" s="2" t="inlineStr">
        <x:is>
          <x:t xml:space="preserve">1</x:t>
        </x:is>
      </x:c>
      <x:c r="V203" s="2" t="n"/>
      <x:c r="W203" s="2" t="n"/>
      <x:c r="X203" s="2" t="inlineStr">
        <x:is>
          <x:t xml:space="preserve">Darkvision 120 ft.; Passive Perception 10</x:t>
        </x:is>
      </x:c>
      <x:c r="Y203" s="2" t="inlineStr">
        <x:is>
          <x:t xml:space="preserve">Understands Common plus two other languages but can’t speak</x:t>
        </x:is>
      </x:c>
      <x:c r="Z203" s="2" t="inlineStr">
        <x:is>
          <x:t xml:space="preserve">Immutable Form. The golem can’t shape-shift. Magic Resistance. The golem has Advantage on saving throws against spells and other magical effects.</x:t>
        </x:is>
      </x:c>
      <x:c r="AA203" s="2" t="inlineStr">
        <x:is>
          <x:t xml:space="preserve">Multiattack. The golem makes two attacks, using Slam or Force Bolt in any combination. Slam. Melee Attack Roll: +10, reach 5 ft. Hit: 15 (2d8 + 6) Bludgeoning damage plus 9 (2d8) Force damage. Force Bolt. Ranged Attack Roll: +9, range 120 ft. Hit: 22 (4d10) Force damage.</x:t>
        </x:is>
      </x:c>
      <x:c r="AB203" s="2" t="inlineStr">
        <x:is>
          <x:t xml:space="preserve">Slow (Recharge 5-6). The golem casts the Slow spell, requiring no spell components and using Constitution as the spellcasting ability (spell save DC 17). Storm Giant</x:t>
        </x:is>
      </x:c>
      <x:c r="AC203" s="2" t="n"/>
      <x:c r="AD203" s="2" t="n"/>
      <x:c r="AE203" s="2" t="n"/>
      <x:c r="AF203" s="2" t="inlineStr">
        <x:is>
          <x:t xml:space="preserve">Imported from SRD 5.2.1 p. 330 Index of Stat Blocks</x:t>
        </x:is>
      </x:c>
      <x:c r="AG203" s="2" t="inlineStr">
        <x:is>
          <x:t xml:space="preserve">https://www.dndbeyond.com/srd</x:t>
        </x:is>
      </x:c>
    </x:row>
    <x:row r="204" ht="18" customHeight="1">
      <x:c r="A204" s="2" t="inlineStr">
        <x:is>
          <x:t xml:space="preserve">Storm Giant</x:t>
        </x:is>
      </x:c>
      <x:c r="B204" s="2" t="inlineStr">
        <x:is>
          <x:t xml:space="preserve">SRD 5.2.1</x:t>
        </x:is>
      </x:c>
      <x:c r="C204" s="2" t="inlineStr">
        <x:is>
          <x:t xml:space="preserve">Giant</x:t>
        </x:is>
      </x:c>
      <x:c r="D204" s="2" t="inlineStr">
        <x:is>
          <x:t xml:space="preserve">Huge</x:t>
        </x:is>
      </x:c>
      <x:c r="E204" s="2" t="inlineStr">
        <x:is>
          <x:t xml:space="preserve">Chaotic Good</x:t>
        </x:is>
      </x:c>
      <x:c r="F204" s="2" t="inlineStr">
        <x:is>
          <x:t xml:space="preserve">13</x:t>
        </x:is>
      </x:c>
      <x:c r="G204" s="2" t="inlineStr">
        <x:is>
          <x:t xml:space="preserve">10000</x:t>
        </x:is>
      </x:c>
      <x:c r="H204" s="2" t="inlineStr">
        <x:is>
          <x:t xml:space="preserve">16</x:t>
        </x:is>
      </x:c>
      <x:c r="I204" s="2" t="inlineStr">
        <x:is>
          <x:t xml:space="preserve">230</x:t>
        </x:is>
      </x:c>
      <x:c r="J204" s="2" t="inlineStr">
        <x:is>
          <x:t xml:space="preserve">50 ft., Fly 25 ft. (hover), Swim 50 ft.</x:t>
        </x:is>
      </x:c>
      <x:c r="K204" s="2" t="inlineStr">
        <x:is>
          <x:t xml:space="preserve">5</x:t>
        </x:is>
      </x:c>
      <x:c r="L204" s="2" t="inlineStr">
        <x:is>
          <x:t xml:space="preserve">20</x:t>
        </x:is>
      </x:c>
      <x:c r="M204" s="2" t="n"/>
      <x:c r="N204" s="2" t="inlineStr">
        <x:is>
          <x:t xml:space="preserve">14</x:t>
        </x:is>
      </x:c>
      <x:c r="O204" s="2" t="inlineStr">
        <x:is>
          <x:t xml:space="preserve">7</x:t>
        </x:is>
      </x:c>
      <x:c r="P204" s="2" t="inlineStr">
        <x:is>
          <x:t xml:space="preserve">29</x:t>
        </x:is>
      </x:c>
      <x:c r="Q204" s="2" t="inlineStr">
        <x:is>
          <x:t xml:space="preserve">14</x:t>
        </x:is>
      </x:c>
      <x:c r="R204" s="2" t="inlineStr">
        <x:is>
          <x:t xml:space="preserve">20</x:t>
        </x:is>
      </x:c>
      <x:c r="S204" s="2" t="inlineStr">
        <x:is>
          <x:t xml:space="preserve">16</x:t>
        </x:is>
      </x:c>
      <x:c r="T204" s="2" t="inlineStr">
        <x:is>
          <x:t xml:space="preserve">20</x:t>
        </x:is>
      </x:c>
      <x:c r="U204" s="2" t="inlineStr">
        <x:is>
          <x:t xml:space="preserve">18</x:t>
        </x:is>
      </x:c>
      <x:c r="V204" s="2" t="inlineStr">
        <x:is>
          <x:t xml:space="preserve">STR +14, CON +10, WIS +10, CHA +9</x:t>
        </x:is>
      </x:c>
      <x:c r="W204" s="2" t="inlineStr">
        <x:is>
          <x:t xml:space="preserve">Arcana +8, Athletics +14, History +8, Perception +10</x:t>
        </x:is>
      </x:c>
      <x:c r="X204" s="2" t="inlineStr">
        <x:is>
          <x:t xml:space="preserve">Darkvision 120 ft., Truesight 30 ft.; Passive Perception 20</x:t>
        </x:is>
      </x:c>
      <x:c r="Y204" s="2" t="inlineStr">
        <x:is>
          <x:t xml:space="preserve">Common, Giant</x:t>
        </x:is>
      </x:c>
      <x:c r="Z204" s="2" t="inlineStr">
        <x:is>
          <x:t xml:space="preserve">Amphibious. The giant can breathe air and water.</x:t>
        </x:is>
      </x:c>
      <x:c r="AA204" s="2" t="inlineStr">
        <x:is>
          <x:t xml:space="preserve">Multiattack. The giant makes two attacks, using Storm Sword or Thunderbolt in any combination. Storm Sword. Melee Attack Roll: +14, reach 10 ft. Hit: 23 (4d6 + 9) Slashing damage plus 13 (3d8) Light- ning damage. Thunderbolt. Ranged Attack Roll: +14, range 500 ft. Hit: 22 (2d12 + 9) Lightning damage, and the target has the Blinded and Deafened conditions until the start of the giant’s next turn. Lightning Storm (Recharge 5-6). Dexterity Saving Throw: DC 18, each creature in a 10-foot-radius, 40-foot-high Cylinder originating from a point the giant can see within 500 feet. Failure: 55 (10d10) Lightning damage. Success: Half damage. Spellcasting. The giant casts one of the following spells, requiring no Material components and using Wisdom as the spellcasting ability (spell save DC 18): At Will: Detect Magic, Light 1/Day: Control Weather Succubus</x:t>
        </x:is>
      </x:c>
      <x:c r="AB204" s="2" t="n"/>
      <x:c r="AC204" s="2" t="n"/>
      <x:c r="AD204" s="2" t="n"/>
      <x:c r="AE204" s="2" t="inlineStr">
        <x:is>
          <x:t xml:space="preserve">Includes Spellcasting; see Traits/Actions text</x:t>
        </x:is>
      </x:c>
      <x:c r="AF204" s="2" t="inlineStr">
        <x:is>
          <x:t xml:space="preserve">Imported from SRD 5.2.1 p. 330 Index of Stat Blocks</x:t>
        </x:is>
      </x:c>
      <x:c r="AG204" s="2" t="inlineStr">
        <x:is>
          <x:t xml:space="preserve">https://www.dndbeyond.com/srd</x:t>
        </x:is>
      </x:c>
    </x:row>
    <x:row r="205" ht="18" customHeight="1">
      <x:c r="A205" s="2" t="inlineStr">
        <x:is>
          <x:t xml:space="preserve">Succubus</x:t>
        </x:is>
      </x:c>
      <x:c r="B205" s="2" t="inlineStr">
        <x:is>
          <x:t xml:space="preserve">SRD 5.2.1</x:t>
        </x:is>
      </x:c>
      <x:c r="C205" s="2" t="inlineStr">
        <x:is>
          <x:t xml:space="preserve">Fiend</x:t>
        </x:is>
      </x:c>
      <x:c r="D205" s="2" t="inlineStr">
        <x:is>
          <x:t xml:space="preserve">Medium</x:t>
        </x:is>
      </x:c>
      <x:c r="E205" s="2" t="inlineStr">
        <x:is>
          <x:t xml:space="preserve">Neutral Evil</x:t>
        </x:is>
      </x:c>
      <x:c r="F205" s="2" t="inlineStr">
        <x:is>
          <x:t xml:space="preserve">4</x:t>
        </x:is>
      </x:c>
      <x:c r="G205" s="2" t="inlineStr">
        <x:is>
          <x:t xml:space="preserve">1100</x:t>
        </x:is>
      </x:c>
      <x:c r="H205" s="2" t="inlineStr">
        <x:is>
          <x:t xml:space="preserve">15</x:t>
        </x:is>
      </x:c>
      <x:c r="I205" s="2" t="inlineStr">
        <x:is>
          <x:t xml:space="preserve">71</x:t>
        </x:is>
      </x:c>
      <x:c r="J205" s="2" t="inlineStr">
        <x:is>
          <x:t xml:space="preserve">30 ft., Fly 60 ft.</x:t>
        </x:is>
      </x:c>
      <x:c r="K205" s="2" t="inlineStr">
        <x:is>
          <x:t xml:space="preserve">2</x:t>
        </x:is>
      </x:c>
      <x:c r="L205" s="2" t="inlineStr">
        <x:is>
          <x:t xml:space="preserve">15</x:t>
        </x:is>
      </x:c>
      <x:c r="M205" s="2" t="inlineStr">
        <x:is>
          <x:t xml:space="preserve">15</x:t>
        </x:is>
      </x:c>
      <x:c r="N205" s="2" t="inlineStr">
        <x:is>
          <x:t xml:space="preserve">7</x:t>
        </x:is>
      </x:c>
      <x:c r="O205" s="2" t="inlineStr">
        <x:is>
          <x:t xml:space="preserve">3</x:t>
        </x:is>
      </x:c>
      <x:c r="P205" s="2" t="inlineStr">
        <x:is>
          <x:t xml:space="preserve">8</x:t>
        </x:is>
      </x:c>
      <x:c r="Q205" s="2" t="inlineStr">
        <x:is>
          <x:t xml:space="preserve">17</x:t>
        </x:is>
      </x:c>
      <x:c r="R205" s="2" t="inlineStr">
        <x:is>
          <x:t xml:space="preserve">13</x:t>
        </x:is>
      </x:c>
      <x:c r="S205" s="2" t="inlineStr">
        <x:is>
          <x:t xml:space="preserve">15</x:t>
        </x:is>
      </x:c>
      <x:c r="T205" s="2" t="inlineStr">
        <x:is>
          <x:t xml:space="preserve">12</x:t>
        </x:is>
      </x:c>
      <x:c r="U205" s="2" t="inlineStr">
        <x:is>
          <x:t xml:space="preserve">20</x:t>
        </x:is>
      </x:c>
      <x:c r="V205" s="2" t="n"/>
      <x:c r="W205" s="2" t="inlineStr">
        <x:is>
          <x:t xml:space="preserve">Deception +9, Insight +5, Perception +5, Persuasion +9, Stealth +7</x:t>
        </x:is>
      </x:c>
      <x:c r="X205" s="2" t="inlineStr">
        <x:is>
          <x:t xml:space="preserve">Darkvision 60 ft.; Passive Perception 15</x:t>
        </x:is>
      </x:c>
      <x:c r="Y205" s="2" t="inlineStr">
        <x:is>
          <x:t xml:space="preserve">Abyssal, Common, Infernal; telepathy 60 ft.</x:t>
        </x:is>
      </x:c>
      <x:c r="Z205" s="2" t="inlineStr">
        <x:is>
          <x:t xml:space="preserve">Incubus Form. When the succubus finishes a Long Rest, it can shape-shift into an Incubus, using that stat block instead of this one.</x:t>
        </x:is>
      </x:c>
      <x:c r="AA205" s="2" t="inlineStr">
        <x:is>
          <x:t xml:space="preserve">Multiattack. The succubus makes one Fiendish Touch attack and uses Charm or Draining Kiss. Fiendish Touch. Melee Attack Roll: +7, reach 5 ft. Hit: 16 (2d10 + 5) Psychic damage. Charm. The succubus casts Dominate Person (level 8 version), requiring no spell components and using Cha- risma as the spellcasting ability (spell save DC 15). Draining Kiss. Constitution Saving Throw: DC 15, one creature Charmed by the succubus within 5 feet. Fail- ure: 13 (3d8) Psychic damage. Success: Half damage. Failure or Success: The target’s Hit Point maximum de- creases by an amount equal to the damage taken.</x:t>
        </x:is>
      </x:c>
      <x:c r="AB205" s="2" t="inlineStr">
        <x:is>
          <x:t xml:space="preserve">Shape-Shift. The succubus shape-shifts into a Medium or Small Humanoid, or it returns to its true form. Its game statistics are the same in each form, except its Fly Speed is available only in its true form. Any equipment it is wearing or carrying isn’t transformed. Tarrasque</x:t>
        </x:is>
      </x:c>
      <x:c r="AC205" s="2" t="n"/>
      <x:c r="AD205" s="2" t="n"/>
      <x:c r="AE205" s="2" t="n"/>
      <x:c r="AF205" s="2" t="inlineStr">
        <x:is>
          <x:t xml:space="preserve">Imported from SRD 5.2.1 p. 331 Index of Stat Blocks</x:t>
        </x:is>
      </x:c>
      <x:c r="AG205" s="2" t="inlineStr">
        <x:is>
          <x:t xml:space="preserve">https://www.dndbeyond.com/srd</x:t>
        </x:is>
      </x:c>
    </x:row>
    <x:row r="206" ht="18" customHeight="1">
      <x:c r="A206" s="2" t="inlineStr">
        <x:is>
          <x:t xml:space="preserve">Tarrasque</x:t>
        </x:is>
      </x:c>
      <x:c r="B206" s="2" t="inlineStr">
        <x:is>
          <x:t xml:space="preserve">SRD 5.2.1</x:t>
        </x:is>
      </x:c>
      <x:c r="C206" s="2" t="inlineStr">
        <x:is>
          <x:t xml:space="preserve">Monstrosity (Titan)</x:t>
        </x:is>
      </x:c>
      <x:c r="D206" s="2" t="inlineStr">
        <x:is>
          <x:t xml:space="preserve">Gargantuan</x:t>
        </x:is>
      </x:c>
      <x:c r="E206" s="2" t="inlineStr">
        <x:is>
          <x:t xml:space="preserve">Unaligned</x:t>
        </x:is>
      </x:c>
      <x:c r="F206" s="2" t="inlineStr">
        <x:is>
          <x:t xml:space="preserve">30</x:t>
        </x:is>
      </x:c>
      <x:c r="G206" s="2" t="inlineStr">
        <x:is>
          <x:t xml:space="preserve">155000</x:t>
        </x:is>
      </x:c>
      <x:c r="H206" s="2" t="inlineStr">
        <x:is>
          <x:t xml:space="preserve">25</x:t>
        </x:is>
      </x:c>
      <x:c r="I206" s="2" t="inlineStr">
        <x:is>
          <x:t xml:space="preserve">697</x:t>
        </x:is>
      </x:c>
      <x:c r="J206" s="2" t="inlineStr">
        <x:is>
          <x:t xml:space="preserve">60 ft., Burrow 40 ft., Climb 60 ft.</x:t>
        </x:is>
      </x:c>
      <x:c r="K206" s="2" t="inlineStr">
        <x:is>
          <x:t xml:space="preserve">9</x:t>
        </x:is>
      </x:c>
      <x:c r="L206" s="2" t="inlineStr">
        <x:is>
          <x:t xml:space="preserve">19</x:t>
        </x:is>
      </x:c>
      <x:c r="M206" s="2" t="inlineStr">
        <x:is>
          <x:t xml:space="preserve">27</x:t>
        </x:is>
      </x:c>
      <x:c r="N206" s="2" t="inlineStr">
        <x:is>
          <x:t xml:space="preserve">19</x:t>
        </x:is>
      </x:c>
      <x:c r="O206" s="2" t="inlineStr">
        <x:is>
          <x:t xml:space="preserve">18</x:t>
        </x:is>
      </x:c>
      <x:c r="P206" s="2" t="inlineStr">
        <x:is>
          <x:t xml:space="preserve">30</x:t>
        </x:is>
      </x:c>
      <x:c r="Q206" s="2" t="inlineStr">
        <x:is>
          <x:t xml:space="preserve">11</x:t>
        </x:is>
      </x:c>
      <x:c r="R206" s="2" t="inlineStr">
        <x:is>
          <x:t xml:space="preserve">30</x:t>
        </x:is>
      </x:c>
      <x:c r="S206" s="2" t="inlineStr">
        <x:is>
          <x:t xml:space="preserve">3</x:t>
        </x:is>
      </x:c>
      <x:c r="T206" s="2" t="inlineStr">
        <x:is>
          <x:t xml:space="preserve">11</x:t>
        </x:is>
      </x:c>
      <x:c r="U206" s="2" t="inlineStr">
        <x:is>
          <x:t xml:space="preserve">11</x:t>
        </x:is>
      </x:c>
      <x:c r="V206" s="2" t="inlineStr">
        <x:is>
          <x:t xml:space="preserve">DEX +9, WIS +9, CHA +9</x:t>
        </x:is>
      </x:c>
      <x:c r="W206" s="2" t="inlineStr">
        <x:is>
          <x:t xml:space="preserve">Perception +9</x:t>
        </x:is>
      </x:c>
      <x:c r="X206" s="2" t="inlineStr">
        <x:is>
          <x:t xml:space="preserve">Blindsight 120 ft.; Passive Perception 19</x:t>
        </x:is>
      </x:c>
      <x:c r="Y206" s="2" t="inlineStr">
        <x:is>
          <x:t xml:space="preserve">None</x:t>
        </x:is>
      </x:c>
      <x:c r="Z206" s="2" t="inlineStr">
        <x:is>
          <x:t xml:space="preserve">Legendary Resistance (6/Day). If the tarrasque fails a saving throw, it can choose to succeed instead. Magic Resistance. The tarrasque has Advantage on sav- ing throws against spells and other magical effects. Reflective Carapace. If the tarrasque is targeted by a Magic Missile spell or a spell that requires a ranged attack roll, roll 1d6. On a 1-5, the tarrasque is unaf- fected. On a 6, the tarrasque is unaffected and reflects the spell, turning the caster into the target. Siege Monster. The tarrasque deals double damage to objects and structures.</x:t>
        </x:is>
      </x:c>
      <x:c r="AA206" s="2" t="inlineStr">
        <x:is>
          <x:t xml:space="preserve">Multiattack. The tarrasque makes one Bite attack and three other attacks, using Claw or Tail in any combination. Bite. Melee Attack Roll: +19, reach 15 ft. Hit: 36 (4d12 + 10) Piercing damage, and the target has the Grappled condition (escape DC 20). Until the grapple ends, the target has the Restrained condition and can’t teleport. Claw. Melee Attack Roll: +19, reach 15 ft. Hit: 28 (4d8 + 10) Slashing damage. Tail. Melee Attack Roll: +19, reach 30 ft. Hit: 23 (3d8 + 10) Bludgeoning damage. If the target is a Huge or smaller creature, it has the Prone condition. Thunderous Bellow (Recharge 5-6). Constitution Sav- ing Throw: DC 27, each creature and each object that isn’t being worn or carried in a 150-foot Cone. Failure: 78 (12d12) Thunder damage, and the target has the Deafened and Frightened conditions until the end of its next turn. Success: Half damage only.</x:t>
        </x:is>
      </x:c>
      <x:c r="AB206" s="2" t="inlineStr">
        <x:is>
          <x:t xml:space="preserve">Swallow. Strength Saving Throw: DC 27, one Large or smaller creature Grappled by the tarrasque (it can have up to six creatures swallowed at a time). Failure: The target is swallowed, and the Grappled condition ends. A swallowed creature has the Blinded and Restrained conditions and can’t teleport, it has Total Cover against attacks and other effects outside the tarrasque, and it takes 56 (16d6) Acid damage at the start of each of the tarrasque’s turns. If the tarrasque takes 60 damage or more on a single turn from a creature inside it, the tarrasque must suc- ceed on a DC 20 Constitution saving throw at the end of that turn or regurgitate all swallowed creatures, each of which falls in a space within 10 feet of the tarrasque and has the Prone condition. If the tarrasque dies, any swallowed creature no longer has the Restrained con- dition and can escape from the corpse using 20 feet of movement, exiting Prone.</x:t>
        </x:is>
      </x:c>
      <x:c r="AC206" s="2" t="n"/>
      <x:c r="AD206" s="2" t="inlineStr">
        <x:is>
          <x:t xml:space="preserve">Legendary Action Uses: 3. Immediately after another creature’s turn, the tarrasque can expend a use to take one of the following actions. The tarrasque regains all expended uses at the start of each of its turns. Onslaught. The tarrasque moves up to half its Speed, and it makes one Claw or Tail attack. World-Shaking Movement. The tarrasque moves up to its Speed. At the end of this movement, the tarrasque creates an instantaneous shock wave in a 60-foot Em- anation originating from itself. Creatures in that area lose Concentration and, if Medium or smaller, have the Prone condition. The tarrasque can’t take this action again until the start of its next turn. Toughs</x:t>
        </x:is>
      </x:c>
      <x:c r="AE206" s="2" t="n"/>
      <x:c r="AF206" s="2" t="inlineStr">
        <x:is>
          <x:t xml:space="preserve">Imported from SRD 5.2.1 p. 331 Index of Stat Blocks</x:t>
        </x:is>
      </x:c>
      <x:c r="AG206" s="2" t="inlineStr">
        <x:is>
          <x:t xml:space="preserve">https://www.dndbeyond.com/srd</x:t>
        </x:is>
      </x:c>
    </x:row>
    <x:row r="207" ht="18" customHeight="1">
      <x:c r="A207" s="2" t="inlineStr">
        <x:is>
          <x:t xml:space="preserve">Tough</x:t>
        </x:is>
      </x:c>
      <x:c r="B207" s="2" t="inlineStr">
        <x:is>
          <x:t xml:space="preserve">SRD 5.2.1</x:t>
        </x:is>
      </x:c>
      <x:c r="C207" s="2" t="inlineStr">
        <x:is>
          <x:t xml:space="preserve">Humanoid</x:t>
        </x:is>
      </x:c>
      <x:c r="D207" s="2" t="inlineStr">
        <x:is>
          <x:t xml:space="preserve">Medium or Small</x:t>
        </x:is>
      </x:c>
      <x:c r="E207" s="2" t="inlineStr">
        <x:is>
          <x:t xml:space="preserve">Neutral</x:t>
        </x:is>
      </x:c>
      <x:c r="F207" s="2" t="inlineStr">
        <x:is>
          <x:t xml:space="preserve">1/2</x:t>
        </x:is>
      </x:c>
      <x:c r="G207" s="2" t="inlineStr">
        <x:is>
          <x:t xml:space="preserve">100</x:t>
        </x:is>
      </x:c>
      <x:c r="H207" s="2" t="inlineStr">
        <x:is>
          <x:t xml:space="preserve">12</x:t>
        </x:is>
      </x:c>
      <x:c r="I207" s="2" t="inlineStr">
        <x:is>
          <x:t xml:space="preserve">32</x:t>
        </x:is>
      </x:c>
      <x:c r="J207" s="2" t="inlineStr">
        <x:is>
          <x:t xml:space="preserve">30 ft.</x:t>
        </x:is>
      </x:c>
      <x:c r="K207" s="2" t="inlineStr">
        <x:is>
          <x:t xml:space="preserve">2</x:t>
        </x:is>
      </x:c>
      <x:c r="L207" s="2" t="inlineStr">
        <x:is>
          <x:t xml:space="preserve">10</x:t>
        </x:is>
      </x:c>
      <x:c r="M207" s="2" t="n"/>
      <x:c r="N207" s="2" t="inlineStr">
        <x:is>
          <x:t xml:space="preserve">4</x:t>
        </x:is>
      </x:c>
      <x:c r="O207" s="2" t="inlineStr">
        <x:is>
          <x:t xml:space="preserve">1</x:t>
        </x:is>
      </x:c>
      <x:c r="P207" s="2" t="inlineStr">
        <x:is>
          <x:t xml:space="preserve">15</x:t>
        </x:is>
      </x:c>
      <x:c r="Q207" s="2" t="inlineStr">
        <x:is>
          <x:t xml:space="preserve">12</x:t>
        </x:is>
      </x:c>
      <x:c r="R207" s="2" t="inlineStr">
        <x:is>
          <x:t xml:space="preserve">14</x:t>
        </x:is>
      </x:c>
      <x:c r="S207" s="2" t="inlineStr">
        <x:is>
          <x:t xml:space="preserve">10</x:t>
        </x:is>
      </x:c>
      <x:c r="T207" s="2" t="inlineStr">
        <x:is>
          <x:t xml:space="preserve">10</x:t>
        </x:is>
      </x:c>
      <x:c r="U207" s="2" t="inlineStr">
        <x:is>
          <x:t xml:space="preserve">11</x:t>
        </x:is>
      </x:c>
      <x:c r="V207" s="2" t="n"/>
      <x:c r="W207" s="2" t="n"/>
      <x:c r="X207" s="2" t="inlineStr">
        <x:is>
          <x:t xml:space="preserve">Passive Perception 10</x:t>
        </x:is>
      </x:c>
      <x:c r="Y207" s="2" t="inlineStr">
        <x:is>
          <x:t xml:space="preserve">Common</x:t>
        </x:is>
      </x:c>
      <x:c r="Z207" s="2" t="inlineStr">
        <x:is>
          <x:t xml:space="preserve">Pack Tactics. The tough has Advantage on an attack roll against a creature if at least one of the tough’s allies is within 5 feet of the creature and the ally doesn’t have the Incapacitated condition.</x:t>
        </x:is>
      </x:c>
      <x:c r="AA207" s="2" t="inlineStr">
        <x:is>
          <x:t xml:space="preserve">Mace. Melee Attack Roll: +4, reach 5 ft. Hit: 5 (1d6 + 2) Bludgeoning damage. Heavy Crossbow. Ranged Attack Roll: +3, range 100/400 ft. Hit: 6 (1d10 + 1) Piercing damage.</x:t>
        </x:is>
      </x:c>
      <x:c r="AB207" s="2" t="n"/>
      <x:c r="AC207" s="2" t="n"/>
      <x:c r="AD207" s="2" t="n"/>
      <x:c r="AE207" s="2" t="n"/>
      <x:c r="AF207" s="2" t="inlineStr">
        <x:is>
          <x:t xml:space="preserve">Imported from SRD 5.2.1 p. 332 Index of Stat Blocks</x:t>
        </x:is>
      </x:c>
      <x:c r="AG207" s="2" t="inlineStr">
        <x:is>
          <x:t xml:space="preserve">https://www.dndbeyond.com/srd</x:t>
        </x:is>
      </x:c>
    </x:row>
    <x:row r="208" ht="18" customHeight="1">
      <x:c r="A208" s="2" t="inlineStr">
        <x:is>
          <x:t xml:space="preserve">Tough Boss</x:t>
        </x:is>
      </x:c>
      <x:c r="B208" s="2" t="inlineStr">
        <x:is>
          <x:t xml:space="preserve">SRD 5.2.1</x:t>
        </x:is>
      </x:c>
      <x:c r="C208" s="2" t="inlineStr">
        <x:is>
          <x:t xml:space="preserve">Humanoid</x:t>
        </x:is>
      </x:c>
      <x:c r="D208" s="2" t="inlineStr">
        <x:is>
          <x:t xml:space="preserve">Medium or Small</x:t>
        </x:is>
      </x:c>
      <x:c r="E208" s="2" t="inlineStr">
        <x:is>
          <x:t xml:space="preserve">Neutral</x:t>
        </x:is>
      </x:c>
      <x:c r="F208" s="2" t="inlineStr">
        <x:is>
          <x:t xml:space="preserve">4</x:t>
        </x:is>
      </x:c>
      <x:c r="G208" s="2" t="inlineStr">
        <x:is>
          <x:t xml:space="preserve">1100</x:t>
        </x:is>
      </x:c>
      <x:c r="H208" s="2" t="inlineStr">
        <x:is>
          <x:t xml:space="preserve">16</x:t>
        </x:is>
      </x:c>
      <x:c r="I208" s="2" t="inlineStr">
        <x:is>
          <x:t xml:space="preserve">82</x:t>
        </x:is>
      </x:c>
      <x:c r="J208" s="2" t="inlineStr">
        <x:is>
          <x:t xml:space="preserve">30 ft.</x:t>
        </x:is>
      </x:c>
      <x:c r="K208" s="2" t="inlineStr">
        <x:is>
          <x:t xml:space="preserve">2</x:t>
        </x:is>
      </x:c>
      <x:c r="L208" s="2" t="inlineStr">
        <x:is>
          <x:t xml:space="preserve">10</x:t>
        </x:is>
      </x:c>
      <x:c r="M208" s="2" t="n"/>
      <x:c r="N208" s="2" t="inlineStr">
        <x:is>
          <x:t xml:space="preserve">5</x:t>
        </x:is>
      </x:c>
      <x:c r="O208" s="2" t="inlineStr">
        <x:is>
          <x:t xml:space="preserve">2</x:t>
        </x:is>
      </x:c>
      <x:c r="P208" s="2" t="inlineStr">
        <x:is>
          <x:t xml:space="preserve">17</x:t>
        </x:is>
      </x:c>
      <x:c r="Q208" s="2" t="inlineStr">
        <x:is>
          <x:t xml:space="preserve">14</x:t>
        </x:is>
      </x:c>
      <x:c r="R208" s="2" t="inlineStr">
        <x:is>
          <x:t xml:space="preserve">16</x:t>
        </x:is>
      </x:c>
      <x:c r="S208" s="2" t="inlineStr">
        <x:is>
          <x:t xml:space="preserve">11</x:t>
        </x:is>
      </x:c>
      <x:c r="T208" s="2" t="inlineStr">
        <x:is>
          <x:t xml:space="preserve">10</x:t>
        </x:is>
      </x:c>
      <x:c r="U208" s="2" t="inlineStr">
        <x:is>
          <x:t xml:space="preserve">11</x:t>
        </x:is>
      </x:c>
      <x:c r="V208" s="2" t="inlineStr">
        <x:is>
          <x:t xml:space="preserve">STR +5, CON +5, CHA +2</x:t>
        </x:is>
      </x:c>
      <x:c r="W208" s="2" t="n"/>
      <x:c r="X208" s="2" t="inlineStr">
        <x:is>
          <x:t xml:space="preserve">Passive Perception 10</x:t>
        </x:is>
      </x:c>
      <x:c r="Y208" s="2" t="inlineStr">
        <x:is>
          <x:t xml:space="preserve">Common plus one other language</x:t>
        </x:is>
      </x:c>
      <x:c r="Z208" s="2" t="inlineStr">
        <x:is>
          <x:t xml:space="preserve">Pack Tactics. The tough has Advantage on an attack roll against a creature if at least one of the tough’s allies is within 5 feet of the creature and the ally doesn’t have the Incapacitated condition.</x:t>
        </x:is>
      </x:c>
      <x:c r="AA208" s="2" t="inlineStr">
        <x:is>
          <x:t xml:space="preserve">Multiattack. The tough makes two attacks, using War- hammer or Heavy Crossbow in any combination. Warhammer. Melee Attack Roll: +5, reach 5 ft. Hit: 12 (2d8 + 3) Bludgeoning damage. If the target is a Large or smaller creature, the tough pushes the target up to 10 feet straight away from itself. Heavy Crossbow. Ranged Attack Roll: +4, range 100/400 ft. Hit: 13 (2d10 + 2) Piercing damage. Treant</x:t>
        </x:is>
      </x:c>
      <x:c r="AB208" s="2" t="n"/>
      <x:c r="AC208" s="2" t="n"/>
      <x:c r="AD208" s="2" t="n"/>
      <x:c r="AE208" s="2" t="n"/>
      <x:c r="AF208" s="2" t="inlineStr">
        <x:is>
          <x:t xml:space="preserve">Imported from SRD 5.2.1 p. 332 Index of Stat Blocks</x:t>
        </x:is>
      </x:c>
      <x:c r="AG208" s="2" t="inlineStr">
        <x:is>
          <x:t xml:space="preserve">https://www.dndbeyond.com/srd</x:t>
        </x:is>
      </x:c>
    </x:row>
    <x:row r="209" ht="18" customHeight="1">
      <x:c r="A209" s="2" t="inlineStr">
        <x:is>
          <x:t xml:space="preserve">Treant</x:t>
        </x:is>
      </x:c>
      <x:c r="B209" s="2" t="inlineStr">
        <x:is>
          <x:t xml:space="preserve">SRD 5.2.1</x:t>
        </x:is>
      </x:c>
      <x:c r="C209" s="2" t="inlineStr">
        <x:is>
          <x:t xml:space="preserve">Plant</x:t>
        </x:is>
      </x:c>
      <x:c r="D209" s="2" t="inlineStr">
        <x:is>
          <x:t xml:space="preserve">Huge</x:t>
        </x:is>
      </x:c>
      <x:c r="E209" s="2" t="inlineStr">
        <x:is>
          <x:t xml:space="preserve">Chaotic Good</x:t>
        </x:is>
      </x:c>
      <x:c r="F209" s="2" t="inlineStr">
        <x:is>
          <x:t xml:space="preserve">9</x:t>
        </x:is>
      </x:c>
      <x:c r="G209" s="2" t="inlineStr">
        <x:is>
          <x:t xml:space="preserve">5000</x:t>
        </x:is>
      </x:c>
      <x:c r="H209" s="2" t="inlineStr">
        <x:is>
          <x:t xml:space="preserve">16</x:t>
        </x:is>
      </x:c>
      <x:c r="I209" s="2" t="inlineStr">
        <x:is>
          <x:t xml:space="preserve">138</x:t>
        </x:is>
      </x:c>
      <x:c r="J209" s="2" t="inlineStr">
        <x:is>
          <x:t xml:space="preserve">30 ft.</x:t>
        </x:is>
      </x:c>
      <x:c r="K209" s="2" t="inlineStr">
        <x:is>
          <x:t xml:space="preserve">4</x:t>
        </x:is>
      </x:c>
      <x:c r="L209" s="2" t="inlineStr">
        <x:is>
          <x:t xml:space="preserve">13</x:t>
        </x:is>
      </x:c>
      <x:c r="M209" s="2" t="n"/>
      <x:c r="N209" s="2" t="inlineStr">
        <x:is>
          <x:t xml:space="preserve">10</x:t>
        </x:is>
      </x:c>
      <x:c r="O209" s="2" t="inlineStr">
        <x:is>
          <x:t xml:space="preserve">3</x:t>
        </x:is>
      </x:c>
      <x:c r="P209" s="2" t="inlineStr">
        <x:is>
          <x:t xml:space="preserve">23</x:t>
        </x:is>
      </x:c>
      <x:c r="Q209" s="2" t="inlineStr">
        <x:is>
          <x:t xml:space="preserve">8</x:t>
        </x:is>
      </x:c>
      <x:c r="R209" s="2" t="inlineStr">
        <x:is>
          <x:t xml:space="preserve">21</x:t>
        </x:is>
      </x:c>
      <x:c r="S209" s="2" t="inlineStr">
        <x:is>
          <x:t xml:space="preserve">12</x:t>
        </x:is>
      </x:c>
      <x:c r="T209" s="2" t="inlineStr">
        <x:is>
          <x:t xml:space="preserve">16</x:t>
        </x:is>
      </x:c>
      <x:c r="U209" s="2" t="inlineStr">
        <x:is>
          <x:t xml:space="preserve">12</x:t>
        </x:is>
      </x:c>
      <x:c r="V209" s="2" t="n"/>
      <x:c r="W209" s="2" t="n"/>
      <x:c r="X209" s="2" t="inlineStr">
        <x:is>
          <x:t xml:space="preserve">Passive Perception 13</x:t>
        </x:is>
      </x:c>
      <x:c r="Y209" s="2" t="inlineStr">
        <x:is>
          <x:t xml:space="preserve">Common, Druidic, Elvish, Sylvan</x:t>
        </x:is>
      </x:c>
      <x:c r="Z209" s="2" t="inlineStr">
        <x:is>
          <x:t xml:space="preserve">Siege Monster. The treant deals double damage to ob- jects and structures.</x:t>
        </x:is>
      </x:c>
      <x:c r="AA209" s="2" t="inlineStr">
        <x:is>
          <x:t xml:space="preserve">Multiattack. The treant makes two Slam attacks. Slam. Melee Attack Roll: +10, reach 5 ft. Hit: 16 (3d6 + 6) Bludgeoning damage. Hail of Bark. Ranged Attack Roll: +10, range 180 ft. Hit: 28 (4d10 + 6) Piercing damage. Animate Trees (1/Day). The treant magically animates up to two trees it can see within 60 feet of itself. Each tree uses the Treant stat block, except it has Intelligence and Charisma scores of 1, it can’t speak, and it lacks this action. The tree takes its turn immediately after the treant on the same Initiative count, and it obeys the tre- ant. A tree remains animate for 1 day or until it dies, the treant dies, or it is more than 120 feet from the treant. The tree then takes root if possible. Troll</x:t>
        </x:is>
      </x:c>
      <x:c r="AB209" s="2" t="n"/>
      <x:c r="AC209" s="2" t="n"/>
      <x:c r="AD209" s="2" t="n"/>
      <x:c r="AE209" s="2" t="n"/>
      <x:c r="AF209" s="2" t="inlineStr">
        <x:is>
          <x:t xml:space="preserve">Imported from SRD 5.2.1 p. 333 Index of Stat Blocks</x:t>
        </x:is>
      </x:c>
      <x:c r="AG209" s="2" t="inlineStr">
        <x:is>
          <x:t xml:space="preserve">https://www.dndbeyond.com/srd</x:t>
        </x:is>
      </x:c>
    </x:row>
    <x:row r="210" ht="18" customHeight="1">
      <x:c r="A210" s="2" t="inlineStr">
        <x:is>
          <x:t xml:space="preserve">Troll</x:t>
        </x:is>
      </x:c>
      <x:c r="B210" s="2" t="inlineStr">
        <x:is>
          <x:t xml:space="preserve">SRD 5.2.1</x:t>
        </x:is>
      </x:c>
      <x:c r="C210" s="2" t="inlineStr">
        <x:is>
          <x:t xml:space="preserve">Giant</x:t>
        </x:is>
      </x:c>
      <x:c r="D210" s="2" t="inlineStr">
        <x:is>
          <x:t xml:space="preserve">Large</x:t>
        </x:is>
      </x:c>
      <x:c r="E210" s="2" t="inlineStr">
        <x:is>
          <x:t xml:space="preserve">Chaotic Evil</x:t>
        </x:is>
      </x:c>
      <x:c r="F210" s="2" t="inlineStr">
        <x:is>
          <x:t xml:space="preserve">5</x:t>
        </x:is>
      </x:c>
      <x:c r="G210" s="2" t="inlineStr">
        <x:is>
          <x:t xml:space="preserve">1800</x:t>
        </x:is>
      </x:c>
      <x:c r="H210" s="2" t="inlineStr">
        <x:is>
          <x:t xml:space="preserve">15</x:t>
        </x:is>
      </x:c>
      <x:c r="I210" s="2" t="inlineStr">
        <x:is>
          <x:t xml:space="preserve">94</x:t>
        </x:is>
      </x:c>
      <x:c r="J210" s="2" t="inlineStr">
        <x:is>
          <x:t xml:space="preserve">30 ft.</x:t>
        </x:is>
      </x:c>
      <x:c r="K210" s="2" t="inlineStr">
        <x:is>
          <x:t xml:space="preserve">3</x:t>
        </x:is>
      </x:c>
      <x:c r="L210" s="2" t="inlineStr">
        <x:is>
          <x:t xml:space="preserve">15</x:t>
        </x:is>
      </x:c>
      <x:c r="M210" s="2" t="n"/>
      <x:c r="N210" s="2" t="inlineStr">
        <x:is>
          <x:t xml:space="preserve">7</x:t>
        </x:is>
      </x:c>
      <x:c r="O210" s="2" t="inlineStr">
        <x:is>
          <x:t xml:space="preserve">1</x:t>
        </x:is>
      </x:c>
      <x:c r="P210" s="2" t="inlineStr">
        <x:is>
          <x:t xml:space="preserve">18</x:t>
        </x:is>
      </x:c>
      <x:c r="Q210" s="2" t="inlineStr">
        <x:is>
          <x:t xml:space="preserve">13</x:t>
        </x:is>
      </x:c>
      <x:c r="R210" s="2" t="inlineStr">
        <x:is>
          <x:t xml:space="preserve">20</x:t>
        </x:is>
      </x:c>
      <x:c r="S210" s="2" t="inlineStr">
        <x:is>
          <x:t xml:space="preserve">7</x:t>
        </x:is>
      </x:c>
      <x:c r="T210" s="2" t="inlineStr">
        <x:is>
          <x:t xml:space="preserve">9</x:t>
        </x:is>
      </x:c>
      <x:c r="U210" s="2" t="inlineStr">
        <x:is>
          <x:t xml:space="preserve">7</x:t>
        </x:is>
      </x:c>
      <x:c r="V210" s="2" t="n"/>
      <x:c r="W210" s="2" t="inlineStr">
        <x:is>
          <x:t xml:space="preserve">Perception +5</x:t>
        </x:is>
      </x:c>
      <x:c r="X210" s="2" t="inlineStr">
        <x:is>
          <x:t xml:space="preserve">Darkvision 60 ft.; Passive Perception 15</x:t>
        </x:is>
      </x:c>
      <x:c r="Y210" s="2" t="inlineStr">
        <x:is>
          <x:t xml:space="preserve">Giant</x:t>
        </x:is>
      </x:c>
      <x:c r="Z210" s="2" t="inlineStr">
        <x:is>
          <x:t xml:space="preserve">Loathsome Limbs (4/Day). If the troll ends any turn Bloodied and took 15+ Slashing damage during that turn, one of the troll’s limbs is severed, falls into the troll’s space, and becomes a Troll Limb. The limb acts immediately after the troll’s turn. The troll has 1 Exhaus- tion level for each missing limb, and it grows replace- ment limbs the next time it regains Hit Points. Regeneration. The troll regains 15 Hit Points at the start of each of its turns. If the troll takes Acid or Fire dam- age, this trait doesn’t function on the troll’s next turn. The troll dies only if it starts its turn with 0 Hit Points and doesn’t regenerate.</x:t>
        </x:is>
      </x:c>
      <x:c r="AA210" s="2" t="inlineStr">
        <x:is>
          <x:t xml:space="preserve">Multiattack. The troll makes three Rend attacks. Rend. Melee Attack Roll: +7, reach 10 ft. Hit: 11 (2d6 + 4) Slashing damage.</x:t>
        </x:is>
      </x:c>
      <x:c r="AB210" s="2" t="inlineStr">
        <x:is>
          <x:t xml:space="preserve">Charge. The troll moves up to half its Speed straight toward an enemy it can see.</x:t>
        </x:is>
      </x:c>
      <x:c r="AC210" s="2" t="n"/>
      <x:c r="AD210" s="2" t="n"/>
      <x:c r="AE210" s="2" t="n"/>
      <x:c r="AF210" s="2" t="inlineStr">
        <x:is>
          <x:t xml:space="preserve">Imported from SRD 5.2.1 p. 333 Index of Stat Blocks</x:t>
        </x:is>
      </x:c>
      <x:c r="AG210" s="2" t="inlineStr">
        <x:is>
          <x:t xml:space="preserve">https://www.dndbeyond.com/srd</x:t>
        </x:is>
      </x:c>
    </x:row>
    <x:row r="211" ht="18" customHeight="1">
      <x:c r="A211" s="2" t="inlineStr">
        <x:is>
          <x:t xml:space="preserve">Troll Limb</x:t>
        </x:is>
      </x:c>
      <x:c r="B211" s="2" t="inlineStr">
        <x:is>
          <x:t xml:space="preserve">SRD 5.2.1</x:t>
        </x:is>
      </x:c>
      <x:c r="C211" s="2" t="inlineStr">
        <x:is>
          <x:t xml:space="preserve">Giant</x:t>
        </x:is>
      </x:c>
      <x:c r="D211" s="2" t="inlineStr">
        <x:is>
          <x:t xml:space="preserve">Small</x:t>
        </x:is>
      </x:c>
      <x:c r="E211" s="2" t="inlineStr">
        <x:is>
          <x:t xml:space="preserve">Chaotic Evil</x:t>
        </x:is>
      </x:c>
      <x:c r="F211" s="2" t="inlineStr">
        <x:is>
          <x:t xml:space="preserve">1/2</x:t>
        </x:is>
      </x:c>
      <x:c r="G211" s="2" t="inlineStr">
        <x:is>
          <x:t xml:space="preserve">100</x:t>
        </x:is>
      </x:c>
      <x:c r="H211" s="2" t="inlineStr">
        <x:is>
          <x:t xml:space="preserve">13</x:t>
        </x:is>
      </x:c>
      <x:c r="I211" s="2" t="inlineStr">
        <x:is>
          <x:t xml:space="preserve">14</x:t>
        </x:is>
      </x:c>
      <x:c r="J211" s="2" t="inlineStr">
        <x:is>
          <x:t xml:space="preserve">20 ft.</x:t>
        </x:is>
      </x:c>
      <x:c r="K211" s="2" t="inlineStr">
        <x:is>
          <x:t xml:space="preserve">2</x:t>
        </x:is>
      </x:c>
      <x:c r="L211" s="2" t="inlineStr">
        <x:is>
          <x:t xml:space="preserve">9</x:t>
        </x:is>
      </x:c>
      <x:c r="M211" s="2" t="n"/>
      <x:c r="N211" s="2" t="inlineStr">
        <x:is>
          <x:t xml:space="preserve">6</x:t>
        </x:is>
      </x:c>
      <x:c r="O211" s="2" t="inlineStr">
        <x:is>
          <x:t xml:space="preserve">1</x:t>
        </x:is>
      </x:c>
      <x:c r="P211" s="2" t="inlineStr">
        <x:is>
          <x:t xml:space="preserve">18</x:t>
        </x:is>
      </x:c>
      <x:c r="Q211" s="2" t="inlineStr">
        <x:is>
          <x:t xml:space="preserve">12</x:t>
        </x:is>
      </x:c>
      <x:c r="R211" s="2" t="inlineStr">
        <x:is>
          <x:t xml:space="preserve">10</x:t>
        </x:is>
      </x:c>
      <x:c r="S211" s="2" t="inlineStr">
        <x:is>
          <x:t xml:space="preserve">1</x:t>
        </x:is>
      </x:c>
      <x:c r="T211" s="2" t="inlineStr">
        <x:is>
          <x:t xml:space="preserve">9</x:t>
        </x:is>
      </x:c>
      <x:c r="U211" s="2" t="inlineStr">
        <x:is>
          <x:t xml:space="preserve">1</x:t>
        </x:is>
      </x:c>
      <x:c r="V211" s="2" t="n"/>
      <x:c r="W211" s="2" t="n"/>
      <x:c r="X211" s="2" t="inlineStr">
        <x:is>
          <x:t xml:space="preserve">Darkvision 60 ft.; Passive Perception 9</x:t>
        </x:is>
      </x:c>
      <x:c r="Y211" s="2" t="inlineStr">
        <x:is>
          <x:t xml:space="preserve">None</x:t>
        </x:is>
      </x:c>
      <x:c r="Z211" s="2" t="inlineStr">
        <x:is>
          <x:t xml:space="preserve">Regeneration. The limb regains 5 Hit Points at the start of each of its turns. If the limb takes Acid or Fire dam- age, this trait doesn’t function on the limb’s next turn. The limb dies only if it starts its turn with 0 Hit Points and doesn’t regenerate. Troll Spawn. The limb uncannily has the same senses as a whole troll. If the limb isn’t destroyed within 24 hours, roll 1d12. On a 12, the limb turns into a Troll. Otherwise, the limb withers away.</x:t>
        </x:is>
      </x:c>
      <x:c r="AA211" s="2" t="inlineStr">
        <x:is>
          <x:t xml:space="preserve">Rend. Melee Attack Roll: +6, reach 5 ft. Hit: 9 (2d4 + 4) Slashing damage. Unicorn</x:t>
        </x:is>
      </x:c>
      <x:c r="AB211" s="2" t="n"/>
      <x:c r="AC211" s="2" t="n"/>
      <x:c r="AD211" s="2" t="n"/>
      <x:c r="AE211" s="2" t="n"/>
      <x:c r="AF211" s="2" t="inlineStr">
        <x:is>
          <x:t xml:space="preserve">Imported from SRD 5.2.1 p. 333 Index of Stat Blocks</x:t>
        </x:is>
      </x:c>
      <x:c r="AG211" s="2" t="inlineStr">
        <x:is>
          <x:t xml:space="preserve">https://www.dndbeyond.com/srd</x:t>
        </x:is>
      </x:c>
    </x:row>
    <x:row r="212" ht="18" customHeight="1">
      <x:c r="A212" s="2" t="inlineStr">
        <x:is>
          <x:t xml:space="preserve">Unicorn</x:t>
        </x:is>
      </x:c>
      <x:c r="B212" s="2" t="inlineStr">
        <x:is>
          <x:t xml:space="preserve">SRD 5.2.1</x:t>
        </x:is>
      </x:c>
      <x:c r="C212" s="2" t="inlineStr">
        <x:is>
          <x:t xml:space="preserve">Celestial</x:t>
        </x:is>
      </x:c>
      <x:c r="D212" s="2" t="inlineStr">
        <x:is>
          <x:t xml:space="preserve">Large</x:t>
        </x:is>
      </x:c>
      <x:c r="E212" s="2" t="inlineStr">
        <x:is>
          <x:t xml:space="preserve">Lawful Good</x:t>
        </x:is>
      </x:c>
      <x:c r="F212" s="2" t="inlineStr">
        <x:is>
          <x:t xml:space="preserve">5</x:t>
        </x:is>
      </x:c>
      <x:c r="G212" s="2" t="inlineStr">
        <x:is>
          <x:t xml:space="preserve">1800</x:t>
        </x:is>
      </x:c>
      <x:c r="H212" s="2" t="inlineStr">
        <x:is>
          <x:t xml:space="preserve">12</x:t>
        </x:is>
      </x:c>
      <x:c r="I212" s="2" t="inlineStr">
        <x:is>
          <x:t xml:space="preserve">97</x:t>
        </x:is>
      </x:c>
      <x:c r="J212" s="2" t="inlineStr">
        <x:is>
          <x:t xml:space="preserve">50 ft.</x:t>
        </x:is>
      </x:c>
      <x:c r="K212" s="2" t="inlineStr">
        <x:is>
          <x:t xml:space="preserve">3</x:t>
        </x:is>
      </x:c>
      <x:c r="L212" s="2" t="inlineStr">
        <x:is>
          <x:t xml:space="preserve">13</x:t>
        </x:is>
      </x:c>
      <x:c r="M212" s="2" t="n"/>
      <x:c r="N212" s="2" t="inlineStr">
        <x:is>
          <x:t xml:space="preserve">7</x:t>
        </x:is>
      </x:c>
      <x:c r="O212" s="2" t="inlineStr">
        <x:is>
          <x:t xml:space="preserve">8</x:t>
        </x:is>
      </x:c>
      <x:c r="P212" s="2" t="inlineStr">
        <x:is>
          <x:t xml:space="preserve">18</x:t>
        </x:is>
      </x:c>
      <x:c r="Q212" s="2" t="inlineStr">
        <x:is>
          <x:t xml:space="preserve">14</x:t>
        </x:is>
      </x:c>
      <x:c r="R212" s="2" t="inlineStr">
        <x:is>
          <x:t xml:space="preserve">15</x:t>
        </x:is>
      </x:c>
      <x:c r="S212" s="2" t="inlineStr">
        <x:is>
          <x:t xml:space="preserve">11</x:t>
        </x:is>
      </x:c>
      <x:c r="T212" s="2" t="inlineStr">
        <x:is>
          <x:t xml:space="preserve">17</x:t>
        </x:is>
      </x:c>
      <x:c r="U212" s="2" t="inlineStr">
        <x:is>
          <x:t xml:space="preserve">16</x:t>
        </x:is>
      </x:c>
      <x:c r="V212" s="2" t="n"/>
      <x:c r="W212" s="2" t="n"/>
      <x:c r="X212" s="2" t="inlineStr">
        <x:is>
          <x:t xml:space="preserve">Darkvision 60 ft.; Passive Perception 13</x:t>
        </x:is>
      </x:c>
      <x:c r="Y212" s="2" t="inlineStr">
        <x:is>
          <x:t xml:space="preserve">Celestial, Elvish, Sylvan; telepathy 120 ft.</x:t>
        </x:is>
      </x:c>
      <x:c r="Z212" s="2" t="inlineStr">
        <x:is>
          <x:t xml:space="preserve">Legendary Resistance (3/Day). If the unicorn fails a sav- ing throw, it can choose to succeed instead. Magic Resistance. The unicorn has Advantage on sav- ing throws against spells and other magical effects.</x:t>
        </x:is>
      </x:c>
      <x:c r="AA212" s="2" t="inlineStr">
        <x:is>
          <x:t xml:space="preserve">Multiattack. The unicorn makes one Hooves attack and one Radiant Horn attack. Hooves. Melee Attack Roll: +7, reach 5 ft. Hit: 11 (2d6 + 4) Bludgeoning damage. Radiant Horn. Melee Attack Roll: +7, reach 5 ft. Hit: 9 (1d10 + 4) Radiant damage. Spellcasting. The unicorn casts one of the following spells, requiring no spell components and using Cha- risma as the spellcasting ability (spell save DC 14): At Will: Detect Evil and Good, Druidcraft 1/Day Each: Calm Emotions, Dispel Evil and Good, En- tangle, Pass without Trace, Word of Recall</x:t>
        </x:is>
      </x:c>
      <x:c r="AB212" s="2" t="inlineStr">
        <x:is>
          <x:t xml:space="preserve">Unicorn’s Blessing (3/Day). The unicorn touches an- other creature with its horn and casts Cure Wounds or Lesser Restoration on that creature, using the same spellcasting ability as Spellcasting.</x:t>
        </x:is>
      </x:c>
      <x:c r="AC212" s="2" t="n"/>
      <x:c r="AD212" s="2" t="inlineStr">
        <x:is>
          <x:t xml:space="preserve">Legendary Action Uses: 3. Immediately after another creature’s turn, the unicorn can expend a use to take one of the following actions. The unicorn regains all expended uses at the start of each of its turns. Charging Horn. The unicorn moves up to half its Speed without provoking Opportunity Attacks, and it makes one Radiant Horn attack. Shimmering Shield. The unicorn targets itself or one creature it can see within 60 feet of itself. The target gains 10 (3d6) Temporary Hit Points, and its AC in- creases by 2 until the end of the unicorn’s next turn. The unicorn can’t take this action again until the start of its next turn. Vampires</x:t>
        </x:is>
      </x:c>
      <x:c r="AE212" s="2" t="inlineStr">
        <x:is>
          <x:t xml:space="preserve">Includes Spellcasting; see Traits/Actions text</x:t>
        </x:is>
      </x:c>
      <x:c r="AF212" s="2" t="inlineStr">
        <x:is>
          <x:t xml:space="preserve">Imported from SRD 5.2.1 p. 334 Index of Stat Blocks</x:t>
        </x:is>
      </x:c>
      <x:c r="AG212" s="2" t="inlineStr">
        <x:is>
          <x:t xml:space="preserve">https://www.dndbeyond.com/srd</x:t>
        </x:is>
      </x:c>
    </x:row>
    <x:row r="213" ht="18" customHeight="1">
      <x:c r="A213" s="2" t="inlineStr">
        <x:is>
          <x:t xml:space="preserve">Vampire Familiar</x:t>
        </x:is>
      </x:c>
      <x:c r="B213" s="2" t="inlineStr">
        <x:is>
          <x:t xml:space="preserve">SRD 5.2.1</x:t>
        </x:is>
      </x:c>
      <x:c r="C213" s="2" t="inlineStr">
        <x:is>
          <x:t xml:space="preserve">Humanoid</x:t>
        </x:is>
      </x:c>
      <x:c r="D213" s="2" t="inlineStr">
        <x:is>
          <x:t xml:space="preserve">Medium or Small</x:t>
        </x:is>
      </x:c>
      <x:c r="E213" s="2" t="inlineStr">
        <x:is>
          <x:t xml:space="preserve">Neutral Evil</x:t>
        </x:is>
      </x:c>
      <x:c r="F213" s="2" t="inlineStr">
        <x:is>
          <x:t xml:space="preserve">3</x:t>
        </x:is>
      </x:c>
      <x:c r="G213" s="2" t="inlineStr">
        <x:is>
          <x:t xml:space="preserve">700</x:t>
        </x:is>
      </x:c>
      <x:c r="H213" s="2" t="inlineStr">
        <x:is>
          <x:t xml:space="preserve">15</x:t>
        </x:is>
      </x:c>
      <x:c r="I213" s="2" t="inlineStr">
        <x:is>
          <x:t xml:space="preserve">65</x:t>
        </x:is>
      </x:c>
      <x:c r="J213" s="2" t="inlineStr">
        <x:is>
          <x:t xml:space="preserve">30 ft., Climb 30 ft.</x:t>
        </x:is>
      </x:c>
      <x:c r="K213" s="2" t="inlineStr">
        <x:is>
          <x:t xml:space="preserve">2</x:t>
        </x:is>
      </x:c>
      <x:c r="L213" s="2" t="inlineStr">
        <x:is>
          <x:t xml:space="preserve">14</x:t>
        </x:is>
      </x:c>
      <x:c r="M213" s="2" t="n"/>
      <x:c r="N213" s="2" t="inlineStr">
        <x:is>
          <x:t xml:space="preserve">5</x:t>
        </x:is>
      </x:c>
      <x:c r="O213" s="2" t="inlineStr">
        <x:is>
          <x:t xml:space="preserve">5</x:t>
        </x:is>
      </x:c>
      <x:c r="P213" s="2" t="inlineStr">
        <x:is>
          <x:t xml:space="preserve">17</x:t>
        </x:is>
      </x:c>
      <x:c r="Q213" s="2" t="inlineStr">
        <x:is>
          <x:t xml:space="preserve">16</x:t>
        </x:is>
      </x:c>
      <x:c r="R213" s="2" t="inlineStr">
        <x:is>
          <x:t xml:space="preserve">15</x:t>
        </x:is>
      </x:c>
      <x:c r="S213" s="2" t="inlineStr">
        <x:is>
          <x:t xml:space="preserve">10</x:t>
        </x:is>
      </x:c>
      <x:c r="T213" s="2" t="inlineStr">
        <x:is>
          <x:t xml:space="preserve">10</x:t>
        </x:is>
      </x:c>
      <x:c r="U213" s="2" t="inlineStr">
        <x:is>
          <x:t xml:space="preserve">14</x:t>
        </x:is>
      </x:c>
      <x:c r="V213" s="2" t="inlineStr">
        <x:is>
          <x:t xml:space="preserve">DEX +5, WIS +2</x:t>
        </x:is>
      </x:c>
      <x:c r="W213" s="2" t="inlineStr">
        <x:is>
          <x:t xml:space="preserve">Perception +4, Persuasion +4, Stealth +7</x:t>
        </x:is>
      </x:c>
      <x:c r="X213" s="2" t="inlineStr">
        <x:is>
          <x:t xml:space="preserve">Darkvision 60 ft.; Passive Perception 14</x:t>
        </x:is>
      </x:c>
      <x:c r="Y213" s="2" t="inlineStr">
        <x:is>
          <x:t xml:space="preserve">Common plus one other language</x:t>
        </x:is>
      </x:c>
      <x:c r="Z213" s="2" t="inlineStr">
        <x:is>
          <x:t xml:space="preserve">Vampiric Connection. While the familiar and its vam- pire master are on the same plane of existence, the vampire can communicate with the familiar telepathi- cally, and the vampire can perceive through the famil- iar’s senses.</x:t>
        </x:is>
      </x:c>
      <x:c r="AA213" s="2" t="inlineStr">
        <x:is>
          <x:t xml:space="preserve">Multiattack. The familiar makes two Umbral Dag- ger attacks. Umbral Dagger. Melee or Ranged Attack Roll: +5, reach 5 ft. or range 20/60 ft. Hit: 5 (1d4 + 3) Piercing damage plus 7 (3d4) Necrotic damage. If the target is reduced to 0 Hit Points by this attack, the target becomes Stable but has the Poisoned condition for 1 hour. While it has the Poisoned condition, the target has the Paralyzed condition.</x:t>
        </x:is>
      </x:c>
      <x:c r="AB213" s="2" t="inlineStr">
        <x:is>
          <x:t xml:space="preserve">Deathless Agility. The familiar takes the Dash or Disen- gage action.</x:t>
        </x:is>
      </x:c>
      <x:c r="AC213" s="2" t="n"/>
      <x:c r="AD213" s="2" t="n"/>
      <x:c r="AE213" s="2" t="n"/>
      <x:c r="AF213" s="2" t="inlineStr">
        <x:is>
          <x:t xml:space="preserve">Imported from SRD 5.2.1 p. 334 Index of Stat Blocks</x:t>
        </x:is>
      </x:c>
      <x:c r="AG213" s="2" t="inlineStr">
        <x:is>
          <x:t xml:space="preserve">https://www.dndbeyond.com/srd</x:t>
        </x:is>
      </x:c>
    </x:row>
    <x:row r="214" ht="18" customHeight="1">
      <x:c r="A214" s="2" t="inlineStr">
        <x:is>
          <x:t xml:space="preserve">Vampire Spawn</x:t>
        </x:is>
      </x:c>
      <x:c r="B214" s="2" t="inlineStr">
        <x:is>
          <x:t xml:space="preserve">SRD 5.2.1</x:t>
        </x:is>
      </x:c>
      <x:c r="C214" s="2" t="inlineStr">
        <x:is>
          <x:t xml:space="preserve">Undead</x:t>
        </x:is>
      </x:c>
      <x:c r="D214" s="2" t="inlineStr">
        <x:is>
          <x:t xml:space="preserve">Medium or Small</x:t>
        </x:is>
      </x:c>
      <x:c r="E214" s="2" t="inlineStr">
        <x:is>
          <x:t xml:space="preserve">Neutral Evil</x:t>
        </x:is>
      </x:c>
      <x:c r="F214" s="2" t="inlineStr">
        <x:is>
          <x:t xml:space="preserve">5</x:t>
        </x:is>
      </x:c>
      <x:c r="G214" s="2" t="inlineStr">
        <x:is>
          <x:t xml:space="preserve">1800</x:t>
        </x:is>
      </x:c>
      <x:c r="H214" s="2" t="inlineStr">
        <x:is>
          <x:t xml:space="preserve">16</x:t>
        </x:is>
      </x:c>
      <x:c r="I214" s="2" t="inlineStr">
        <x:is>
          <x:t xml:space="preserve">90</x:t>
        </x:is>
      </x:c>
      <x:c r="J214" s="2" t="inlineStr">
        <x:is>
          <x:t xml:space="preserve">30 ft.</x:t>
        </x:is>
      </x:c>
      <x:c r="K214" s="2" t="inlineStr">
        <x:is>
          <x:t xml:space="preserve">3</x:t>
        </x:is>
      </x:c>
      <x:c r="L214" s="2" t="inlineStr">
        <x:is>
          <x:t xml:space="preserve">13</x:t>
        </x:is>
      </x:c>
      <x:c r="M214" s="2" t="inlineStr">
        <x:is>
          <x:t xml:space="preserve">14</x:t>
        </x:is>
      </x:c>
      <x:c r="N214" s="2" t="inlineStr">
        <x:is>
          <x:t xml:space="preserve">6</x:t>
        </x:is>
      </x:c>
      <x:c r="O214" s="2" t="inlineStr">
        <x:is>
          <x:t xml:space="preserve">3</x:t>
        </x:is>
      </x:c>
      <x:c r="P214" s="2" t="inlineStr">
        <x:is>
          <x:t xml:space="preserve">16</x:t>
        </x:is>
      </x:c>
      <x:c r="Q214" s="2" t="inlineStr">
        <x:is>
          <x:t xml:space="preserve">16</x:t>
        </x:is>
      </x:c>
      <x:c r="R214" s="2" t="inlineStr">
        <x:is>
          <x:t xml:space="preserve">16</x:t>
        </x:is>
      </x:c>
      <x:c r="S214" s="2" t="inlineStr">
        <x:is>
          <x:t xml:space="preserve">11</x:t>
        </x:is>
      </x:c>
      <x:c r="T214" s="2" t="inlineStr">
        <x:is>
          <x:t xml:space="preserve">10</x:t>
        </x:is>
      </x:c>
      <x:c r="U214" s="2" t="inlineStr">
        <x:is>
          <x:t xml:space="preserve">12</x:t>
        </x:is>
      </x:c>
      <x:c r="V214" s="2" t="inlineStr">
        <x:is>
          <x:t xml:space="preserve">DEX +6, WIS +3</x:t>
        </x:is>
      </x:c>
      <x:c r="W214" s="2" t="inlineStr">
        <x:is>
          <x:t xml:space="preserve">Perception +3, Stealth +6</x:t>
        </x:is>
      </x:c>
      <x:c r="X214" s="2" t="inlineStr">
        <x:is>
          <x:t xml:space="preserve">Darkvision 60 ft.; Passive Perception 13</x:t>
        </x:is>
      </x:c>
      <x:c r="Y214" s="2" t="inlineStr">
        <x:is>
          <x:t xml:space="preserve">Common plus one other language</x:t>
        </x:is>
      </x:c>
      <x:c r="Z214" s="2" t="inlineStr">
        <x:is>
          <x:t xml:space="preserve">Spider Climb. The vampire can climb difficult surfaces, including along ceilings, without needing to make an ability check. Vampire Weakness. The vampire has these weaknesses: Forbiddance. The vampire can’t enter a residence with- out an invitation from an occupant. Running Water. The vampire takes 20 Acid damage if it ends its turn in running water. Stake to the Heart. The vampire is destroyed if a weapon that deals Piercing damage is driven into the vampire’s heart while the vampire has the Incapaci- tated condition. Sunlight. The vampire takes 20 Radiant damage if it starts its turn in sunlight. While in sunlight, it has Dis- advantage on attack rolls and ability checks.</x:t>
        </x:is>
      </x:c>
      <x:c r="AA214" s="2" t="inlineStr">
        <x:is>
          <x:t xml:space="preserve">Multiattack. The vampire makes two Claw attacks and uses Bite. Claw. Melee Attack Roll: +6, reach 5 ft. Hit: 8 (2d4 + 3) Slashing damage. If the target is a Medium or smaller creature, it has the Grappled condition (escape DC 13) from one of two claws. Bite. Constitution Saving Throw: DC 14, one creature within 5 feet that is willing or that has the Grappled, Incapacitated, or Restrained condition. Failure: 5 (1d4 + 3) Piercing damage plus 10 (3d6) Necrotic dam- age. The target’s Hit Point maximum decreases by an amount equal to the Necrotic damage taken, and the vampire regains Hit Points equal to that amount.</x:t>
        </x:is>
      </x:c>
      <x:c r="AB214" s="2" t="inlineStr">
        <x:is>
          <x:t xml:space="preserve">Deathless Agility. The vampire takes the Dash or Dis- engage action.</x:t>
        </x:is>
      </x:c>
      <x:c r="AC214" s="2" t="n"/>
      <x:c r="AD214" s="2" t="n"/>
      <x:c r="AE214" s="2" t="n"/>
      <x:c r="AF214" s="2" t="inlineStr">
        <x:is>
          <x:t xml:space="preserve">Imported from SRD 5.2.1 p. 334 Index of Stat Blocks</x:t>
        </x:is>
      </x:c>
      <x:c r="AG214" s="2" t="inlineStr">
        <x:is>
          <x:t xml:space="preserve">https://www.dndbeyond.com/srd</x:t>
        </x:is>
      </x:c>
    </x:row>
    <x:row r="215" ht="18" customHeight="1">
      <x:c r="A215" s="2" t="inlineStr">
        <x:is>
          <x:t xml:space="preserve">Vampire</x:t>
        </x:is>
      </x:c>
      <x:c r="B215" s="2" t="inlineStr">
        <x:is>
          <x:t xml:space="preserve">SRD 5.2.1</x:t>
        </x:is>
      </x:c>
      <x:c r="C215" s="2" t="inlineStr">
        <x:is>
          <x:t xml:space="preserve">Undead</x:t>
        </x:is>
      </x:c>
      <x:c r="D215" s="2" t="inlineStr">
        <x:is>
          <x:t xml:space="preserve">Medium or Small</x:t>
        </x:is>
      </x:c>
      <x:c r="E215" s="2" t="inlineStr">
        <x:is>
          <x:t xml:space="preserve">Lawful Evil</x:t>
        </x:is>
      </x:c>
      <x:c r="F215" s="2" t="inlineStr">
        <x:is>
          <x:t xml:space="preserve">13</x:t>
        </x:is>
      </x:c>
      <x:c r="G215" s="2" t="inlineStr">
        <x:is>
          <x:t xml:space="preserve">10000</x:t>
        </x:is>
      </x:c>
      <x:c r="H215" s="2" t="inlineStr">
        <x:is>
          <x:t xml:space="preserve">16</x:t>
        </x:is>
      </x:c>
      <x:c r="I215" s="2" t="inlineStr">
        <x:is>
          <x:t xml:space="preserve">195</x:t>
        </x:is>
      </x:c>
      <x:c r="J215" s="2" t="inlineStr">
        <x:is>
          <x:t xml:space="preserve">40 ft., Climb 40 ft.</x:t>
        </x:is>
      </x:c>
      <x:c r="K215" s="2" t="inlineStr">
        <x:is>
          <x:t xml:space="preserve">5</x:t>
        </x:is>
      </x:c>
      <x:c r="L215" s="2" t="inlineStr">
        <x:is>
          <x:t xml:space="preserve">17</x:t>
        </x:is>
      </x:c>
      <x:c r="M215" s="2" t="n"/>
      <x:c r="N215" s="2" t="inlineStr">
        <x:is>
          <x:t xml:space="preserve">9</x:t>
        </x:is>
      </x:c>
      <x:c r="O215" s="2" t="inlineStr">
        <x:is>
          <x:t xml:space="preserve">14</x:t>
        </x:is>
      </x:c>
      <x:c r="P215" s="2" t="inlineStr">
        <x:is>
          <x:t xml:space="preserve">18</x:t>
        </x:is>
      </x:c>
      <x:c r="Q215" s="2" t="inlineStr">
        <x:is>
          <x:t xml:space="preserve">18</x:t>
        </x:is>
      </x:c>
      <x:c r="R215" s="2" t="inlineStr">
        <x:is>
          <x:t xml:space="preserve">18</x:t>
        </x:is>
      </x:c>
      <x:c r="S215" s="2" t="inlineStr">
        <x:is>
          <x:t xml:space="preserve">17</x:t>
        </x:is>
      </x:c>
      <x:c r="T215" s="2" t="inlineStr">
        <x:is>
          <x:t xml:space="preserve">15</x:t>
        </x:is>
      </x:c>
      <x:c r="U215" s="2" t="inlineStr">
        <x:is>
          <x:t xml:space="preserve">18</x:t>
        </x:is>
      </x:c>
      <x:c r="V215" s="2" t="inlineStr">
        <x:is>
          <x:t xml:space="preserve">DEX +9, CON +9, WIS +7, CHA +9</x:t>
        </x:is>
      </x:c>
      <x:c r="W215" s="2" t="inlineStr">
        <x:is>
          <x:t xml:space="preserve">Perception +7, Stealth +9</x:t>
        </x:is>
      </x:c>
      <x:c r="X215" s="2" t="inlineStr">
        <x:is>
          <x:t xml:space="preserve">Darkvision 120 ft.; Passive Perception 17</x:t>
        </x:is>
      </x:c>
      <x:c r="Y215" s="2" t="inlineStr">
        <x:is>
          <x:t xml:space="preserve">Common plus two other languages</x:t>
        </x:is>
      </x:c>
      <x:c r="Z215" s="2" t="inlineStr">
        <x:is>
          <x:t xml:space="preserve">Legendary Resistance (3/Day, or 4/Day in Lair). If the vampire fails a saving throw, it can choose to suc- ceed instead. Misty Escape. If the vampire drops to 0 Hit Points out- side its resting place, the vampire uses Shape-Shift to become mist (no action required). If it can’t use Shape- Shift, it is destroyed. While it has 0 Hit Points in mist form, it can’t return to its vampire form, and it must reach its resting place within 2 hours or be destroyed. Once in its resting place, it returns to its vampire form and has the Para- lyzed condition until it regains any Hit Points, and it regains 1 Hit Point after spending 1 hour there. Spider Climb. The vampire can climb difficult surfaces, including along ceilings, without needing to make an ability check. Vampire Weakness. The vampire has these weaknesses: Forbiddance. The vampire can’t enter a residence with- out an invitation from an occupant. Running Water. The vampire takes 20 Acid damage if it ends its turn in running water. Stake to the Heart. If a weapon that deals Piercing damage is driven into the vampire’s heart while the vampire has the Incapacitated condition in its resting place, the vampire has the Paralyzed condition until the weapon is removed. Sunlight. The vampire takes 20 Radiant damage if it starts its turn in sunlight. While in sunlight, it has Dis- advantage on attack rolls and ability checks.</x:t>
        </x:is>
      </x:c>
      <x:c r="AA215" s="2" t="inlineStr">
        <x:is>
          <x:t xml:space="preserve">Multiattack (Vampire Form Only). The vampire makes two Grave Strike attacks and uses Bite. Grave Strike (Vampire Form Only). Melee Attack Roll: +9, reach 5 ft. Hit: 8 (1d8 + 4) Bludgeoning damage plus 7 (2d6) Necrotic damage. If the target is a Large or smaller creature, it has the Grappled condition (escape DC 14) from one of two hands. Bite (Bat or Vampire Form Only). Constitution Saving Throw: DC 17, one creature within 5 feet that is willing or that has the Grappled, Incapacitated, or Restrained condition. Failure: 6 (1d4 + 4) Piercing damage plus 13 (3d8) Necrotic damage. The target’s Hit Point maximum decreases by an amount equal to the Necrotic damage taken, and the vampire regains Hit Points equal to that amount. A Humanoid reduced to 0 Hit Points by this damage and then buried rises the following sunset as a Vampire Spawn under the vampire’s control.</x:t>
        </x:is>
      </x:c>
      <x:c r="AB215" s="2" t="inlineStr">
        <x:is>
          <x:t xml:space="preserve">Charm (Recharge 5-6). The vampire casts Charm Per- son, requiring no spell components and using Charisma as the spellcasting ability (spell save DC 17), and the duration is 24 hours. The Charmed target is a willing recipient of the vampire’s Bite, the damage of which doesn’t end the spell. When the spell ends, the target is unaware it was Charmed by the vampire. Shape-Shift. If the vampire isn’t in sunlight or running water, it shape-shifts into a Tiny bat (Speed 5 ft., Fly Speed 30 ft.) or a Medium cloud of mist (Speed 5 ft., Fly Speed 20 ft. [hover]), or it returns to its vampire form. Anything it is wearing transforms with it. While in bat form, the vampire can’t speak. Its game statistics, other than its size and Speed, are unchanged. While in mist form, the vampire can’t take any ac- tions, speak, or manipulate objects. It is weightless and can enter an enemy’s space and stop there. If air can pass through a space, the mist can do so, but it can’t pass through liquid. It has Resistance to all damage, ex- cept the damage it takes from sunlight.</x:t>
        </x:is>
      </x:c>
      <x:c r="AC215" s="2" t="n"/>
      <x:c r="AD215" s="2" t="inlineStr">
        <x:is>
          <x:t xml:space="preserve">Legendary Action Uses: 3 (4 in Lair). Immediately after another creature’s turn, the vampire can expend a use to take one of the following actions. The vampire regains all expended uses at the start of each of its turns. Beguile. The vampire casts Command, requiring no spell components and using Charisma as the spellcast- ing ability (spell save DC 17). The vampire can’t take this action again until the start of its next turn. Deathless Strike. The vampire moves up to half its Speed, and it makes one Grave Strike attack. Vrock</x:t>
        </x:is>
      </x:c>
      <x:c r="AE215" s="2" t="n"/>
      <x:c r="AF215" s="2" t="inlineStr">
        <x:is>
          <x:t xml:space="preserve">Imported from SRD 5.2.1 p. 335 Index of Stat Blocks</x:t>
        </x:is>
      </x:c>
      <x:c r="AG215" s="2" t="inlineStr">
        <x:is>
          <x:t xml:space="preserve">https://www.dndbeyond.com/srd</x:t>
        </x:is>
      </x:c>
    </x:row>
    <x:row r="216" ht="18" customHeight="1">
      <x:c r="A216" s="2" t="inlineStr">
        <x:is>
          <x:t xml:space="preserve">Vrock</x:t>
        </x:is>
      </x:c>
      <x:c r="B216" s="2" t="inlineStr">
        <x:is>
          <x:t xml:space="preserve">SRD 5.2.1</x:t>
        </x:is>
      </x:c>
      <x:c r="C216" s="2" t="inlineStr">
        <x:is>
          <x:t xml:space="preserve">Fiend (Demon)</x:t>
        </x:is>
      </x:c>
      <x:c r="D216" s="2" t="inlineStr">
        <x:is>
          <x:t xml:space="preserve">Large</x:t>
        </x:is>
      </x:c>
      <x:c r="E216" s="2" t="inlineStr">
        <x:is>
          <x:t xml:space="preserve">Chaotic Evil</x:t>
        </x:is>
      </x:c>
      <x:c r="F216" s="2" t="inlineStr">
        <x:is>
          <x:t xml:space="preserve">6</x:t>
        </x:is>
      </x:c>
      <x:c r="G216" s="2" t="inlineStr">
        <x:is>
          <x:t xml:space="preserve">2300</x:t>
        </x:is>
      </x:c>
      <x:c r="H216" s="2" t="inlineStr">
        <x:is>
          <x:t xml:space="preserve">15</x:t>
        </x:is>
      </x:c>
      <x:c r="I216" s="2" t="inlineStr">
        <x:is>
          <x:t xml:space="preserve">152</x:t>
        </x:is>
      </x:c>
      <x:c r="J216" s="2" t="inlineStr">
        <x:is>
          <x:t xml:space="preserve">40 ft., Fly 60 ft.</x:t>
        </x:is>
      </x:c>
      <x:c r="K216" s="2" t="inlineStr">
        <x:is>
          <x:t xml:space="preserve">3</x:t>
        </x:is>
      </x:c>
      <x:c r="L216" s="2" t="inlineStr">
        <x:is>
          <x:t xml:space="preserve">11</x:t>
        </x:is>
      </x:c>
      <x:c r="M216" s="2" t="inlineStr">
        <x:is>
          <x:t xml:space="preserve">15</x:t>
        </x:is>
      </x:c>
      <x:c r="N216" s="2" t="inlineStr">
        <x:is>
          <x:t xml:space="preserve">6</x:t>
        </x:is>
      </x:c>
      <x:c r="O216" s="2" t="inlineStr">
        <x:is>
          <x:t xml:space="preserve">2</x:t>
        </x:is>
      </x:c>
      <x:c r="P216" s="2" t="inlineStr">
        <x:is>
          <x:t xml:space="preserve">17</x:t>
        </x:is>
      </x:c>
      <x:c r="Q216" s="2" t="inlineStr">
        <x:is>
          <x:t xml:space="preserve">15</x:t>
        </x:is>
      </x:c>
      <x:c r="R216" s="2" t="inlineStr">
        <x:is>
          <x:t xml:space="preserve">18</x:t>
        </x:is>
      </x:c>
      <x:c r="S216" s="2" t="inlineStr">
        <x:is>
          <x:t xml:space="preserve">8</x:t>
        </x:is>
      </x:c>
      <x:c r="T216" s="2" t="inlineStr">
        <x:is>
          <x:t xml:space="preserve">13</x:t>
        </x:is>
      </x:c>
      <x:c r="U216" s="2" t="inlineStr">
        <x:is>
          <x:t xml:space="preserve">8</x:t>
        </x:is>
      </x:c>
      <x:c r="V216" s="2" t="inlineStr">
        <x:is>
          <x:t xml:space="preserve">DEX +5, WIS +4, CHA +2</x:t>
        </x:is>
      </x:c>
      <x:c r="W216" s="2" t="n"/>
      <x:c r="X216" s="2" t="inlineStr">
        <x:is>
          <x:t xml:space="preserve">Darkvision 120 ft.; Passive Perception 11</x:t>
        </x:is>
      </x:c>
      <x:c r="Y216" s="2" t="inlineStr">
        <x:is>
          <x:t xml:space="preserve">Abyssal; telepathy 120 ft.</x:t>
        </x:is>
      </x:c>
      <x:c r="Z216" s="2" t="inlineStr">
        <x:is>
          <x:t xml:space="preserve">Demonic Restoration. If the vrock dies outside the Abyss, its body dissolves into ichor, and it gains a new body instantly, reviving with all its Hit Points some- where in the Abyss. Magic Resistance. The vrock has Advantage on saving throws against spells and other magical effects.</x:t>
        </x:is>
      </x:c>
      <x:c r="AA216" s="2" t="inlineStr">
        <x:is>
          <x:t xml:space="preserve">Multiattack. The vrock makes two Shred attacks. Shred. Melee Attack Roll: +6, reach 5 ft. Hit: 10 (2d6 + 3) Piercing damage plus 10 (3d6) Poison damage. Spores (Recharge 6). Constitution Saving Throw: DC 15, each creature in a 20-foot Emanation originating from the vrock. Failure: The target has the Poisoned condition and repeats the save at the end of each of its turns, ending the effect on itself on a success. While Poisoned, the target takes 5 (1d10) Poison damage at the start of each of its turns. Emptying a flask of Holy Water on the target ends the effect early. Stunning Screech (1/Day). Constitution Saving Throw: DC 15, each creature in a 20-foot Emanation originating from the vrock (demons succeed automatically). Fail- ure: 10 (3d6) Thunder damage, and the target has the Stunned condition until the end of the vrock’s next turn. Warriors</x:t>
        </x:is>
      </x:c>
      <x:c r="AB216" s="2" t="n"/>
      <x:c r="AC216" s="2" t="n"/>
      <x:c r="AD216" s="2" t="n"/>
      <x:c r="AE216" s="2" t="n"/>
      <x:c r="AF216" s="2" t="inlineStr">
        <x:is>
          <x:t xml:space="preserve">Imported from SRD 5.2.1 p. 336 Index of Stat Blocks</x:t>
        </x:is>
      </x:c>
      <x:c r="AG216" s="2" t="inlineStr">
        <x:is>
          <x:t xml:space="preserve">https://www.dndbeyond.com/srd</x:t>
        </x:is>
      </x:c>
    </x:row>
    <x:row r="217" ht="18" customHeight="1">
      <x:c r="A217" s="2" t="inlineStr">
        <x:is>
          <x:t xml:space="preserve">Warrior Infantry</x:t>
        </x:is>
      </x:c>
      <x:c r="B217" s="2" t="inlineStr">
        <x:is>
          <x:t xml:space="preserve">SRD 5.2.1</x:t>
        </x:is>
      </x:c>
      <x:c r="C217" s="2" t="inlineStr">
        <x:is>
          <x:t xml:space="preserve">Humanoid</x:t>
        </x:is>
      </x:c>
      <x:c r="D217" s="2" t="inlineStr">
        <x:is>
          <x:t xml:space="preserve">Medium or Small</x:t>
        </x:is>
      </x:c>
      <x:c r="E217" s="2" t="inlineStr">
        <x:is>
          <x:t xml:space="preserve">Neutral</x:t>
        </x:is>
      </x:c>
      <x:c r="F217" s="2" t="inlineStr">
        <x:is>
          <x:t xml:space="preserve">1/8</x:t>
        </x:is>
      </x:c>
      <x:c r="G217" s="2" t="inlineStr">
        <x:is>
          <x:t xml:space="preserve">25</x:t>
        </x:is>
      </x:c>
      <x:c r="H217" s="2" t="inlineStr">
        <x:is>
          <x:t xml:space="preserve">13</x:t>
        </x:is>
      </x:c>
      <x:c r="I217" s="2" t="inlineStr">
        <x:is>
          <x:t xml:space="preserve">9</x:t>
        </x:is>
      </x:c>
      <x:c r="J217" s="2" t="inlineStr">
        <x:is>
          <x:t xml:space="preserve">30 ft.</x:t>
        </x:is>
      </x:c>
      <x:c r="K217" s="2" t="inlineStr">
        <x:is>
          <x:t xml:space="preserve">2</x:t>
        </x:is>
      </x:c>
      <x:c r="L217" s="2" t="inlineStr">
        <x:is>
          <x:t xml:space="preserve">10</x:t>
        </x:is>
      </x:c>
      <x:c r="M217" s="2" t="n"/>
      <x:c r="N217" s="2" t="inlineStr">
        <x:is>
          <x:t xml:space="preserve">3</x:t>
        </x:is>
      </x:c>
      <x:c r="O217" s="2" t="inlineStr">
        <x:is>
          <x:t xml:space="preserve">0</x:t>
        </x:is>
      </x:c>
      <x:c r="P217" s="2" t="inlineStr">
        <x:is>
          <x:t xml:space="preserve">13</x:t>
        </x:is>
      </x:c>
      <x:c r="Q217" s="2" t="inlineStr">
        <x:is>
          <x:t xml:space="preserve">11</x:t>
        </x:is>
      </x:c>
      <x:c r="R217" s="2" t="inlineStr">
        <x:is>
          <x:t xml:space="preserve">11</x:t>
        </x:is>
      </x:c>
      <x:c r="S217" s="2" t="inlineStr">
        <x:is>
          <x:t xml:space="preserve">8</x:t>
        </x:is>
      </x:c>
      <x:c r="T217" s="2" t="inlineStr">
        <x:is>
          <x:t xml:space="preserve">11</x:t>
        </x:is>
      </x:c>
      <x:c r="U217" s="2" t="inlineStr">
        <x:is>
          <x:t xml:space="preserve">8</x:t>
        </x:is>
      </x:c>
      <x:c r="V217" s="2" t="n"/>
      <x:c r="W217" s="2" t="n"/>
      <x:c r="X217" s="2" t="inlineStr">
        <x:is>
          <x:t xml:space="preserve">Passive Perception 10</x:t>
        </x:is>
      </x:c>
      <x:c r="Y217" s="2" t="inlineStr">
        <x:is>
          <x:t xml:space="preserve">Common</x:t>
        </x:is>
      </x:c>
      <x:c r="Z217" s="2" t="inlineStr">
        <x:is>
          <x:t xml:space="preserve">Pack Tactics. The warrior has Advantage on an attack roll against a creature if at least one of the warrior’s al- lies is within 5 feet of the creature and the ally doesn’t have the Incapacitated condition.</x:t>
        </x:is>
      </x:c>
      <x:c r="AA217" s="2" t="inlineStr">
        <x:is>
          <x:t xml:space="preserve">Spear. Melee or Ranged Attack Roll: +3, reach 5 ft. or range 20/60 ft. Hit: 4 (1d6 + 1) Piercing damage.</x:t>
        </x:is>
      </x:c>
      <x:c r="AB217" s="2" t="n"/>
      <x:c r="AC217" s="2" t="n"/>
      <x:c r="AD217" s="2" t="n"/>
      <x:c r="AE217" s="2" t="n"/>
      <x:c r="AF217" s="2" t="inlineStr">
        <x:is>
          <x:t xml:space="preserve">Imported from SRD 5.2.1 p. 336 Index of Stat Blocks</x:t>
        </x:is>
      </x:c>
      <x:c r="AG217" s="2" t="inlineStr">
        <x:is>
          <x:t xml:space="preserve">https://www.dndbeyond.com/srd</x:t>
        </x:is>
      </x:c>
    </x:row>
    <x:row r="218" ht="18" customHeight="1">
      <x:c r="A218" s="2" t="inlineStr">
        <x:is>
          <x:t xml:space="preserve">Warrior Veteran</x:t>
        </x:is>
      </x:c>
      <x:c r="B218" s="2" t="inlineStr">
        <x:is>
          <x:t xml:space="preserve">SRD 5.2.1</x:t>
        </x:is>
      </x:c>
      <x:c r="C218" s="2" t="inlineStr">
        <x:is>
          <x:t xml:space="preserve">Humanoid</x:t>
        </x:is>
      </x:c>
      <x:c r="D218" s="2" t="inlineStr">
        <x:is>
          <x:t xml:space="preserve">Medium or Small</x:t>
        </x:is>
      </x:c>
      <x:c r="E218" s="2" t="inlineStr">
        <x:is>
          <x:t xml:space="preserve">Neutral</x:t>
        </x:is>
      </x:c>
      <x:c r="F218" s="2" t="inlineStr">
        <x:is>
          <x:t xml:space="preserve">3</x:t>
        </x:is>
      </x:c>
      <x:c r="G218" s="2" t="inlineStr">
        <x:is>
          <x:t xml:space="preserve">700</x:t>
        </x:is>
      </x:c>
      <x:c r="H218" s="2" t="inlineStr">
        <x:is>
          <x:t xml:space="preserve">17</x:t>
        </x:is>
      </x:c>
      <x:c r="I218" s="2" t="inlineStr">
        <x:is>
          <x:t xml:space="preserve">65</x:t>
        </x:is>
      </x:c>
      <x:c r="J218" s="2" t="inlineStr">
        <x:is>
          <x:t xml:space="preserve">30 ft.</x:t>
        </x:is>
      </x:c>
      <x:c r="K218" s="2" t="inlineStr">
        <x:is>
          <x:t xml:space="preserve">2</x:t>
        </x:is>
      </x:c>
      <x:c r="L218" s="2" t="inlineStr">
        <x:is>
          <x:t xml:space="preserve">12</x:t>
        </x:is>
      </x:c>
      <x:c r="M218" s="2" t="n"/>
      <x:c r="N218" s="2" t="inlineStr">
        <x:is>
          <x:t xml:space="preserve">5</x:t>
        </x:is>
      </x:c>
      <x:c r="O218" s="2" t="inlineStr">
        <x:is>
          <x:t xml:space="preserve">3</x:t>
        </x:is>
      </x:c>
      <x:c r="P218" s="2" t="inlineStr">
        <x:is>
          <x:t xml:space="preserve">16</x:t>
        </x:is>
      </x:c>
      <x:c r="Q218" s="2" t="inlineStr">
        <x:is>
          <x:t xml:space="preserve">13</x:t>
        </x:is>
      </x:c>
      <x:c r="R218" s="2" t="inlineStr">
        <x:is>
          <x:t xml:space="preserve">14</x:t>
        </x:is>
      </x:c>
      <x:c r="S218" s="2" t="inlineStr">
        <x:is>
          <x:t xml:space="preserve">10</x:t>
        </x:is>
      </x:c>
      <x:c r="T218" s="2" t="inlineStr">
        <x:is>
          <x:t xml:space="preserve">11</x:t>
        </x:is>
      </x:c>
      <x:c r="U218" s="2" t="inlineStr">
        <x:is>
          <x:t xml:space="preserve">10</x:t>
        </x:is>
      </x:c>
      <x:c r="V218" s="2" t="n"/>
      <x:c r="W218" s="2" t="inlineStr">
        <x:is>
          <x:t xml:space="preserve">Athletics +5, Perception +2</x:t>
        </x:is>
      </x:c>
      <x:c r="X218" s="2" t="inlineStr">
        <x:is>
          <x:t xml:space="preserve">Passive Perception 12</x:t>
        </x:is>
      </x:c>
      <x:c r="Y218" s="2" t="inlineStr">
        <x:is>
          <x:t xml:space="preserve">Common plus one other language</x:t>
        </x:is>
      </x:c>
      <x:c r="Z218" s="2" t="n"/>
      <x:c r="AA218" s="2" t="inlineStr">
        <x:is>
          <x:t xml:space="preserve">Multiattack. The warrior makes two Greatsword or Heavy Crossbow attacks. Greatsword. Melee Attack Roll: +5, reach 5 ft. Hit: 10 (2d6 + 3) Slashing damage. Heavy Crossbow. Ranged Attack Roll: +3, range 100/400 ft. Hit: 12 (2d10 + 1) Piercing damage.</x:t>
        </x:is>
      </x:c>
      <x:c r="AB218" s="2" t="n"/>
      <x:c r="AC218" s="2" t="inlineStr">
        <x:is>
          <x:t xml:space="preserve">Parry. Trigger: The warrior is hit by a melee attack roll while holding a weapon. Response: The warrior adds 2 to its AC against that attack, possibly causing it to miss. Water Elemental</x:t>
        </x:is>
      </x:c>
      <x:c r="AD218" s="2" t="n"/>
      <x:c r="AE218" s="2" t="n"/>
      <x:c r="AF218" s="2" t="inlineStr">
        <x:is>
          <x:t xml:space="preserve">Imported from SRD 5.2.1 p. 337 Index of Stat Blocks</x:t>
        </x:is>
      </x:c>
      <x:c r="AG218" s="2" t="inlineStr">
        <x:is>
          <x:t xml:space="preserve">https://www.dndbeyond.com/srd</x:t>
        </x:is>
      </x:c>
    </x:row>
    <x:row r="219" ht="18" customHeight="1">
      <x:c r="A219" s="2" t="inlineStr">
        <x:is>
          <x:t xml:space="preserve">Water Elemental</x:t>
        </x:is>
      </x:c>
      <x:c r="B219" s="2" t="inlineStr">
        <x:is>
          <x:t xml:space="preserve">SRD 5.2.1</x:t>
        </x:is>
      </x:c>
      <x:c r="C219" s="2" t="inlineStr">
        <x:is>
          <x:t xml:space="preserve">Elemental</x:t>
        </x:is>
      </x:c>
      <x:c r="D219" s="2" t="inlineStr">
        <x:is>
          <x:t xml:space="preserve">Large</x:t>
        </x:is>
      </x:c>
      <x:c r="E219" s="2" t="inlineStr">
        <x:is>
          <x:t xml:space="preserve">Neutral</x:t>
        </x:is>
      </x:c>
      <x:c r="F219" s="2" t="inlineStr">
        <x:is>
          <x:t xml:space="preserve">5</x:t>
        </x:is>
      </x:c>
      <x:c r="G219" s="2" t="inlineStr">
        <x:is>
          <x:t xml:space="preserve">1800</x:t>
        </x:is>
      </x:c>
      <x:c r="H219" s="2" t="inlineStr">
        <x:is>
          <x:t xml:space="preserve">14</x:t>
        </x:is>
      </x:c>
      <x:c r="I219" s="2" t="inlineStr">
        <x:is>
          <x:t xml:space="preserve">114</x:t>
        </x:is>
      </x:c>
      <x:c r="J219" s="2" t="inlineStr">
        <x:is>
          <x:t xml:space="preserve">30 ft., Swim 90 ft.</x:t>
        </x:is>
      </x:c>
      <x:c r="K219" s="2" t="inlineStr">
        <x:is>
          <x:t xml:space="preserve">3</x:t>
        </x:is>
      </x:c>
      <x:c r="L219" s="2" t="inlineStr">
        <x:is>
          <x:t xml:space="preserve">10</x:t>
        </x:is>
      </x:c>
      <x:c r="M219" s="2" t="inlineStr">
        <x:is>
          <x:t xml:space="preserve">15</x:t>
        </x:is>
      </x:c>
      <x:c r="N219" s="2" t="inlineStr">
        <x:is>
          <x:t xml:space="preserve">7</x:t>
        </x:is>
      </x:c>
      <x:c r="O219" s="2" t="inlineStr">
        <x:is>
          <x:t xml:space="preserve">2</x:t>
        </x:is>
      </x:c>
      <x:c r="P219" s="2" t="inlineStr">
        <x:is>
          <x:t xml:space="preserve">18</x:t>
        </x:is>
      </x:c>
      <x:c r="Q219" s="2" t="inlineStr">
        <x:is>
          <x:t xml:space="preserve">14</x:t>
        </x:is>
      </x:c>
      <x:c r="R219" s="2" t="inlineStr">
        <x:is>
          <x:t xml:space="preserve">18</x:t>
        </x:is>
      </x:c>
      <x:c r="S219" s="2" t="inlineStr">
        <x:is>
          <x:t xml:space="preserve">5</x:t>
        </x:is>
      </x:c>
      <x:c r="T219" s="2" t="inlineStr">
        <x:is>
          <x:t xml:space="preserve">10</x:t>
        </x:is>
      </x:c>
      <x:c r="U219" s="2" t="inlineStr">
        <x:is>
          <x:t xml:space="preserve">8</x:t>
        </x:is>
      </x:c>
      <x:c r="V219" s="2" t="n"/>
      <x:c r="W219" s="2" t="n"/>
      <x:c r="X219" s="2" t="inlineStr">
        <x:is>
          <x:t xml:space="preserve">Darkvision 60 ft.; Passive Perception 10</x:t>
        </x:is>
      </x:c>
      <x:c r="Y219" s="2" t="inlineStr">
        <x:is>
          <x:t xml:space="preserve">Primordial (Aquan)</x:t>
        </x:is>
      </x:c>
      <x:c r="Z219" s="2" t="inlineStr">
        <x:is>
          <x:t xml:space="preserve">Freeze. If the elemental takes Cold damage, its Speed decreases by 20 feet until the end of its next turn. Water Form. The elemental can enter an enemy’s space and stop there. It can move through a space as narrow as 1 inch without expending extra movement to do so.</x:t>
        </x:is>
      </x:c>
      <x:c r="AA219" s="2" t="inlineStr">
        <x:is>
          <x:t xml:space="preserve">Multiattack. The elemental makes two Slam attacks. Slam. Melee Attack Roll: +7, reach 5 ft. Hit: 13 (2d8 + 4) Bludgeoning damage. If the target is a Medium or smaller creature, it has the Prone condition. Whelm (Recharge 4-6). Strength Saving Throw: DC 15, each creature in the elemental’s space. Failure: 22 (4d8 + 4) Bludgeoning damage. If the target is a Large or smaller creature, it has the Grappled condition (escape DC 14). Until the grapple ends, the target has the Re- strained condition, is suffocating unless it can breathe water, and takes 9 (2d8) Bludgeoning damage at the start of each of the elemental’s turns. The elemental can grapple one Large creature or up to two Medium or smaller creatures at a time with Whelm. As an ac- tion, a creature within 5 feet of the elemental can pull a creature out of it by succeeding on a DC 14 Strength (Athletics) check. Success: Half damage only. Werebear</x:t>
        </x:is>
      </x:c>
      <x:c r="AB219" s="2" t="n"/>
      <x:c r="AC219" s="2" t="n"/>
      <x:c r="AD219" s="2" t="n"/>
      <x:c r="AE219" s="2" t="n"/>
      <x:c r="AF219" s="2" t="inlineStr">
        <x:is>
          <x:t xml:space="preserve">Imported from SRD 5.2.1 p. 337 Index of Stat Blocks</x:t>
        </x:is>
      </x:c>
      <x:c r="AG219" s="2" t="inlineStr">
        <x:is>
          <x:t xml:space="preserve">https://www.dndbeyond.com/srd</x:t>
        </x:is>
      </x:c>
    </x:row>
    <x:row r="220" ht="18" customHeight="1">
      <x:c r="A220" s="2" t="inlineStr">
        <x:is>
          <x:t xml:space="preserve">Werebear</x:t>
        </x:is>
      </x:c>
      <x:c r="B220" s="2" t="inlineStr">
        <x:is>
          <x:t xml:space="preserve">SRD 5.2.1</x:t>
        </x:is>
      </x:c>
      <x:c r="C220" s="2" t="inlineStr">
        <x:is>
          <x:t xml:space="preserve">Monstrosity (Lycanthrope)</x:t>
        </x:is>
      </x:c>
      <x:c r="D220" s="2" t="inlineStr">
        <x:is>
          <x:t xml:space="preserve">Medium or Small</x:t>
        </x:is>
      </x:c>
      <x:c r="E220" s="2" t="inlineStr">
        <x:is>
          <x:t xml:space="preserve">Neutral Good</x:t>
        </x:is>
      </x:c>
      <x:c r="F220" s="2" t="inlineStr">
        <x:is>
          <x:t xml:space="preserve">5</x:t>
        </x:is>
      </x:c>
      <x:c r="G220" s="2" t="inlineStr">
        <x:is>
          <x:t xml:space="preserve">1800</x:t>
        </x:is>
      </x:c>
      <x:c r="H220" s="2" t="inlineStr">
        <x:is>
          <x:t xml:space="preserve">15</x:t>
        </x:is>
      </x:c>
      <x:c r="I220" s="2" t="inlineStr">
        <x:is>
          <x:t xml:space="preserve">135</x:t>
        </x:is>
      </x:c>
      <x:c r="J220" s="2" t="inlineStr">
        <x:is>
          <x:t xml:space="preserve">30 ft., 40 ft. (bear form only), Climb 30 ft. (bear</x:t>
        </x:is>
      </x:c>
      <x:c r="K220" s="2" t="inlineStr">
        <x:is>
          <x:t xml:space="preserve">3</x:t>
        </x:is>
      </x:c>
      <x:c r="L220" s="2" t="inlineStr">
        <x:is>
          <x:t xml:space="preserve">17</x:t>
        </x:is>
      </x:c>
      <x:c r="M220" s="2" t="inlineStr">
        <x:is>
          <x:t xml:space="preserve">14</x:t>
        </x:is>
      </x:c>
      <x:c r="N220" s="2" t="inlineStr">
        <x:is>
          <x:t xml:space="preserve">7</x:t>
        </x:is>
      </x:c>
      <x:c r="O220" s="2" t="inlineStr">
        <x:is>
          <x:t xml:space="preserve">3</x:t>
        </x:is>
      </x:c>
      <x:c r="P220" s="2" t="inlineStr">
        <x:is>
          <x:t xml:space="preserve">19</x:t>
        </x:is>
      </x:c>
      <x:c r="Q220" s="2" t="inlineStr">
        <x:is>
          <x:t xml:space="preserve">10</x:t>
        </x:is>
      </x:c>
      <x:c r="R220" s="2" t="inlineStr">
        <x:is>
          <x:t xml:space="preserve">17</x:t>
        </x:is>
      </x:c>
      <x:c r="S220" s="2" t="inlineStr">
        <x:is>
          <x:t xml:space="preserve">11</x:t>
        </x:is>
      </x:c>
      <x:c r="T220" s="2" t="inlineStr">
        <x:is>
          <x:t xml:space="preserve">12</x:t>
        </x:is>
      </x:c>
      <x:c r="U220" s="2" t="inlineStr">
        <x:is>
          <x:t xml:space="preserve">12</x:t>
        </x:is>
      </x:c>
      <x:c r="V220" s="2" t="n"/>
      <x:c r="W220" s="2" t="inlineStr">
        <x:is>
          <x:t xml:space="preserve">Perception +7</x:t>
        </x:is>
      </x:c>
      <x:c r="X220" s="2" t="inlineStr">
        <x:is>
          <x:t xml:space="preserve">Darkvision 60 ft.; Passive Perception 17</x:t>
        </x:is>
      </x:c>
      <x:c r="Y220" s="2" t="inlineStr">
        <x:is>
          <x:t xml:space="preserve">Common (can’t speak in bear form)</x:t>
        </x:is>
      </x:c>
      <x:c r="Z220" s="2" t="n"/>
      <x:c r="AA220" s="2" t="inlineStr">
        <x:is>
          <x:t xml:space="preserve">Multiattack. The werebear makes two attacks, using Handaxe or Rend in any combination. It can replace one attack with a Bite attack. Bite (Bear or Hybrid Form Only). Melee Attack Roll: +7, reach 5 ft. Hit: 17 (2d12 + 4) Piercing damage. If the target is a Humanoid, it is subjected to the follow- ing effect. Constitution Saving Throw: DC 14. Failure: The target is cursed. If the cursed target drops to 0 Hit Points, it instead becomes a Werebear under the GM’s control and has 10 Hit Points. Success: The target is im- mune to this werebear’s curse for 24 hours. Handaxe (Humanoid or Hybrid Form Only). Melee or Ranged Attack Roll: +7, reach 5 ft or range 20/60 ft. Hit: 14 (3d6 + 4) Slashing damage. Rend (Bear or Hybrid Form Only). Melee Attack Roll: +7, reach 5 ft. Hit: 13 (2d8 + 4) Slashing damage.</x:t>
        </x:is>
      </x:c>
      <x:c r="AB220" s="2" t="inlineStr">
        <x:is>
          <x:t xml:space="preserve">Shape-Shift. The werebear shape-shifts into a Large bear-humanoid hybrid form or a Large bear, or it re- turns to its true humanoid form. Its game statistics, other than its size, are the same in each form. Any equipment it is wearing or carrying isn’t transformed. Wereboar</x:t>
        </x:is>
      </x:c>
      <x:c r="AC220" s="2" t="n"/>
      <x:c r="AD220" s="2" t="n"/>
      <x:c r="AE220" s="2" t="n"/>
      <x:c r="AF220" s="2" t="inlineStr">
        <x:is>
          <x:t xml:space="preserve">Imported from SRD 5.2.1 p. 337 Index of Stat Blocks</x:t>
        </x:is>
      </x:c>
      <x:c r="AG220" s="2" t="inlineStr">
        <x:is>
          <x:t xml:space="preserve">https://www.dndbeyond.com/srd</x:t>
        </x:is>
      </x:c>
    </x:row>
    <x:row r="221" ht="18" customHeight="1">
      <x:c r="A221" s="2" t="inlineStr">
        <x:is>
          <x:t xml:space="preserve">Wereboar</x:t>
        </x:is>
      </x:c>
      <x:c r="B221" s="2" t="inlineStr">
        <x:is>
          <x:t xml:space="preserve">SRD 5.2.1</x:t>
        </x:is>
      </x:c>
      <x:c r="C221" s="2" t="inlineStr">
        <x:is>
          <x:t xml:space="preserve">Monstrosity (Lycanthrope)</x:t>
        </x:is>
      </x:c>
      <x:c r="D221" s="2" t="inlineStr">
        <x:is>
          <x:t xml:space="preserve">Medium or Small</x:t>
        </x:is>
      </x:c>
      <x:c r="E221" s="2" t="inlineStr">
        <x:is>
          <x:t xml:space="preserve">Neutral Evil</x:t>
        </x:is>
      </x:c>
      <x:c r="F221" s="2" t="inlineStr">
        <x:is>
          <x:t xml:space="preserve">4</x:t>
        </x:is>
      </x:c>
      <x:c r="G221" s="2" t="inlineStr">
        <x:is>
          <x:t xml:space="preserve">1100</x:t>
        </x:is>
      </x:c>
      <x:c r="H221" s="2" t="inlineStr">
        <x:is>
          <x:t xml:space="preserve">15</x:t>
        </x:is>
      </x:c>
      <x:c r="I221" s="2" t="inlineStr">
        <x:is>
          <x:t xml:space="preserve">97</x:t>
        </x:is>
      </x:c>
      <x:c r="J221" s="2" t="inlineStr">
        <x:is>
          <x:t xml:space="preserve">30 ft., 40 ft. (boar form only)</x:t>
        </x:is>
      </x:c>
      <x:c r="K221" s="2" t="inlineStr">
        <x:is>
          <x:t xml:space="preserve">2</x:t>
        </x:is>
      </x:c>
      <x:c r="L221" s="2" t="inlineStr">
        <x:is>
          <x:t xml:space="preserve">12</x:t>
        </x:is>
      </x:c>
      <x:c r="M221" s="2" t="inlineStr">
        <x:is>
          <x:t xml:space="preserve">12</x:t>
        </x:is>
      </x:c>
      <x:c r="N221" s="2" t="inlineStr">
        <x:is>
          <x:t xml:space="preserve">5</x:t>
        </x:is>
      </x:c>
      <x:c r="O221" s="2" t="inlineStr">
        <x:is>
          <x:t xml:space="preserve">2</x:t>
        </x:is>
      </x:c>
      <x:c r="P221" s="2" t="inlineStr">
        <x:is>
          <x:t xml:space="preserve">17</x:t>
        </x:is>
      </x:c>
      <x:c r="Q221" s="2" t="inlineStr">
        <x:is>
          <x:t xml:space="preserve">10</x:t>
        </x:is>
      </x:c>
      <x:c r="R221" s="2" t="inlineStr">
        <x:is>
          <x:t xml:space="preserve">15</x:t>
        </x:is>
      </x:c>
      <x:c r="S221" s="2" t="inlineStr">
        <x:is>
          <x:t xml:space="preserve">10</x:t>
        </x:is>
      </x:c>
      <x:c r="T221" s="2" t="inlineStr">
        <x:is>
          <x:t xml:space="preserve">11</x:t>
        </x:is>
      </x:c>
      <x:c r="U221" s="2" t="inlineStr">
        <x:is>
          <x:t xml:space="preserve">8</x:t>
        </x:is>
      </x:c>
      <x:c r="V221" s="2" t="n"/>
      <x:c r="W221" s="2" t="inlineStr">
        <x:is>
          <x:t xml:space="preserve">Perception +2</x:t>
        </x:is>
      </x:c>
      <x:c r="X221" s="2" t="inlineStr">
        <x:is>
          <x:t xml:space="preserve">Passive Perception 12</x:t>
        </x:is>
      </x:c>
      <x:c r="Y221" s="2" t="inlineStr">
        <x:is>
          <x:t xml:space="preserve">Common (can’t speak in boar form)</x:t>
        </x:is>
      </x:c>
      <x:c r="Z221" s="2" t="n"/>
      <x:c r="AA221" s="2" t="inlineStr">
        <x:is>
          <x:t xml:space="preserve">Multiattack. The wereboar makes two attacks, using Javelin or Tusk in any combination. It can replace one attack with a Gore attack. Gore (Boar or Hybrid Form Only). Melee Attack Roll: +5, reach 5 ft. Hit: 12 (2d8 + 3) Piercing damage. If the target is a Humanoid, it is subjected to the follow- ing effect. Constitution Saving Throw: DC 12. Failure: The target is cursed. If the cursed target drops to 0 Hit Points, it instead becomes a Wereboar under the GM’s control and has 10 Hit Points. Success: The target is im- mune to this wereboar’s curse for 24 hours. Javelin (Humanoid or Hybrid Form Only). Melee or Ranged Attack Roll: +5, reach 5 ft. or range 30/120 ft. Hit: 13 (3d6 + 3) Piercing damage. Tusk (Boar or Hybrid Form Only). Melee Attack Roll: +5, reach 5 ft. Hit: 10 (2d6 + 3) Piercing damage. If the target is a Medium or smaller creature and the were- boar moved 20+ feet straight toward it immediately before the hit, the target takes an extra 7 (2d6) Piercing damage and has the Prone condition.</x:t>
        </x:is>
      </x:c>
      <x:c r="AB221" s="2" t="inlineStr">
        <x:is>
          <x:t xml:space="preserve">Shape-Shift. The wereboar shape-shifts into a Medium boar-humanoid hybrid or a Small boar, or it returns to its true humanoid form. Its game statistics, other than its size, are the same in each form. Any equipment it is wearing or carrying isn’t transformed. Wererat</x:t>
        </x:is>
      </x:c>
      <x:c r="AC221" s="2" t="n"/>
      <x:c r="AD221" s="2" t="n"/>
      <x:c r="AE221" s="2" t="n"/>
      <x:c r="AF221" s="2" t="inlineStr">
        <x:is>
          <x:t xml:space="preserve">Imported from SRD 5.2.1 p. 338 Index of Stat Blocks</x:t>
        </x:is>
      </x:c>
      <x:c r="AG221" s="2" t="inlineStr">
        <x:is>
          <x:t xml:space="preserve">https://www.dndbeyond.com/srd</x:t>
        </x:is>
      </x:c>
    </x:row>
    <x:row r="222" ht="18" customHeight="1">
      <x:c r="A222" s="2" t="inlineStr">
        <x:is>
          <x:t xml:space="preserve">Wererat</x:t>
        </x:is>
      </x:c>
      <x:c r="B222" s="2" t="inlineStr">
        <x:is>
          <x:t xml:space="preserve">SRD 5.2.1</x:t>
        </x:is>
      </x:c>
      <x:c r="C222" s="2" t="inlineStr">
        <x:is>
          <x:t xml:space="preserve">Monstrosity (Lycanthrope)</x:t>
        </x:is>
      </x:c>
      <x:c r="D222" s="2" t="inlineStr">
        <x:is>
          <x:t xml:space="preserve">Medium or Small</x:t>
        </x:is>
      </x:c>
      <x:c r="E222" s="2" t="inlineStr">
        <x:is>
          <x:t xml:space="preserve">Lawful Evil</x:t>
        </x:is>
      </x:c>
      <x:c r="F222" s="2" t="inlineStr">
        <x:is>
          <x:t xml:space="preserve">2</x:t>
        </x:is>
      </x:c>
      <x:c r="G222" s="2" t="inlineStr">
        <x:is>
          <x:t xml:space="preserve">450</x:t>
        </x:is>
      </x:c>
      <x:c r="H222" s="2" t="inlineStr">
        <x:is>
          <x:t xml:space="preserve">13</x:t>
        </x:is>
      </x:c>
      <x:c r="I222" s="2" t="inlineStr">
        <x:is>
          <x:t xml:space="preserve">60</x:t>
        </x:is>
      </x:c>
      <x:c r="J222" s="2" t="inlineStr">
        <x:is>
          <x:t xml:space="preserve">30 ft., Climb 30 ft.</x:t>
        </x:is>
      </x:c>
      <x:c r="K222" s="2" t="inlineStr">
        <x:is>
          <x:t xml:space="preserve">2</x:t>
        </x:is>
      </x:c>
      <x:c r="L222" s="2" t="inlineStr">
        <x:is>
          <x:t xml:space="preserve">14</x:t>
        </x:is>
      </x:c>
      <x:c r="M222" s="2" t="inlineStr">
        <x:is>
          <x:t xml:space="preserve">11</x:t>
        </x:is>
      </x:c>
      <x:c r="N222" s="2" t="inlineStr">
        <x:is>
          <x:t xml:space="preserve">5</x:t>
        </x:is>
      </x:c>
      <x:c r="O222" s="2" t="inlineStr">
        <x:is>
          <x:t xml:space="preserve">3</x:t>
        </x:is>
      </x:c>
      <x:c r="P222" s="2" t="inlineStr">
        <x:is>
          <x:t xml:space="preserve">10</x:t>
        </x:is>
      </x:c>
      <x:c r="Q222" s="2" t="inlineStr">
        <x:is>
          <x:t xml:space="preserve">16</x:t>
        </x:is>
      </x:c>
      <x:c r="R222" s="2" t="inlineStr">
        <x:is>
          <x:t xml:space="preserve">12</x:t>
        </x:is>
      </x:c>
      <x:c r="S222" s="2" t="inlineStr">
        <x:is>
          <x:t xml:space="preserve">11</x:t>
        </x:is>
      </x:c>
      <x:c r="T222" s="2" t="inlineStr">
        <x:is>
          <x:t xml:space="preserve">10</x:t>
        </x:is>
      </x:c>
      <x:c r="U222" s="2" t="inlineStr">
        <x:is>
          <x:t xml:space="preserve">8</x:t>
        </x:is>
      </x:c>
      <x:c r="V222" s="2" t="n"/>
      <x:c r="W222" s="2" t="inlineStr">
        <x:is>
          <x:t xml:space="preserve">Perception +4, Stealth +5</x:t>
        </x:is>
      </x:c>
      <x:c r="X222" s="2" t="inlineStr">
        <x:is>
          <x:t xml:space="preserve">Darkvision 60 ft.; Passive Perception 14</x:t>
        </x:is>
      </x:c>
      <x:c r="Y222" s="2" t="inlineStr">
        <x:is>
          <x:t xml:space="preserve">Common (can’t speak in rat form)</x:t>
        </x:is>
      </x:c>
      <x:c r="Z222" s="2" t="n"/>
      <x:c r="AA222" s="2" t="inlineStr">
        <x:is>
          <x:t xml:space="preserve">Multiattack. The wererat makes two attacks, using Scratch or Hand Crossbow in any combination. It can replace one attack with a Bite attack. Bite (Rat or Hybrid Form Only). Melee Attack Roll: +5, reach 5 ft. Hit: 8 (2d4 + 3) Piercing damage. If the target is a Humanoid, it is subjected to the following effect. Constitution Saving Throw: DC 11. Failure: The target is cursed. If the cursed target drops to 0 Hit Points, it instead becomes a Wererat under the GM’s control and has 10 Hit Points. Success: The target is im- mune to this wererat’s curse for 24 hours. Scratch. Melee Attack Roll: +5, reach 5 ft. Hit: 6 (1d6 + 3) Slashing damage. Hand Crossbow (Humanoid or Hybrid Form Only). Ranged Attack Roll: +5, range 30/120 ft. Hit: 6 (1d6 + 3) Piercing damage.</x:t>
        </x:is>
      </x:c>
      <x:c r="AB222" s="2" t="inlineStr">
        <x:is>
          <x:t xml:space="preserve">Shape-Shift. The wererat shape-shifts into a Medium rat-humanoid hybrid or a Small rat, or it returns to its true humanoid form. Its game statistics, other than its size, are the same in each form. Any equipment it is wearing or carrying isn’t transformed. Weretiger</x:t>
        </x:is>
      </x:c>
      <x:c r="AC222" s="2" t="n"/>
      <x:c r="AD222" s="2" t="n"/>
      <x:c r="AE222" s="2" t="n"/>
      <x:c r="AF222" s="2" t="inlineStr">
        <x:is>
          <x:t xml:space="preserve">Imported from SRD 5.2.1 p. 338 Index of Stat Blocks</x:t>
        </x:is>
      </x:c>
      <x:c r="AG222" s="2" t="inlineStr">
        <x:is>
          <x:t xml:space="preserve">https://www.dndbeyond.com/srd</x:t>
        </x:is>
      </x:c>
    </x:row>
    <x:row r="223" ht="18" customHeight="1">
      <x:c r="A223" s="2" t="inlineStr">
        <x:is>
          <x:t xml:space="preserve">Weretiger</x:t>
        </x:is>
      </x:c>
      <x:c r="B223" s="2" t="inlineStr">
        <x:is>
          <x:t xml:space="preserve">SRD 5.2.1</x:t>
        </x:is>
      </x:c>
      <x:c r="C223" s="2" t="inlineStr">
        <x:is>
          <x:t xml:space="preserve">Monstrosity (Lycanthrope)</x:t>
        </x:is>
      </x:c>
      <x:c r="D223" s="2" t="inlineStr">
        <x:is>
          <x:t xml:space="preserve">Medium or Small</x:t>
        </x:is>
      </x:c>
      <x:c r="E223" s="2" t="inlineStr">
        <x:is>
          <x:t xml:space="preserve">Neutral</x:t>
        </x:is>
      </x:c>
      <x:c r="F223" s="2" t="inlineStr">
        <x:is>
          <x:t xml:space="preserve">4</x:t>
        </x:is>
      </x:c>
      <x:c r="G223" s="2" t="inlineStr">
        <x:is>
          <x:t xml:space="preserve">1100</x:t>
        </x:is>
      </x:c>
      <x:c r="H223" s="2" t="inlineStr">
        <x:is>
          <x:t xml:space="preserve">12</x:t>
        </x:is>
      </x:c>
      <x:c r="I223" s="2" t="inlineStr">
        <x:is>
          <x:t xml:space="preserve">120</x:t>
        </x:is>
      </x:c>
      <x:c r="J223" s="2" t="inlineStr">
        <x:is>
          <x:t xml:space="preserve">30 ft., 40 ft. (tiger form only)</x:t>
        </x:is>
      </x:c>
      <x:c r="K223" s="2" t="inlineStr">
        <x:is>
          <x:t xml:space="preserve">2</x:t>
        </x:is>
      </x:c>
      <x:c r="L223" s="2" t="inlineStr">
        <x:is>
          <x:t xml:space="preserve">15</x:t>
        </x:is>
      </x:c>
      <x:c r="M223" s="2" t="inlineStr">
        <x:is>
          <x:t xml:space="preserve">13</x:t>
        </x:is>
      </x:c>
      <x:c r="N223" s="2" t="inlineStr">
        <x:is>
          <x:t xml:space="preserve">5</x:t>
        </x:is>
      </x:c>
      <x:c r="O223" s="2" t="inlineStr">
        <x:is>
          <x:t xml:space="preserve">2</x:t>
        </x:is>
      </x:c>
      <x:c r="P223" s="2" t="inlineStr">
        <x:is>
          <x:t xml:space="preserve">17</x:t>
        </x:is>
      </x:c>
      <x:c r="Q223" s="2" t="inlineStr">
        <x:is>
          <x:t xml:space="preserve">15</x:t>
        </x:is>
      </x:c>
      <x:c r="R223" s="2" t="inlineStr">
        <x:is>
          <x:t xml:space="preserve">16</x:t>
        </x:is>
      </x:c>
      <x:c r="S223" s="2" t="inlineStr">
        <x:is>
          <x:t xml:space="preserve">10</x:t>
        </x:is>
      </x:c>
      <x:c r="T223" s="2" t="inlineStr">
        <x:is>
          <x:t xml:space="preserve">13</x:t>
        </x:is>
      </x:c>
      <x:c r="U223" s="2" t="inlineStr">
        <x:is>
          <x:t xml:space="preserve">11</x:t>
        </x:is>
      </x:c>
      <x:c r="V223" s="2" t="n"/>
      <x:c r="W223" s="2" t="inlineStr">
        <x:is>
          <x:t xml:space="preserve">Perception +5, Stealth +4</x:t>
        </x:is>
      </x:c>
      <x:c r="X223" s="2" t="inlineStr">
        <x:is>
          <x:t xml:space="preserve">Darkvision 60 ft.; Passive Perception 15</x:t>
        </x:is>
      </x:c>
      <x:c r="Y223" s="2" t="inlineStr">
        <x:is>
          <x:t xml:space="preserve">Common (can’t speak in tiger form)</x:t>
        </x:is>
      </x:c>
      <x:c r="Z223" s="2" t="n"/>
      <x:c r="AA223" s="2" t="inlineStr">
        <x:is>
          <x:t xml:space="preserve">Multiattack. The weretiger makes two attacks, using Scratch or Longbow in any combination. It can replace one attack with a Bite attack. Bite (Tiger or Hybrid Form Only). Melee Attack Roll: +5, reach 5 ft. Hit: 12 (2d8 + 3) Piercing damage. If the target is a Humanoid, it is subjected to the follow- ing effect. Constitution Saving Throw: DC 13. Failure: The target is cursed. If the cursed target drops to 0 Hit Points, it instead becomes a Weretiger under the GM’s control and has 10 Hit Points. Success: The target is im- mune to this weretiger’s curse for 24 hours. Scratch. Melee Attack Roll: +5, reach 5 ft. Hit: 10 (2d6 + 3) Slashing damage. Longbow (Humanoid or Hybrid Form Only). Ranged Attack Roll: +4, range 150/600 ft. Hit: 11 (2d8 + 2) Piercing damage.</x:t>
        </x:is>
      </x:c>
      <x:c r="AB223" s="2" t="inlineStr">
        <x:is>
          <x:t xml:space="preserve">Prowl (Tiger or Hybrid Form Only). The weretiger moves up to its Speed without provoking Opportunity Attacks. At the end of this movement, the weretiger can take the Hide action. Shape-Shift. The weretiger shape-shifts into a Large tiger-humanoid hybrid or a Large tiger, or it returns to its true humanoid form. Its game statistics, other than its size, are the same in each form. Any equipment it is wearing or carrying isn’t transformed. Werewolf</x:t>
        </x:is>
      </x:c>
      <x:c r="AC223" s="2" t="n"/>
      <x:c r="AD223" s="2" t="n"/>
      <x:c r="AE223" s="2" t="n"/>
      <x:c r="AF223" s="2" t="inlineStr">
        <x:is>
          <x:t xml:space="preserve">Imported from SRD 5.2.1 p. 339 Index of Stat Blocks</x:t>
        </x:is>
      </x:c>
      <x:c r="AG223" s="2" t="inlineStr">
        <x:is>
          <x:t xml:space="preserve">https://www.dndbeyond.com/srd</x:t>
        </x:is>
      </x:c>
    </x:row>
    <x:row r="224" ht="18" customHeight="1">
      <x:c r="A224" s="2" t="inlineStr">
        <x:is>
          <x:t xml:space="preserve">Werewolf</x:t>
        </x:is>
      </x:c>
      <x:c r="B224" s="2" t="inlineStr">
        <x:is>
          <x:t xml:space="preserve">SRD 5.2.1</x:t>
        </x:is>
      </x:c>
      <x:c r="C224" s="2" t="inlineStr">
        <x:is>
          <x:t xml:space="preserve">Monstrosity (Lycanthrope)</x:t>
        </x:is>
      </x:c>
      <x:c r="D224" s="2" t="inlineStr">
        <x:is>
          <x:t xml:space="preserve">Medium or Small</x:t>
        </x:is>
      </x:c>
      <x:c r="E224" s="2" t="inlineStr">
        <x:is>
          <x:t xml:space="preserve">Chaotic Evil</x:t>
        </x:is>
      </x:c>
      <x:c r="F224" s="2" t="inlineStr">
        <x:is>
          <x:t xml:space="preserve">3</x:t>
        </x:is>
      </x:c>
      <x:c r="G224" s="2" t="inlineStr">
        <x:is>
          <x:t xml:space="preserve">700</x:t>
        </x:is>
      </x:c>
      <x:c r="H224" s="2" t="inlineStr">
        <x:is>
          <x:t xml:space="preserve">15</x:t>
        </x:is>
      </x:c>
      <x:c r="I224" s="2" t="inlineStr">
        <x:is>
          <x:t xml:space="preserve">71</x:t>
        </x:is>
      </x:c>
      <x:c r="J224" s="2" t="inlineStr">
        <x:is>
          <x:t xml:space="preserve">30 ft., 40 ft. (wolf form only)</x:t>
        </x:is>
      </x:c>
      <x:c r="K224" s="2" t="inlineStr">
        <x:is>
          <x:t xml:space="preserve">2</x:t>
        </x:is>
      </x:c>
      <x:c r="L224" s="2" t="inlineStr">
        <x:is>
          <x:t xml:space="preserve">14</x:t>
        </x:is>
      </x:c>
      <x:c r="M224" s="2" t="inlineStr">
        <x:is>
          <x:t xml:space="preserve">12</x:t>
        </x:is>
      </x:c>
      <x:c r="N224" s="2" t="inlineStr">
        <x:is>
          <x:t xml:space="preserve">5</x:t>
        </x:is>
      </x:c>
      <x:c r="O224" s="2" t="inlineStr">
        <x:is>
          <x:t xml:space="preserve">4</x:t>
        </x:is>
      </x:c>
      <x:c r="P224" s="2" t="inlineStr">
        <x:is>
          <x:t xml:space="preserve">16</x:t>
        </x:is>
      </x:c>
      <x:c r="Q224" s="2" t="inlineStr">
        <x:is>
          <x:t xml:space="preserve">14</x:t>
        </x:is>
      </x:c>
      <x:c r="R224" s="2" t="inlineStr">
        <x:is>
          <x:t xml:space="preserve">14</x:t>
        </x:is>
      </x:c>
      <x:c r="S224" s="2" t="inlineStr">
        <x:is>
          <x:t xml:space="preserve">10</x:t>
        </x:is>
      </x:c>
      <x:c r="T224" s="2" t="inlineStr">
        <x:is>
          <x:t xml:space="preserve">11</x:t>
        </x:is>
      </x:c>
      <x:c r="U224" s="2" t="inlineStr">
        <x:is>
          <x:t xml:space="preserve">10</x:t>
        </x:is>
      </x:c>
      <x:c r="V224" s="2" t="n"/>
      <x:c r="W224" s="2" t="inlineStr">
        <x:is>
          <x:t xml:space="preserve">Perception +4, Stealth +4</x:t>
        </x:is>
      </x:c>
      <x:c r="X224" s="2" t="inlineStr">
        <x:is>
          <x:t xml:space="preserve">Darkvision 60 ft.; Passive Perception 14</x:t>
        </x:is>
      </x:c>
      <x:c r="Y224" s="2" t="inlineStr">
        <x:is>
          <x:t xml:space="preserve">Common (can’t speak in wolf form)</x:t>
        </x:is>
      </x:c>
      <x:c r="Z224" s="2" t="inlineStr">
        <x:is>
          <x:t xml:space="preserve">Pack Tactics. The werewolf has Advantage on an attack roll against a creature if at least one of the werewolf’s allies is within 5 feet of the creature and the ally doesn’t have the Incapacitated condition.</x:t>
        </x:is>
      </x:c>
      <x:c r="AA224" s="2" t="inlineStr">
        <x:is>
          <x:t xml:space="preserve">Multiattack. The werewolf makes two attacks, using Scratch or Longbow in any combination. It can replace one attack with a Bite attack. Bite (Wolf or Hybrid Form Only). Melee Attack Roll: +5, reach 5 ft. Hit: 12 (2d8 + 3) Piercing damage. If the target is a Humanoid, it is subjected to the follow- ing effect. Constitution Saving Throw: DC 12. Failure: The target is cursed. If the cursed target drops to 0 Hit Points, it instead becomes a Werewolf under the GM’s control and has 10 Hit Points. Success: The target is im- mune to this werewolf’s curse for 24 hours. Scratch. Melee Attack Roll: +5, reach 5 ft. Hit: 10 (2d6 + 3) Slashing damage. Longbow (Humanoid or Hybrid Form Only). Ranged Attack Roll: +4, range 150/600 ft. Hit: 11 (2d8 + 2) Piercing damage.</x:t>
        </x:is>
      </x:c>
      <x:c r="AB224" s="2" t="inlineStr">
        <x:is>
          <x:t xml:space="preserve">Shape-Shift. The werewolf shape-shifts into a Large wolf-humanoid hybrid or a Medium wolf, or it returns to its true humanoid form. Its game statistics, other than its size, are the same in each form. Any equipment it is wearing or carrying isn’t transformed. White Dragons</x:t>
        </x:is>
      </x:c>
      <x:c r="AC224" s="2" t="n"/>
      <x:c r="AD224" s="2" t="n"/>
      <x:c r="AE224" s="2" t="n"/>
      <x:c r="AF224" s="2" t="inlineStr">
        <x:is>
          <x:t xml:space="preserve">Imported from SRD 5.2.1 p. 339 Index of Stat Blocks</x:t>
        </x:is>
      </x:c>
      <x:c r="AG224" s="2" t="inlineStr">
        <x:is>
          <x:t xml:space="preserve">https://www.dndbeyond.com/srd</x:t>
        </x:is>
      </x:c>
    </x:row>
    <x:row r="225" ht="18" customHeight="1">
      <x:c r="A225" s="2" t="inlineStr">
        <x:is>
          <x:t xml:space="preserve">White Dragon Wyrmling</x:t>
        </x:is>
      </x:c>
      <x:c r="B225" s="2" t="inlineStr">
        <x:is>
          <x:t xml:space="preserve">SRD 5.2.1</x:t>
        </x:is>
      </x:c>
      <x:c r="C225" s="2" t="inlineStr">
        <x:is>
          <x:t xml:space="preserve">Dragon (Chromatic)</x:t>
        </x:is>
      </x:c>
      <x:c r="D225" s="2" t="inlineStr">
        <x:is>
          <x:t xml:space="preserve">Medium</x:t>
        </x:is>
      </x:c>
      <x:c r="E225" s="2" t="inlineStr">
        <x:is>
          <x:t xml:space="preserve">Chaotic Evil</x:t>
        </x:is>
      </x:c>
      <x:c r="F225" s="2" t="n"/>
      <x:c r="G225" s="2" t="n"/>
      <x:c r="H225" s="2" t="inlineStr">
        <x:is>
          <x:t xml:space="preserve">16</x:t>
        </x:is>
      </x:c>
      <x:c r="I225" s="2" t="inlineStr">
        <x:is>
          <x:t xml:space="preserve">32</x:t>
        </x:is>
      </x:c>
      <x:c r="J225" s="2" t="inlineStr">
        <x:is>
          <x:t xml:space="preserve">30 ft., Burrow 15 ft., Fly 60 ft., Swim 30 ft.</x:t>
        </x:is>
      </x:c>
      <x:c r="K225" s="2" t="n"/>
      <x:c r="L225" s="2" t="inlineStr">
        <x:is>
          <x:t xml:space="preserve">14</x:t>
        </x:is>
      </x:c>
      <x:c r="M225" s="2" t="n"/>
      <x:c r="N225" s="2" t="inlineStr">
        <x:is>
          <x:t xml:space="preserve">4</x:t>
        </x:is>
      </x:c>
      <x:c r="O225" s="2" t="inlineStr">
        <x:is>
          <x:t xml:space="preserve">2</x:t>
        </x:is>
      </x:c>
      <x:c r="P225" s="2" t="inlineStr">
        <x:is>
          <x:t xml:space="preserve">14</x:t>
        </x:is>
      </x:c>
      <x:c r="Q225" s="2" t="inlineStr">
        <x:is>
          <x:t xml:space="preserve">10</x:t>
        </x:is>
      </x:c>
      <x:c r="R225" s="2" t="inlineStr">
        <x:is>
          <x:t xml:space="preserve">14</x:t>
        </x:is>
      </x:c>
      <x:c r="S225" s="2" t="inlineStr">
        <x:is>
          <x:t xml:space="preserve">5</x:t>
        </x:is>
      </x:c>
      <x:c r="T225" s="2" t="inlineStr">
        <x:is>
          <x:t xml:space="preserve">10</x:t>
        </x:is>
      </x:c>
      <x:c r="U225" s="2" t="inlineStr">
        <x:is>
          <x:t xml:space="preserve">11</x:t>
        </x:is>
      </x:c>
      <x:c r="V225" s="2" t="inlineStr">
        <x:is>
          <x:t xml:space="preserve">DEX +2, WIS +2</x:t>
        </x:is>
      </x:c>
      <x:c r="W225" s="2" t="inlineStr">
        <x:is>
          <x:t xml:space="preserve">Perception +4, Stealth +2</x:t>
        </x:is>
      </x:c>
      <x:c r="X225" s="2" t="inlineStr">
        <x:is>
          <x:t xml:space="preserve">Blindsight 10 ft., Darkvision 60 ft.; Passive Perception 14</x:t>
        </x:is>
      </x:c>
      <x:c r="Y225" s="2" t="inlineStr">
        <x:is>
          <x:t xml:space="preserve">Draconic</x:t>
        </x:is>
      </x:c>
      <x:c r="Z225" s="2" t="inlineStr">
        <x:is>
          <x:t xml:space="preserve">Ice Walk. The dragon can move across and climb icy surfaces without needing to make an ability check. Additionally, Difficult Terrain composed of ice or snow doesn’t cost it extra movement.</x:t>
        </x:is>
      </x:c>
      <x:c r="AA225" s="2" t="inlineStr">
        <x:is>
          <x:t xml:space="preserve">Multiattack. The dragon makes two Rend attacks. Rend. Melee Attack Roll: +4, reach 5 ft. Hit: 6 (1d8 + 2) Slashing damage plus 2 (1d4) Cold damage. Cold Breath (Recharge 5-6). Constitution Saving Throw: DC 12, each creature in a 15-foot Cone. Failure: 22 (5d8) Cold damage. Success: Half damage.</x:t>
        </x:is>
      </x:c>
      <x:c r="AB225" s="2" t="n"/>
      <x:c r="AC225" s="2" t="n"/>
      <x:c r="AD225" s="2" t="n"/>
      <x:c r="AE225" s="2" t="n"/>
      <x:c r="AF225" s="2" t="inlineStr">
        <x:is>
          <x:t xml:space="preserve">Imported from SRD 5.2.1 p. 339 Index of Stat Blocks</x:t>
        </x:is>
      </x:c>
      <x:c r="AG225" s="2" t="inlineStr">
        <x:is>
          <x:t xml:space="preserve">https://www.dndbeyond.com/srd</x:t>
        </x:is>
      </x:c>
    </x:row>
    <x:row r="226" ht="18" customHeight="1">
      <x:c r="A226" s="2" t="inlineStr">
        <x:is>
          <x:t xml:space="preserve">Young White Dragon</x:t>
        </x:is>
      </x:c>
      <x:c r="B226" s="2" t="inlineStr">
        <x:is>
          <x:t xml:space="preserve">SRD 5.2.1</x:t>
        </x:is>
      </x:c>
      <x:c r="C226" s="2" t="inlineStr">
        <x:is>
          <x:t xml:space="preserve">Dragon (Chromatic)</x:t>
        </x:is>
      </x:c>
      <x:c r="D226" s="2" t="inlineStr">
        <x:is>
          <x:t xml:space="preserve">Large</x:t>
        </x:is>
      </x:c>
      <x:c r="E226" s="2" t="inlineStr">
        <x:is>
          <x:t xml:space="preserve">Chaotic Evil</x:t>
        </x:is>
      </x:c>
      <x:c r="F226" s="2" t="n"/>
      <x:c r="G226" s="2" t="n"/>
      <x:c r="H226" s="2" t="inlineStr">
        <x:is>
          <x:t xml:space="preserve">17</x:t>
        </x:is>
      </x:c>
      <x:c r="I226" s="2" t="inlineStr">
        <x:is>
          <x:t xml:space="preserve">123</x:t>
        </x:is>
      </x:c>
      <x:c r="J226" s="2" t="inlineStr">
        <x:is>
          <x:t xml:space="preserve">40 ft., Burrow 20 ft., Fly 80 ft., Swim 40 ft.</x:t>
        </x:is>
      </x:c>
      <x:c r="K226" s="2" t="n"/>
      <x:c r="L226" s="2" t="inlineStr">
        <x:is>
          <x:t xml:space="preserve">16</x:t>
        </x:is>
      </x:c>
      <x:c r="M226" s="2" t="n"/>
      <x:c r="N226" s="2" t="inlineStr">
        <x:is>
          <x:t xml:space="preserve">7</x:t>
        </x:is>
      </x:c>
      <x:c r="O226" s="2" t="inlineStr">
        <x:is>
          <x:t xml:space="preserve">3</x:t>
        </x:is>
      </x:c>
      <x:c r="P226" s="2" t="inlineStr">
        <x:is>
          <x:t xml:space="preserve">18</x:t>
        </x:is>
      </x:c>
      <x:c r="Q226" s="2" t="inlineStr">
        <x:is>
          <x:t xml:space="preserve">10</x:t>
        </x:is>
      </x:c>
      <x:c r="R226" s="2" t="inlineStr">
        <x:is>
          <x:t xml:space="preserve">18</x:t>
        </x:is>
      </x:c>
      <x:c r="S226" s="2" t="inlineStr">
        <x:is>
          <x:t xml:space="preserve">6</x:t>
        </x:is>
      </x:c>
      <x:c r="T226" s="2" t="inlineStr">
        <x:is>
          <x:t xml:space="preserve">11</x:t>
        </x:is>
      </x:c>
      <x:c r="U226" s="2" t="inlineStr">
        <x:is>
          <x:t xml:space="preserve">12</x:t>
        </x:is>
      </x:c>
      <x:c r="V226" s="2" t="inlineStr">
        <x:is>
          <x:t xml:space="preserve">DEX +3, WIS +3</x:t>
        </x:is>
      </x:c>
      <x:c r="W226" s="2" t="inlineStr">
        <x:is>
          <x:t xml:space="preserve">Perception +6, Stealth +3</x:t>
        </x:is>
      </x:c>
      <x:c r="X226" s="2" t="inlineStr">
        <x:is>
          <x:t xml:space="preserve">Blindsight 30 ft., Darkvision 120 ft.; Passive Perception 16</x:t>
        </x:is>
      </x:c>
      <x:c r="Y226" s="2" t="inlineStr">
        <x:is>
          <x:t xml:space="preserve">Common, Draconic</x:t>
        </x:is>
      </x:c>
      <x:c r="Z226" s="2" t="inlineStr">
        <x:is>
          <x:t xml:space="preserve">Ice Walk. The dragon can move across and climb icy surfaces without needing to make an ability check. Additionally, Difficult Terrain composed of ice or snow doesn’t cost it extra movement.</x:t>
        </x:is>
      </x:c>
      <x:c r="AA226" s="2" t="inlineStr">
        <x:is>
          <x:t xml:space="preserve">Multiattack. The dragon makes three Rend attacks. Rend. Melee Attack Roll: +7, reach 10 ft. Hit: 9 (2d4 + 4) Slashing damage plus 2 (1d4) Cold damage. Cold Breath (Recharge 5-6). Constitution Saving Throw: DC 15, each creature in a 30-foot Cone. Failure: 40 (9d8) Cold damage. Success: Half damage.</x:t>
        </x:is>
      </x:c>
      <x:c r="AB226" s="2" t="n"/>
      <x:c r="AC226" s="2" t="n"/>
      <x:c r="AD226" s="2" t="n"/>
      <x:c r="AE226" s="2" t="n"/>
      <x:c r="AF226" s="2" t="inlineStr">
        <x:is>
          <x:t xml:space="preserve">Imported from SRD 5.2.1 p. 340 Index of Stat Blocks</x:t>
        </x:is>
      </x:c>
      <x:c r="AG226" s="2" t="inlineStr">
        <x:is>
          <x:t xml:space="preserve">https://www.dndbeyond.com/srd</x:t>
        </x:is>
      </x:c>
    </x:row>
    <x:row r="227" ht="18" customHeight="1">
      <x:c r="A227" s="2" t="inlineStr">
        <x:is>
          <x:t xml:space="preserve">Adult White Dragon</x:t>
        </x:is>
      </x:c>
      <x:c r="B227" s="2" t="inlineStr">
        <x:is>
          <x:t xml:space="preserve">SRD 5.2.1</x:t>
        </x:is>
      </x:c>
      <x:c r="C227" s="2" t="inlineStr">
        <x:is>
          <x:t xml:space="preserve">Dragon (Chromatic)</x:t>
        </x:is>
      </x:c>
      <x:c r="D227" s="2" t="inlineStr">
        <x:is>
          <x:t xml:space="preserve">Huge</x:t>
        </x:is>
      </x:c>
      <x:c r="E227" s="2" t="inlineStr">
        <x:is>
          <x:t xml:space="preserve">Chaotic Evil</x:t>
        </x:is>
      </x:c>
      <x:c r="F227" s="2" t="inlineStr">
        <x:is>
          <x:t xml:space="preserve">13</x:t>
        </x:is>
      </x:c>
      <x:c r="G227" s="2" t="inlineStr">
        <x:is>
          <x:t xml:space="preserve">10000</x:t>
        </x:is>
      </x:c>
      <x:c r="H227" s="2" t="inlineStr">
        <x:is>
          <x:t xml:space="preserve">18</x:t>
        </x:is>
      </x:c>
      <x:c r="I227" s="2" t="inlineStr">
        <x:is>
          <x:t xml:space="preserve">200</x:t>
        </x:is>
      </x:c>
      <x:c r="J227" s="2" t="inlineStr">
        <x:is>
          <x:t xml:space="preserve">40 ft., Burrow 30 ft., Fly 80 ft., Swim 40 ft.</x:t>
        </x:is>
      </x:c>
      <x:c r="K227" s="2" t="inlineStr">
        <x:is>
          <x:t xml:space="preserve">5</x:t>
        </x:is>
      </x:c>
      <x:c r="L227" s="2" t="inlineStr">
        <x:is>
          <x:t xml:space="preserve">21</x:t>
        </x:is>
      </x:c>
      <x:c r="M227" s="2" t="inlineStr">
        <x:is>
          <x:t xml:space="preserve">14</x:t>
        </x:is>
      </x:c>
      <x:c r="N227" s="2" t="inlineStr">
        <x:is>
          <x:t xml:space="preserve">11</x:t>
        </x:is>
      </x:c>
      <x:c r="O227" s="2" t="inlineStr">
        <x:is>
          <x:t xml:space="preserve">10</x:t>
        </x:is>
      </x:c>
      <x:c r="P227" s="2" t="inlineStr">
        <x:is>
          <x:t xml:space="preserve">22</x:t>
        </x:is>
      </x:c>
      <x:c r="Q227" s="2" t="inlineStr">
        <x:is>
          <x:t xml:space="preserve">10</x:t>
        </x:is>
      </x:c>
      <x:c r="R227" s="2" t="inlineStr">
        <x:is>
          <x:t xml:space="preserve">22</x:t>
        </x:is>
      </x:c>
      <x:c r="S227" s="2" t="inlineStr">
        <x:is>
          <x:t xml:space="preserve">8</x:t>
        </x:is>
      </x:c>
      <x:c r="T227" s="2" t="inlineStr">
        <x:is>
          <x:t xml:space="preserve">12</x:t>
        </x:is>
      </x:c>
      <x:c r="U227" s="2" t="inlineStr">
        <x:is>
          <x:t xml:space="preserve">12</x:t>
        </x:is>
      </x:c>
      <x:c r="V227" s="2" t="inlineStr">
        <x:is>
          <x:t xml:space="preserve">DEX +5, WIS +6</x:t>
        </x:is>
      </x:c>
      <x:c r="W227" s="2" t="inlineStr">
        <x:is>
          <x:t xml:space="preserve">Perception +11, Stealth +5</x:t>
        </x:is>
      </x:c>
      <x:c r="X227" s="2" t="inlineStr">
        <x:is>
          <x:t xml:space="preserve">Blindsight 60 ft., Darkvision 120 ft.; Passive Perception 21</x:t>
        </x:is>
      </x:c>
      <x:c r="Y227" s="2" t="inlineStr">
        <x:is>
          <x:t xml:space="preserve">Common, Draconic</x:t>
        </x:is>
      </x:c>
      <x:c r="Z227" s="2" t="inlineStr">
        <x:is>
          <x:t xml:space="preserve">Ice Walk. The dragon can move across and climb icy surfaces without needing to make an ability check. Additionally, Difficult Terrain composed of ice or snow doesn’t cost it extra movement. Legendary Resistance (3/Day, or 4/Day in Lair). If the dragon fails a saving throw, it can choose to suc- ceed instead.</x:t>
        </x:is>
      </x:c>
      <x:c r="AA227" s="2" t="inlineStr">
        <x:is>
          <x:t xml:space="preserve">Multiattack. The dragon makes three Rend attacks. Rend. Melee Attack Roll: +11, reach 10 ft. Hit: 13 (2d6 + 6) Slashing damage plus 4 (1d8) Cold damage. Cold Breath (Recharge 5-6). Constitution Saving Throw: DC 19, each creature in a 60-foot Cone. Failure: 54 (12d8) Cold damage. Success: Half damage.</x:t>
        </x:is>
      </x:c>
      <x:c r="AB227" s="2" t="n"/>
      <x:c r="AC227" s="2" t="n"/>
      <x:c r="AD227" s="2" t="inlineStr">
        <x:is>
          <x:t xml:space="preserve">Legendary Action Uses: 3 (4 in Lair). Immediately after another creature’s turn, the dragon can expend a use to take one of the following actions. The dragon regains all expended uses at the start of each of its turns. Freezing Burst. Constitution Saving Throw: DC 14, each creature in a 30-foot-radius Sphere centered on a point the dragon can see within 120 feet. Failure: 7 (2d6) Cold damage, and the target’s Speed is 0 until the end of the target’s next turn. Failure or Success: The dragon can’t take this action again until the start of its next turn. Frightful Presence. The dragon casts Fear, requiring no Material components and using Charisma as the spell- casting ability (spell save DC 14). The dragon can’t take this action again until the start of its next turn. Pounce. The dragon moves up to half its Speed, and it makes one Rend attack.</x:t>
        </x:is>
      </x:c>
      <x:c r="AE227" s="2" t="n"/>
      <x:c r="AF227" s="2" t="inlineStr">
        <x:is>
          <x:t xml:space="preserve">Imported from SRD 5.2.1 p. 340 Index of Stat Blocks</x:t>
        </x:is>
      </x:c>
      <x:c r="AG227" s="2" t="inlineStr">
        <x:is>
          <x:t xml:space="preserve">https://www.dndbeyond.com/srd</x:t>
        </x:is>
      </x:c>
    </x:row>
    <x:row r="228" ht="18" customHeight="1">
      <x:c r="A228" s="2" t="inlineStr">
        <x:is>
          <x:t xml:space="preserve">Ancient White Dragon</x:t>
        </x:is>
      </x:c>
      <x:c r="B228" s="2" t="inlineStr">
        <x:is>
          <x:t xml:space="preserve">SRD 5.2.1</x:t>
        </x:is>
      </x:c>
      <x:c r="C228" s="2" t="inlineStr">
        <x:is>
          <x:t xml:space="preserve">Dragon (Chromatic)</x:t>
        </x:is>
      </x:c>
      <x:c r="D228" s="2" t="inlineStr">
        <x:is>
          <x:t xml:space="preserve">Gargantuan</x:t>
        </x:is>
      </x:c>
      <x:c r="E228" s="2" t="inlineStr">
        <x:is>
          <x:t xml:space="preserve">Chaotic Evil</x:t>
        </x:is>
      </x:c>
      <x:c r="F228" s="2" t="inlineStr">
        <x:is>
          <x:t xml:space="preserve">20</x:t>
        </x:is>
      </x:c>
      <x:c r="G228" s="2" t="inlineStr">
        <x:is>
          <x:t xml:space="preserve">25000</x:t>
        </x:is>
      </x:c>
      <x:c r="H228" s="2" t="inlineStr">
        <x:is>
          <x:t xml:space="preserve">20</x:t>
        </x:is>
      </x:c>
      <x:c r="I228" s="2" t="inlineStr">
        <x:is>
          <x:t xml:space="preserve">333</x:t>
        </x:is>
      </x:c>
      <x:c r="J228" s="2" t="inlineStr">
        <x:is>
          <x:t xml:space="preserve">40 ft., Burrow 40 ft., Fly 80 ft., Swim 40 ft.</x:t>
        </x:is>
      </x:c>
      <x:c r="K228" s="2" t="inlineStr">
        <x:is>
          <x:t xml:space="preserve">6</x:t>
        </x:is>
      </x:c>
      <x:c r="L228" s="2" t="inlineStr">
        <x:is>
          <x:t xml:space="preserve">23</x:t>
        </x:is>
      </x:c>
      <x:c r="M228" s="2" t="inlineStr">
        <x:is>
          <x:t xml:space="preserve">20</x:t>
        </x:is>
      </x:c>
      <x:c r="N228" s="2" t="inlineStr">
        <x:is>
          <x:t xml:space="preserve">14</x:t>
        </x:is>
      </x:c>
      <x:c r="O228" s="2" t="inlineStr">
        <x:is>
          <x:t xml:space="preserve">12</x:t>
        </x:is>
      </x:c>
      <x:c r="P228" s="2" t="inlineStr">
        <x:is>
          <x:t xml:space="preserve">26</x:t>
        </x:is>
      </x:c>
      <x:c r="Q228" s="2" t="inlineStr">
        <x:is>
          <x:t xml:space="preserve">10</x:t>
        </x:is>
      </x:c>
      <x:c r="R228" s="2" t="inlineStr">
        <x:is>
          <x:t xml:space="preserve">26</x:t>
        </x:is>
      </x:c>
      <x:c r="S228" s="2" t="inlineStr">
        <x:is>
          <x:t xml:space="preserve">10</x:t>
        </x:is>
      </x:c>
      <x:c r="T228" s="2" t="inlineStr">
        <x:is>
          <x:t xml:space="preserve">13</x:t>
        </x:is>
      </x:c>
      <x:c r="U228" s="2" t="inlineStr">
        <x:is>
          <x:t xml:space="preserve">18</x:t>
        </x:is>
      </x:c>
      <x:c r="V228" s="2" t="inlineStr">
        <x:is>
          <x:t xml:space="preserve">DEX +6, WIS +7</x:t>
        </x:is>
      </x:c>
      <x:c r="W228" s="2" t="inlineStr">
        <x:is>
          <x:t xml:space="preserve">Perception +13, Stealth +6</x:t>
        </x:is>
      </x:c>
      <x:c r="X228" s="2" t="inlineStr">
        <x:is>
          <x:t xml:space="preserve">Blindsight 60 ft., Darkvision 120 ft.; Passive Perception 23</x:t>
        </x:is>
      </x:c>
      <x:c r="Y228" s="2" t="inlineStr">
        <x:is>
          <x:t xml:space="preserve">Common, Draconic</x:t>
        </x:is>
      </x:c>
      <x:c r="Z228" s="2" t="inlineStr">
        <x:is>
          <x:t xml:space="preserve">Ice Walk. The dragon can move across and climb icy surfaces without needing to make an ability check. Additionally, Difficult Terrain composed of ice or snow doesn’t cost it extra movement. Legendary Resistance (4/Day, or 5/Day in Lair). If the dragon fails a saving throw, it can choose to suc- ceed instead.</x:t>
        </x:is>
      </x:c>
      <x:c r="AA228" s="2" t="inlineStr">
        <x:is>
          <x:t xml:space="preserve">Multiattack. The dragon makes three Rend attacks. Rend. Melee Attack Roll: +14, reach 15 ft. Hit: 17 (2d8 + 8) Slashing damage plus 7 (2d6) Cold damage. Cold Breath (Recharge 5-6). Constitution Saving Throw: DC 22, each creature in a 90-foot Cone. Fail- ure: 63 (14d8) Cold damage. Success: Half damage.</x:t>
        </x:is>
      </x:c>
      <x:c r="AB228" s="2" t="n"/>
      <x:c r="AC228" s="2" t="n"/>
      <x:c r="AD228" s="2" t="inlineStr">
        <x:is>
          <x:t xml:space="preserve">Legendary Action Uses: 3 (4 in Lair). Immediately after another creature’s turn, the dragon can expend a use to take one of the following actions. The dragon regains all expended uses at the start of each of its turns. Freezing Burst. Constitution Saving Throw: DC 20, each creature in a 30-foot-radius Sphere centered on a point the dragon can see within 120 feet. Failure: 14 (4d6) Cold damage, and the target’s Speed is 0 until the end of the target’s next turn. Failure or Success: The dragon can’t take this action again until the start of its next turn. Frightful Presence. The dragon casts Fear, requiring no Material components and using Charisma as the spell- casting ability (spell save DC 18). The dragon can’t take this action again until the start of its next turn. Pounce. The dragon moves up to half its Speed, and it makes one Rend attack. Wight</x:t>
        </x:is>
      </x:c>
      <x:c r="AE228" s="2" t="n"/>
      <x:c r="AF228" s="2" t="inlineStr">
        <x:is>
          <x:t xml:space="preserve">Imported from SRD 5.2.1 p. 341 Index of Stat Blocks</x:t>
        </x:is>
      </x:c>
      <x:c r="AG228" s="2" t="inlineStr">
        <x:is>
          <x:t xml:space="preserve">https://www.dndbeyond.com/srd</x:t>
        </x:is>
      </x:c>
    </x:row>
    <x:row r="229" ht="18" customHeight="1">
      <x:c r="A229" s="2" t="inlineStr">
        <x:is>
          <x:t xml:space="preserve">Wight</x:t>
        </x:is>
      </x:c>
      <x:c r="B229" s="2" t="inlineStr">
        <x:is>
          <x:t xml:space="preserve">SRD 5.2.1</x:t>
        </x:is>
      </x:c>
      <x:c r="C229" s="2" t="inlineStr">
        <x:is>
          <x:t xml:space="preserve">Undead</x:t>
        </x:is>
      </x:c>
      <x:c r="D229" s="2" t="inlineStr">
        <x:is>
          <x:t xml:space="preserve">Medium</x:t>
        </x:is>
      </x:c>
      <x:c r="E229" s="2" t="inlineStr">
        <x:is>
          <x:t xml:space="preserve">Neutral Evil</x:t>
        </x:is>
      </x:c>
      <x:c r="F229" s="2" t="inlineStr">
        <x:is>
          <x:t xml:space="preserve">3</x:t>
        </x:is>
      </x:c>
      <x:c r="G229" s="2" t="inlineStr">
        <x:is>
          <x:t xml:space="preserve">700</x:t>
        </x:is>
      </x:c>
      <x:c r="H229" s="2" t="inlineStr">
        <x:is>
          <x:t xml:space="preserve">14</x:t>
        </x:is>
      </x:c>
      <x:c r="I229" s="2" t="inlineStr">
        <x:is>
          <x:t xml:space="preserve">82</x:t>
        </x:is>
      </x:c>
      <x:c r="J229" s="2" t="inlineStr">
        <x:is>
          <x:t xml:space="preserve">30 ft.</x:t>
        </x:is>
      </x:c>
      <x:c r="K229" s="2" t="inlineStr">
        <x:is>
          <x:t xml:space="preserve">2</x:t>
        </x:is>
      </x:c>
      <x:c r="L229" s="2" t="inlineStr">
        <x:is>
          <x:t xml:space="preserve">13</x:t>
        </x:is>
      </x:c>
      <x:c r="M229" s="2" t="inlineStr">
        <x:is>
          <x:t xml:space="preserve">13</x:t>
        </x:is>
      </x:c>
      <x:c r="N229" s="2" t="inlineStr">
        <x:is>
          <x:t xml:space="preserve">4</x:t>
        </x:is>
      </x:c>
      <x:c r="O229" s="2" t="inlineStr">
        <x:is>
          <x:t xml:space="preserve">4</x:t>
        </x:is>
      </x:c>
      <x:c r="P229" s="2" t="inlineStr">
        <x:is>
          <x:t xml:space="preserve">15</x:t>
        </x:is>
      </x:c>
      <x:c r="Q229" s="2" t="inlineStr">
        <x:is>
          <x:t xml:space="preserve">14</x:t>
        </x:is>
      </x:c>
      <x:c r="R229" s="2" t="inlineStr">
        <x:is>
          <x:t xml:space="preserve">16</x:t>
        </x:is>
      </x:c>
      <x:c r="S229" s="2" t="inlineStr">
        <x:is>
          <x:t xml:space="preserve">10</x:t>
        </x:is>
      </x:c>
      <x:c r="T229" s="2" t="inlineStr">
        <x:is>
          <x:t xml:space="preserve">13</x:t>
        </x:is>
      </x:c>
      <x:c r="U229" s="2" t="inlineStr">
        <x:is>
          <x:t xml:space="preserve">15</x:t>
        </x:is>
      </x:c>
      <x:c r="V229" s="2" t="n"/>
      <x:c r="W229" s="2" t="inlineStr">
        <x:is>
          <x:t xml:space="preserve">Perception +3, Stealth +4</x:t>
        </x:is>
      </x:c>
      <x:c r="X229" s="2" t="inlineStr">
        <x:is>
          <x:t xml:space="preserve">Darkvision 60 ft.; Passive Perception 13</x:t>
        </x:is>
      </x:c>
      <x:c r="Y229" s="2" t="inlineStr">
        <x:is>
          <x:t xml:space="preserve">Common plus one other language</x:t>
        </x:is>
      </x:c>
      <x:c r="Z229" s="2" t="inlineStr">
        <x:is>
          <x:t xml:space="preserve">Sunlight Sensitivity. While in sunlight, the wight has Disadvantage on ability checks and attack rolls.</x:t>
        </x:is>
      </x:c>
      <x:c r="AA229" s="2" t="inlineStr">
        <x:is>
          <x:t xml:space="preserve">Multiattack. The wight makes two attacks, using Ne- crotic Sword or Necrotic Bow in any combination. It can replace one attack with a use of Life Drain. Necrotic Sword. Melee Attack Roll: +4, reach 5 ft. Hit: 6 (1d8 + 2) Slashing damage plus 4 (1d8) Ne- crotic damage. Necrotic Bow. Ranged Attack Roll: +4, range 150/600 ft. Hit: 6 (1d8 + 2) Piercing damage plus 4 (1d8) Necrotic damage. Life Drain. Constitution Saving Throw: DC 13, one creature within 5 feet. Failure: 6 (1d8 + 2) Necrotic damage, and the target’s Hit Point maximum decreases by an amount equal to the damage taken. A Humanoid slain by this attack rises 24 hours later as a Zombie under the wight’s control, unless the Hu- manoid is restored to life or its body is destroyed. The wight can have no more than twelve zombies under its control at a time. Will-o’-Wisp</x:t>
        </x:is>
      </x:c>
      <x:c r="AB229" s="2" t="n"/>
      <x:c r="AC229" s="2" t="n"/>
      <x:c r="AD229" s="2" t="n"/>
      <x:c r="AE229" s="2" t="n"/>
      <x:c r="AF229" s="2" t="inlineStr">
        <x:is>
          <x:t xml:space="preserve">Imported from SRD 5.2.1 p. 341 Index of Stat Blocks</x:t>
        </x:is>
      </x:c>
      <x:c r="AG229" s="2" t="inlineStr">
        <x:is>
          <x:t xml:space="preserve">https://www.dndbeyond.com/srd</x:t>
        </x:is>
      </x:c>
    </x:row>
    <x:row r="230" ht="18" customHeight="1">
      <x:c r="A230" s="2" t="inlineStr">
        <x:is>
          <x:t xml:space="preserve">Will-o’-Wisp</x:t>
        </x:is>
      </x:c>
      <x:c r="B230" s="2" t="inlineStr">
        <x:is>
          <x:t xml:space="preserve">SRD 5.2.1</x:t>
        </x:is>
      </x:c>
      <x:c r="C230" s="2" t="inlineStr">
        <x:is>
          <x:t xml:space="preserve">Undead</x:t>
        </x:is>
      </x:c>
      <x:c r="D230" s="2" t="inlineStr">
        <x:is>
          <x:t xml:space="preserve">Tiny</x:t>
        </x:is>
      </x:c>
      <x:c r="E230" s="2" t="inlineStr">
        <x:is>
          <x:t xml:space="preserve">Chaotic Evil</x:t>
        </x:is>
      </x:c>
      <x:c r="F230" s="2" t="inlineStr">
        <x:is>
          <x:t xml:space="preserve">2</x:t>
        </x:is>
      </x:c>
      <x:c r="G230" s="2" t="inlineStr">
        <x:is>
          <x:t xml:space="preserve">450</x:t>
        </x:is>
      </x:c>
      <x:c r="H230" s="2" t="inlineStr">
        <x:is>
          <x:t xml:space="preserve">19</x:t>
        </x:is>
      </x:c>
      <x:c r="I230" s="2" t="inlineStr">
        <x:is>
          <x:t xml:space="preserve">27</x:t>
        </x:is>
      </x:c>
      <x:c r="J230" s="2" t="inlineStr">
        <x:is>
          <x:t xml:space="preserve">5 ft., Fly 50 ft. (hover)</x:t>
        </x:is>
      </x:c>
      <x:c r="K230" s="2" t="inlineStr">
        <x:is>
          <x:t xml:space="preserve">2</x:t>
        </x:is>
      </x:c>
      <x:c r="L230" s="2" t="inlineStr">
        <x:is>
          <x:t xml:space="preserve">12</x:t>
        </x:is>
      </x:c>
      <x:c r="M230" s="2" t="inlineStr">
        <x:is>
          <x:t xml:space="preserve">10</x:t>
        </x:is>
      </x:c>
      <x:c r="N230" s="2" t="inlineStr">
        <x:is>
          <x:t xml:space="preserve">4</x:t>
        </x:is>
      </x:c>
      <x:c r="O230" s="2" t="inlineStr">
        <x:is>
          <x:t xml:space="preserve">9</x:t>
        </x:is>
      </x:c>
      <x:c r="P230" s="2" t="inlineStr">
        <x:is>
          <x:t xml:space="preserve">1</x:t>
        </x:is>
      </x:c>
      <x:c r="Q230" s="2" t="inlineStr">
        <x:is>
          <x:t xml:space="preserve">28</x:t>
        </x:is>
      </x:c>
      <x:c r="R230" s="2" t="inlineStr">
        <x:is>
          <x:t xml:space="preserve">10</x:t>
        </x:is>
      </x:c>
      <x:c r="S230" s="2" t="inlineStr">
        <x:is>
          <x:t xml:space="preserve">13</x:t>
        </x:is>
      </x:c>
      <x:c r="T230" s="2" t="inlineStr">
        <x:is>
          <x:t xml:space="preserve">14</x:t>
        </x:is>
      </x:c>
      <x:c r="U230" s="2" t="inlineStr">
        <x:is>
          <x:t xml:space="preserve">11</x:t>
        </x:is>
      </x:c>
      <x:c r="V230" s="2" t="n"/>
      <x:c r="W230" s="2" t="n"/>
      <x:c r="X230" s="2" t="inlineStr">
        <x:is>
          <x:t xml:space="preserve">Darkvision 120 ft.; Passive Perception 12</x:t>
        </x:is>
      </x:c>
      <x:c r="Y230" s="2" t="inlineStr">
        <x:is>
          <x:t xml:space="preserve">Common plus one other language</x:t>
        </x:is>
      </x:c>
      <x:c r="Z230" s="2" t="inlineStr">
        <x:is>
          <x:t xml:space="preserve">Ephemeral. The wisp can’t wear or carry anything. Illumination. The wisp sheds Bright Light in a 20-foot radius and Dim Light for an additional 20 feet. Incorporeal Movement. The wisp can move through other creatures and objects as if they were Difficult Terrain. It takes 5 (1d10) Force damage if it ends its turn inside an object.</x:t>
        </x:is>
      </x:c>
      <x:c r="AA230" s="2" t="inlineStr">
        <x:is>
          <x:t xml:space="preserve">Shock. Melee Attack Roll: +4, reach 5 ft. Hit: 11 (2d8 + 2) Lightning damage.</x:t>
        </x:is>
      </x:c>
      <x:c r="AB230" s="2" t="inlineStr">
        <x:is>
          <x:t xml:space="preserve">Consume Life. Constitution Saving Throw: DC 10, one living creature the wisp can see within 5 feet that has 0 Hit Points. Failure: The target dies, and the wisp regains 10 (3d6) Hit Points. Vanish. The wisp and its light have the Invisible condi- tion until the wisp’s Concentration ends on this effect, which ends early immediately after the wisp makes an attack roll or uses Consume Life. Winter Wolf</x:t>
        </x:is>
      </x:c>
      <x:c r="AC230" s="2" t="n"/>
      <x:c r="AD230" s="2" t="n"/>
      <x:c r="AE230" s="2" t="n"/>
      <x:c r="AF230" s="2" t="inlineStr">
        <x:is>
          <x:t xml:space="preserve">Imported from SRD 5.2.1 p. 341 Index of Stat Blocks</x:t>
        </x:is>
      </x:c>
      <x:c r="AG230" s="2" t="inlineStr">
        <x:is>
          <x:t xml:space="preserve">https://www.dndbeyond.com/srd</x:t>
        </x:is>
      </x:c>
    </x:row>
    <x:row r="231" ht="18" customHeight="1">
      <x:c r="A231" s="2" t="inlineStr">
        <x:is>
          <x:t xml:space="preserve">Winter Wolf</x:t>
        </x:is>
      </x:c>
      <x:c r="B231" s="2" t="inlineStr">
        <x:is>
          <x:t xml:space="preserve">SRD 5.2.1</x:t>
        </x:is>
      </x:c>
      <x:c r="C231" s="2" t="inlineStr">
        <x:is>
          <x:t xml:space="preserve">Monstrosity</x:t>
        </x:is>
      </x:c>
      <x:c r="D231" s="2" t="inlineStr">
        <x:is>
          <x:t xml:space="preserve">Large</x:t>
        </x:is>
      </x:c>
      <x:c r="E231" s="2" t="inlineStr">
        <x:is>
          <x:t xml:space="preserve">Neutral Evil</x:t>
        </x:is>
      </x:c>
      <x:c r="F231" s="2" t="inlineStr">
        <x:is>
          <x:t xml:space="preserve">3</x:t>
        </x:is>
      </x:c>
      <x:c r="G231" s="2" t="inlineStr">
        <x:is>
          <x:t xml:space="preserve">700</x:t>
        </x:is>
      </x:c>
      <x:c r="H231" s="2" t="inlineStr">
        <x:is>
          <x:t xml:space="preserve">13</x:t>
        </x:is>
      </x:c>
      <x:c r="I231" s="2" t="inlineStr">
        <x:is>
          <x:t xml:space="preserve">75</x:t>
        </x:is>
      </x:c>
      <x:c r="J231" s="2" t="inlineStr">
        <x:is>
          <x:t xml:space="preserve">50 ft.</x:t>
        </x:is>
      </x:c>
      <x:c r="K231" s="2" t="inlineStr">
        <x:is>
          <x:t xml:space="preserve">2</x:t>
        </x:is>
      </x:c>
      <x:c r="L231" s="2" t="inlineStr">
        <x:is>
          <x:t xml:space="preserve">15</x:t>
        </x:is>
      </x:c>
      <x:c r="M231" s="2" t="n"/>
      <x:c r="N231" s="2" t="inlineStr">
        <x:is>
          <x:t xml:space="preserve">6</x:t>
        </x:is>
      </x:c>
      <x:c r="O231" s="2" t="inlineStr">
        <x:is>
          <x:t xml:space="preserve">1</x:t>
        </x:is>
      </x:c>
      <x:c r="P231" s="2" t="inlineStr">
        <x:is>
          <x:t xml:space="preserve">18</x:t>
        </x:is>
      </x:c>
      <x:c r="Q231" s="2" t="inlineStr">
        <x:is>
          <x:t xml:space="preserve">13</x:t>
        </x:is>
      </x:c>
      <x:c r="R231" s="2" t="inlineStr">
        <x:is>
          <x:t xml:space="preserve">14</x:t>
        </x:is>
      </x:c>
      <x:c r="S231" s="2" t="inlineStr">
        <x:is>
          <x:t xml:space="preserve">7</x:t>
        </x:is>
      </x:c>
      <x:c r="T231" s="2" t="inlineStr">
        <x:is>
          <x:t xml:space="preserve">12</x:t>
        </x:is>
      </x:c>
      <x:c r="U231" s="2" t="inlineStr">
        <x:is>
          <x:t xml:space="preserve">8</x:t>
        </x:is>
      </x:c>
      <x:c r="V231" s="2" t="n"/>
      <x:c r="W231" s="2" t="inlineStr">
        <x:is>
          <x:t xml:space="preserve">Perception +5, Stealth +5</x:t>
        </x:is>
      </x:c>
      <x:c r="X231" s="2" t="inlineStr">
        <x:is>
          <x:t xml:space="preserve">Passive Perception 15</x:t>
        </x:is>
      </x:c>
      <x:c r="Y231" s="2" t="inlineStr">
        <x:is>
          <x:t xml:space="preserve">Common, Giant</x:t>
        </x:is>
      </x:c>
      <x:c r="Z231" s="2" t="inlineStr">
        <x:is>
          <x:t xml:space="preserve">Pack Tactics. The wolf has Advantage on an attack roll against a creature if at least one of the wolf’s allies is within 5 feet of the creature and the ally doesn’t have the Incapacitated condition.</x:t>
        </x:is>
      </x:c>
      <x:c r="AA231" s="2" t="inlineStr">
        <x:is>
          <x:t xml:space="preserve">Bite. Melee Attack Roll: +6, reach 5 ft. Hit: 11 (2d6 + 4) Piercing damage. If the target is a Large or smaller crea- ture, it has the Prone condition. Cold Breath (Recharge 5-6). Constitution Saving Throw: DC 12, each creature in a 15-foot Cone. Failure: 18 (4d8) Cold damage. Success: Half damage. Worg</x:t>
        </x:is>
      </x:c>
      <x:c r="AB231" s="2" t="n"/>
      <x:c r="AC231" s="2" t="n"/>
      <x:c r="AD231" s="2" t="n"/>
      <x:c r="AE231" s="2" t="n"/>
      <x:c r="AF231" s="2" t="inlineStr">
        <x:is>
          <x:t xml:space="preserve">Imported from SRD 5.2.1 p. 342 Index of Stat Blocks</x:t>
        </x:is>
      </x:c>
      <x:c r="AG231" s="2" t="inlineStr">
        <x:is>
          <x:t xml:space="preserve">https://www.dndbeyond.com/srd</x:t>
        </x:is>
      </x:c>
    </x:row>
    <x:row r="232" ht="18" customHeight="1">
      <x:c r="A232" s="2" t="inlineStr">
        <x:is>
          <x:t xml:space="preserve">Worg</x:t>
        </x:is>
      </x:c>
      <x:c r="B232" s="2" t="inlineStr">
        <x:is>
          <x:t xml:space="preserve">SRD 5.2.1</x:t>
        </x:is>
      </x:c>
      <x:c r="C232" s="2" t="inlineStr">
        <x:is>
          <x:t xml:space="preserve">Fey</x:t>
        </x:is>
      </x:c>
      <x:c r="D232" s="2" t="inlineStr">
        <x:is>
          <x:t xml:space="preserve">Large</x:t>
        </x:is>
      </x:c>
      <x:c r="E232" s="2" t="inlineStr">
        <x:is>
          <x:t xml:space="preserve">Neutral Evil</x:t>
        </x:is>
      </x:c>
      <x:c r="F232" s="2" t="inlineStr">
        <x:is>
          <x:t xml:space="preserve">1/2</x:t>
        </x:is>
      </x:c>
      <x:c r="G232" s="2" t="inlineStr">
        <x:is>
          <x:t xml:space="preserve">100</x:t>
        </x:is>
      </x:c>
      <x:c r="H232" s="2" t="inlineStr">
        <x:is>
          <x:t xml:space="preserve">13</x:t>
        </x:is>
      </x:c>
      <x:c r="I232" s="2" t="inlineStr">
        <x:is>
          <x:t xml:space="preserve">26</x:t>
        </x:is>
      </x:c>
      <x:c r="J232" s="2" t="inlineStr">
        <x:is>
          <x:t xml:space="preserve">50 ft.</x:t>
        </x:is>
      </x:c>
      <x:c r="K232" s="2" t="inlineStr">
        <x:is>
          <x:t xml:space="preserve">2</x:t>
        </x:is>
      </x:c>
      <x:c r="L232" s="2" t="inlineStr">
        <x:is>
          <x:t xml:space="preserve">14</x:t>
        </x:is>
      </x:c>
      <x:c r="M232" s="2" t="n"/>
      <x:c r="N232" s="2" t="inlineStr">
        <x:is>
          <x:t xml:space="preserve">5</x:t>
        </x:is>
      </x:c>
      <x:c r="O232" s="2" t="inlineStr">
        <x:is>
          <x:t xml:space="preserve">1</x:t>
        </x:is>
      </x:c>
      <x:c r="P232" s="2" t="inlineStr">
        <x:is>
          <x:t xml:space="preserve">16</x:t>
        </x:is>
      </x:c>
      <x:c r="Q232" s="2" t="inlineStr">
        <x:is>
          <x:t xml:space="preserve">13</x:t>
        </x:is>
      </x:c>
      <x:c r="R232" s="2" t="inlineStr">
        <x:is>
          <x:t xml:space="preserve">13</x:t>
        </x:is>
      </x:c>
      <x:c r="S232" s="2" t="inlineStr">
        <x:is>
          <x:t xml:space="preserve">7</x:t>
        </x:is>
      </x:c>
      <x:c r="T232" s="2" t="inlineStr">
        <x:is>
          <x:t xml:space="preserve">11</x:t>
        </x:is>
      </x:c>
      <x:c r="U232" s="2" t="inlineStr">
        <x:is>
          <x:t xml:space="preserve">8</x:t>
        </x:is>
      </x:c>
      <x:c r="V232" s="2" t="n"/>
      <x:c r="W232" s="2" t="inlineStr">
        <x:is>
          <x:t xml:space="preserve">Perception +4</x:t>
        </x:is>
      </x:c>
      <x:c r="X232" s="2" t="inlineStr">
        <x:is>
          <x:t xml:space="preserve">Darkvision 60 ft.; Passive Perception 14</x:t>
        </x:is>
      </x:c>
      <x:c r="Y232" s="2" t="inlineStr">
        <x:is>
          <x:t xml:space="preserve">Goblin, Worg</x:t>
        </x:is>
      </x:c>
      <x:c r="Z232" s="2" t="n"/>
      <x:c r="AA232" s="2" t="inlineStr">
        <x:is>
          <x:t xml:space="preserve">Bite. Melee Attack Roll: +5, reach 5 ft. Hit: 7 (1d8 + 3) Piercing damage, and the next attack roll made against the target before the start of the worg’s next turn has Advantage. Wraith</x:t>
        </x:is>
      </x:c>
      <x:c r="AB232" s="2" t="n"/>
      <x:c r="AC232" s="2" t="n"/>
      <x:c r="AD232" s="2" t="n"/>
      <x:c r="AE232" s="2" t="n"/>
      <x:c r="AF232" s="2" t="inlineStr">
        <x:is>
          <x:t xml:space="preserve">Imported from SRD 5.2.1 p. 342 Index of Stat Blocks</x:t>
        </x:is>
      </x:c>
      <x:c r="AG232" s="2" t="inlineStr">
        <x:is>
          <x:t xml:space="preserve">https://www.dndbeyond.com/srd</x:t>
        </x:is>
      </x:c>
    </x:row>
    <x:row r="233" ht="18" customHeight="1">
      <x:c r="A233" s="2" t="inlineStr">
        <x:is>
          <x:t xml:space="preserve">Wraith</x:t>
        </x:is>
      </x:c>
      <x:c r="B233" s="2" t="inlineStr">
        <x:is>
          <x:t xml:space="preserve">SRD 5.2.1</x:t>
        </x:is>
      </x:c>
      <x:c r="C233" s="2" t="inlineStr">
        <x:is>
          <x:t xml:space="preserve">Undead</x:t>
        </x:is>
      </x:c>
      <x:c r="D233" s="2" t="inlineStr">
        <x:is>
          <x:t xml:space="preserve">Medium or Small</x:t>
        </x:is>
      </x:c>
      <x:c r="E233" s="2" t="inlineStr">
        <x:is>
          <x:t xml:space="preserve">Neutral Evil</x:t>
        </x:is>
      </x:c>
      <x:c r="F233" s="2" t="inlineStr">
        <x:is>
          <x:t xml:space="preserve">5</x:t>
        </x:is>
      </x:c>
      <x:c r="G233" s="2" t="inlineStr">
        <x:is>
          <x:t xml:space="preserve">1800</x:t>
        </x:is>
      </x:c>
      <x:c r="H233" s="2" t="inlineStr">
        <x:is>
          <x:t xml:space="preserve">13</x:t>
        </x:is>
      </x:c>
      <x:c r="I233" s="2" t="inlineStr">
        <x:is>
          <x:t xml:space="preserve">67</x:t>
        </x:is>
      </x:c>
      <x:c r="J233" s="2" t="inlineStr">
        <x:is>
          <x:t xml:space="preserve">5 ft., Fly 60 ft. (hover)</x:t>
        </x:is>
      </x:c>
      <x:c r="K233" s="2" t="inlineStr">
        <x:is>
          <x:t xml:space="preserve">3</x:t>
        </x:is>
      </x:c>
      <x:c r="L233" s="2" t="inlineStr">
        <x:is>
          <x:t xml:space="preserve">12</x:t>
        </x:is>
      </x:c>
      <x:c r="M233" s="2" t="n"/>
      <x:c r="N233" s="2" t="inlineStr">
        <x:is>
          <x:t xml:space="preserve">6</x:t>
        </x:is>
      </x:c>
      <x:c r="O233" s="2" t="inlineStr">
        <x:is>
          <x:t xml:space="preserve">3</x:t>
        </x:is>
      </x:c>
      <x:c r="P233" s="2" t="inlineStr">
        <x:is>
          <x:t xml:space="preserve">6</x:t>
        </x:is>
      </x:c>
      <x:c r="Q233" s="2" t="inlineStr">
        <x:is>
          <x:t xml:space="preserve">16</x:t>
        </x:is>
      </x:c>
      <x:c r="R233" s="2" t="inlineStr">
        <x:is>
          <x:t xml:space="preserve">16</x:t>
        </x:is>
      </x:c>
      <x:c r="S233" s="2" t="inlineStr">
        <x:is>
          <x:t xml:space="preserve">12</x:t>
        </x:is>
      </x:c>
      <x:c r="T233" s="2" t="inlineStr">
        <x:is>
          <x:t xml:space="preserve">14</x:t>
        </x:is>
      </x:c>
      <x:c r="U233" s="2" t="inlineStr">
        <x:is>
          <x:t xml:space="preserve">15</x:t>
        </x:is>
      </x:c>
      <x:c r="V233" s="2" t="n"/>
      <x:c r="W233" s="2" t="n"/>
      <x:c r="X233" s="2" t="inlineStr">
        <x:is>
          <x:t xml:space="preserve">Darkvision 60 ft.; Passive Perception 12</x:t>
        </x:is>
      </x:c>
      <x:c r="Y233" s="2" t="inlineStr">
        <x:is>
          <x:t xml:space="preserve">Common plus two other languages</x:t>
        </x:is>
      </x:c>
      <x:c r="Z233" s="2" t="inlineStr">
        <x:is>
          <x:t xml:space="preserve">Incorporeal Movement. The wraith can move through other creatures and objects as if they were Difficult Terrain. It takes 5 (1d10) Force damage if it ends its turn inside an object. Sunlight Sensitivity. While in sunlight, the wraith has Disadvantage on ability checks and attack rolls.</x:t>
        </x:is>
      </x:c>
      <x:c r="AA233" s="2" t="inlineStr">
        <x:is>
          <x:t xml:space="preserve">Life Drain. Melee Attack Roll: +6, reach 5 ft. Hit: 21 (4d8 + 3) Necrotic damage. If the target is a creature, its Hit Point maximum decreases by an amount equal to the damage taken. Create Specter. The wraith targets a Humanoid corpse within 10 feet of itself that has been dead for no longer than 1 minute. The target’s spirit rises as a Specter in the space of its corpse or in the nearest unoccupied space. The specter is under the wraith’s control. The wraith can have no more than seven specters under its control at a time. Wyvern</x:t>
        </x:is>
      </x:c>
      <x:c r="AB233" s="2" t="n"/>
      <x:c r="AC233" s="2" t="n"/>
      <x:c r="AD233" s="2" t="n"/>
      <x:c r="AE233" s="2" t="n"/>
      <x:c r="AF233" s="2" t="inlineStr">
        <x:is>
          <x:t xml:space="preserve">Imported from SRD 5.2.1 p. 342 Index of Stat Blocks</x:t>
        </x:is>
      </x:c>
      <x:c r="AG233" s="2" t="inlineStr">
        <x:is>
          <x:t xml:space="preserve">https://www.dndbeyond.com/srd</x:t>
        </x:is>
      </x:c>
    </x:row>
    <x:row r="234" ht="18" customHeight="1">
      <x:c r="A234" s="2" t="inlineStr">
        <x:is>
          <x:t xml:space="preserve">Wyvern</x:t>
        </x:is>
      </x:c>
      <x:c r="B234" s="2" t="inlineStr">
        <x:is>
          <x:t xml:space="preserve">SRD 5.2.1</x:t>
        </x:is>
      </x:c>
      <x:c r="C234" s="2" t="inlineStr">
        <x:is>
          <x:t xml:space="preserve">Dragon</x:t>
        </x:is>
      </x:c>
      <x:c r="D234" s="2" t="inlineStr">
        <x:is>
          <x:t xml:space="preserve">Large</x:t>
        </x:is>
      </x:c>
      <x:c r="E234" s="2" t="inlineStr">
        <x:is>
          <x:t xml:space="preserve">Unaligned</x:t>
        </x:is>
      </x:c>
      <x:c r="F234" s="2" t="inlineStr">
        <x:is>
          <x:t xml:space="preserve">6</x:t>
        </x:is>
      </x:c>
      <x:c r="G234" s="2" t="inlineStr">
        <x:is>
          <x:t xml:space="preserve">2300</x:t>
        </x:is>
      </x:c>
      <x:c r="H234" s="2" t="inlineStr">
        <x:is>
          <x:t xml:space="preserve">14</x:t>
        </x:is>
      </x:c>
      <x:c r="I234" s="2" t="inlineStr">
        <x:is>
          <x:t xml:space="preserve">127</x:t>
        </x:is>
      </x:c>
      <x:c r="J234" s="2" t="inlineStr">
        <x:is>
          <x:t xml:space="preserve">30 ft., Fly 80 ft.</x:t>
        </x:is>
      </x:c>
      <x:c r="K234" s="2" t="inlineStr">
        <x:is>
          <x:t xml:space="preserve">3</x:t>
        </x:is>
      </x:c>
      <x:c r="L234" s="2" t="inlineStr">
        <x:is>
          <x:t xml:space="preserve">14</x:t>
        </x:is>
      </x:c>
      <x:c r="M234" s="2" t="n"/>
      <x:c r="N234" s="2" t="inlineStr">
        <x:is>
          <x:t xml:space="preserve">7</x:t>
        </x:is>
      </x:c>
      <x:c r="O234" s="2" t="inlineStr">
        <x:is>
          <x:t xml:space="preserve">0</x:t>
        </x:is>
      </x:c>
      <x:c r="P234" s="2" t="inlineStr">
        <x:is>
          <x:t xml:space="preserve">19</x:t>
        </x:is>
      </x:c>
      <x:c r="Q234" s="2" t="inlineStr">
        <x:is>
          <x:t xml:space="preserve">10</x:t>
        </x:is>
      </x:c>
      <x:c r="R234" s="2" t="inlineStr">
        <x:is>
          <x:t xml:space="preserve">16</x:t>
        </x:is>
      </x:c>
      <x:c r="S234" s="2" t="inlineStr">
        <x:is>
          <x:t xml:space="preserve">5</x:t>
        </x:is>
      </x:c>
      <x:c r="T234" s="2" t="inlineStr">
        <x:is>
          <x:t xml:space="preserve">12</x:t>
        </x:is>
      </x:c>
      <x:c r="U234" s="2" t="inlineStr">
        <x:is>
          <x:t xml:space="preserve">6</x:t>
        </x:is>
      </x:c>
      <x:c r="V234" s="2" t="n"/>
      <x:c r="W234" s="2" t="inlineStr">
        <x:is>
          <x:t xml:space="preserve">Perception +4</x:t>
        </x:is>
      </x:c>
      <x:c r="X234" s="2" t="inlineStr">
        <x:is>
          <x:t xml:space="preserve">Darkvision 120 ft.; Passive Perception 14</x:t>
        </x:is>
      </x:c>
      <x:c r="Y234" s="2" t="inlineStr">
        <x:is>
          <x:t xml:space="preserve">None</x:t>
        </x:is>
      </x:c>
      <x:c r="Z234" s="2" t="n"/>
      <x:c r="AA234" s="2" t="inlineStr">
        <x:is>
          <x:t xml:space="preserve">Multiattack. The wyvern makes one Bite attack and one Sting attack. Bite. Melee Attack Roll: +7, reach 5 ft. Hit: 13 (2d8 + 4) Piercing damage. Sting. Melee Attack Roll: +7, reach 10 ft. Hit: 11 (2d6 + 4) Piercing damage plus 24 (7d6) Poison damage, and the target has the Poisoned condition until the start of the wyvern’s next turn. Xorn</x:t>
        </x:is>
      </x:c>
      <x:c r="AB234" s="2" t="n"/>
      <x:c r="AC234" s="2" t="n"/>
      <x:c r="AD234" s="2" t="n"/>
      <x:c r="AE234" s="2" t="n"/>
      <x:c r="AF234" s="2" t="inlineStr">
        <x:is>
          <x:t xml:space="preserve">Imported from SRD 5.2.1 p. 343 Index of Stat Blocks</x:t>
        </x:is>
      </x:c>
      <x:c r="AG234" s="2" t="inlineStr">
        <x:is>
          <x:t xml:space="preserve">https://www.dndbeyond.com/srd</x:t>
        </x:is>
      </x:c>
    </x:row>
    <x:row r="235" ht="18" customHeight="1">
      <x:c r="A235" s="2" t="inlineStr">
        <x:is>
          <x:t xml:space="preserve">Xorn</x:t>
        </x:is>
      </x:c>
      <x:c r="B235" s="2" t="inlineStr">
        <x:is>
          <x:t xml:space="preserve">SRD 5.2.1</x:t>
        </x:is>
      </x:c>
      <x:c r="C235" s="2" t="inlineStr">
        <x:is>
          <x:t xml:space="preserve">Elemental</x:t>
        </x:is>
      </x:c>
      <x:c r="D235" s="2" t="inlineStr">
        <x:is>
          <x:t xml:space="preserve">Medium</x:t>
        </x:is>
      </x:c>
      <x:c r="E235" s="2" t="inlineStr">
        <x:is>
          <x:t xml:space="preserve">Neutral</x:t>
        </x:is>
      </x:c>
      <x:c r="F235" s="2" t="inlineStr">
        <x:is>
          <x:t xml:space="preserve">5</x:t>
        </x:is>
      </x:c>
      <x:c r="G235" s="2" t="inlineStr">
        <x:is>
          <x:t xml:space="preserve">1800</x:t>
        </x:is>
      </x:c>
      <x:c r="H235" s="2" t="inlineStr">
        <x:is>
          <x:t xml:space="preserve">19</x:t>
        </x:is>
      </x:c>
      <x:c r="I235" s="2" t="inlineStr">
        <x:is>
          <x:t xml:space="preserve">84</x:t>
        </x:is>
      </x:c>
      <x:c r="J235" s="2" t="inlineStr">
        <x:is>
          <x:t xml:space="preserve">20 ft., Burrow 20 ft.</x:t>
        </x:is>
      </x:c>
      <x:c r="K235" s="2" t="inlineStr">
        <x:is>
          <x:t xml:space="preserve">3</x:t>
        </x:is>
      </x:c>
      <x:c r="L235" s="2" t="inlineStr">
        <x:is>
          <x:t xml:space="preserve">16</x:t>
        </x:is>
      </x:c>
      <x:c r="M235" s="2" t="n"/>
      <x:c r="N235" s="2" t="inlineStr">
        <x:is>
          <x:t xml:space="preserve">6</x:t>
        </x:is>
      </x:c>
      <x:c r="O235" s="2" t="inlineStr">
        <x:is>
          <x:t xml:space="preserve">0</x:t>
        </x:is>
      </x:c>
      <x:c r="P235" s="2" t="inlineStr">
        <x:is>
          <x:t xml:space="preserve">17</x:t>
        </x:is>
      </x:c>
      <x:c r="Q235" s="2" t="inlineStr">
        <x:is>
          <x:t xml:space="preserve">10</x:t>
        </x:is>
      </x:c>
      <x:c r="R235" s="2" t="inlineStr">
        <x:is>
          <x:t xml:space="preserve">22</x:t>
        </x:is>
      </x:c>
      <x:c r="S235" s="2" t="inlineStr">
        <x:is>
          <x:t xml:space="preserve">11</x:t>
        </x:is>
      </x:c>
      <x:c r="T235" s="2" t="inlineStr">
        <x:is>
          <x:t xml:space="preserve">10</x:t>
        </x:is>
      </x:c>
      <x:c r="U235" s="2" t="inlineStr">
        <x:is>
          <x:t xml:space="preserve">11</x:t>
        </x:is>
      </x:c>
      <x:c r="V235" s="2" t="n"/>
      <x:c r="W235" s="2" t="inlineStr">
        <x:is>
          <x:t xml:space="preserve">Perception +6, Stealth +6</x:t>
        </x:is>
      </x:c>
      <x:c r="X235" s="2" t="inlineStr">
        <x:is>
          <x:t xml:space="preserve">Darkvision 60 ft., Tremorsense 60 ft.; Passive Perception 16</x:t>
        </x:is>
      </x:c>
      <x:c r="Y235" s="2" t="inlineStr">
        <x:is>
          <x:t xml:space="preserve">Primordial (Terran)</x:t>
        </x:is>
      </x:c>
      <x:c r="Z235" s="2" t="inlineStr">
        <x:is>
          <x:t xml:space="preserve">Earth Glide. The xorn can burrow through nonmagical, unworked earth and stone. While doing so, the xorn doesn’t disturb the material it moves through. Treasure Sense. The xorn can pinpoint the location of precious metals and stones within 60 feet of itself.</x:t>
        </x:is>
      </x:c>
      <x:c r="AA235" s="2" t="inlineStr">
        <x:is>
          <x:t xml:space="preserve">Multiattack. The xorn makes one Bite attack and three Claw attacks. Bite. Melee Attack Roll: +6, reach 5 ft. Hit: 17 (4d6 + 3) Piercing damage. Claw. Melee Attack Roll: +6, reach 5 ft. Hit: 8 (1d10 + 3) Slashing damage.</x:t>
        </x:is>
      </x:c>
      <x:c r="AB235" s="2" t="inlineStr">
        <x:is>
          <x:t xml:space="preserve">Charge. The xorn moves up to its Speed or Burrow Speed straight toward an enemy it can sense. Zombies</x:t>
        </x:is>
      </x:c>
      <x:c r="AC235" s="2" t="n"/>
      <x:c r="AD235" s="2" t="n"/>
      <x:c r="AE235" s="2" t="n"/>
      <x:c r="AF235" s="2" t="inlineStr">
        <x:is>
          <x:t xml:space="preserve">Imported from SRD 5.2.1 p. 343 Index of Stat Blocks</x:t>
        </x:is>
      </x:c>
      <x:c r="AG235" s="2" t="inlineStr">
        <x:is>
          <x:t xml:space="preserve">https://www.dndbeyond.com/srd</x:t>
        </x:is>
      </x:c>
    </x:row>
    <x:row r="236" ht="18" customHeight="1">
      <x:c r="A236" s="2" t="inlineStr">
        <x:is>
          <x:t xml:space="preserve">Zombie</x:t>
        </x:is>
      </x:c>
      <x:c r="B236" s="2" t="inlineStr">
        <x:is>
          <x:t xml:space="preserve">SRD 5.2.1</x:t>
        </x:is>
      </x:c>
      <x:c r="C236" s="2" t="inlineStr">
        <x:is>
          <x:t xml:space="preserve">Undead</x:t>
        </x:is>
      </x:c>
      <x:c r="D236" s="2" t="inlineStr">
        <x:is>
          <x:t xml:space="preserve">Medium</x:t>
        </x:is>
      </x:c>
      <x:c r="E236" s="2" t="inlineStr">
        <x:is>
          <x:t xml:space="preserve">Neutral Evil</x:t>
        </x:is>
      </x:c>
      <x:c r="F236" s="2" t="inlineStr">
        <x:is>
          <x:t xml:space="preserve">1/4</x:t>
        </x:is>
      </x:c>
      <x:c r="G236" s="2" t="inlineStr">
        <x:is>
          <x:t xml:space="preserve">50</x:t>
        </x:is>
      </x:c>
      <x:c r="H236" s="2" t="inlineStr">
        <x:is>
          <x:t xml:space="preserve">8</x:t>
        </x:is>
      </x:c>
      <x:c r="I236" s="2" t="inlineStr">
        <x:is>
          <x:t xml:space="preserve">15</x:t>
        </x:is>
      </x:c>
      <x:c r="J236" s="2" t="inlineStr">
        <x:is>
          <x:t xml:space="preserve">20 ft.</x:t>
        </x:is>
      </x:c>
      <x:c r="K236" s="2" t="inlineStr">
        <x:is>
          <x:t xml:space="preserve">2</x:t>
        </x:is>
      </x:c>
      <x:c r="L236" s="2" t="inlineStr">
        <x:is>
          <x:t xml:space="preserve">8</x:t>
        </x:is>
      </x:c>
      <x:c r="M236" s="2" t="n"/>
      <x:c r="N236" s="2" t="inlineStr">
        <x:is>
          <x:t xml:space="preserve">3</x:t>
        </x:is>
      </x:c>
      <x:c r="O236" s="2" t="inlineStr">
        <x:is>
          <x:t xml:space="preserve">-2</x:t>
        </x:is>
      </x:c>
      <x:c r="P236" s="2" t="inlineStr">
        <x:is>
          <x:t xml:space="preserve">13</x:t>
        </x:is>
      </x:c>
      <x:c r="Q236" s="2" t="inlineStr">
        <x:is>
          <x:t xml:space="preserve">6</x:t>
        </x:is>
      </x:c>
      <x:c r="R236" s="2" t="inlineStr">
        <x:is>
          <x:t xml:space="preserve">16</x:t>
        </x:is>
      </x:c>
      <x:c r="S236" s="2" t="inlineStr">
        <x:is>
          <x:t xml:space="preserve">3</x:t>
        </x:is>
      </x:c>
      <x:c r="T236" s="2" t="inlineStr">
        <x:is>
          <x:t xml:space="preserve">6</x:t>
        </x:is>
      </x:c>
      <x:c r="U236" s="2" t="inlineStr">
        <x:is>
          <x:t xml:space="preserve">5</x:t>
        </x:is>
      </x:c>
      <x:c r="V236" s="2" t="inlineStr">
        <x:is>
          <x:t xml:space="preserve">WIS +0</x:t>
        </x:is>
      </x:c>
      <x:c r="W236" s="2" t="n"/>
      <x:c r="X236" s="2" t="inlineStr">
        <x:is>
          <x:t xml:space="preserve">Darkvision 60 ft.; Passive Perception 8</x:t>
        </x:is>
      </x:c>
      <x:c r="Y236" s="2" t="inlineStr">
        <x:is>
          <x:t xml:space="preserve">Understands Common plus one other language but can’t speak</x:t>
        </x:is>
      </x:c>
      <x:c r="Z236" s="2" t="inlineStr">
        <x:is>
          <x:t xml:space="preserve">Undead Fortitude. If damage reduces the zombie to 0 Hit Points, it makes a Constitution saving throw (DC 5 plus the damage taken) unless the damage is Radiant or from a Critical Hit. On a successful save, the zombie drops to 1 Hit Point instead.</x:t>
        </x:is>
      </x:c>
      <x:c r="AA236" s="2" t="inlineStr">
        <x:is>
          <x:t xml:space="preserve">Slam. Melee Attack Roll: +3, reach 5 ft. Hit: 5 (1d8 + 1) Bludgeoning damage.</x:t>
        </x:is>
      </x:c>
      <x:c r="AB236" s="2" t="n"/>
      <x:c r="AC236" s="2" t="n"/>
      <x:c r="AD236" s="2" t="n"/>
      <x:c r="AE236" s="2" t="n"/>
      <x:c r="AF236" s="2" t="inlineStr">
        <x:is>
          <x:t xml:space="preserve">Imported from SRD 5.2.1 p. 343 Index of Stat Blocks</x:t>
        </x:is>
      </x:c>
      <x:c r="AG236" s="2" t="inlineStr">
        <x:is>
          <x:t xml:space="preserve">https://www.dndbeyond.com/srd</x:t>
        </x:is>
      </x:c>
    </x:row>
    <x:row r="237" ht="18" customHeight="1">
      <x:c r="A237" s="2" t="inlineStr">
        <x:is>
          <x:t xml:space="preserve">Ogre Zombie</x:t>
        </x:is>
      </x:c>
      <x:c r="B237" s="2" t="inlineStr">
        <x:is>
          <x:t xml:space="preserve">SRD 5.2.1</x:t>
        </x:is>
      </x:c>
      <x:c r="C237" s="2" t="inlineStr">
        <x:is>
          <x:t xml:space="preserve">Undead</x:t>
        </x:is>
      </x:c>
      <x:c r="D237" s="2" t="inlineStr">
        <x:is>
          <x:t xml:space="preserve">Large</x:t>
        </x:is>
      </x:c>
      <x:c r="E237" s="2" t="inlineStr">
        <x:is>
          <x:t xml:space="preserve">Neutral Evil</x:t>
        </x:is>
      </x:c>
      <x:c r="F237" s="2" t="inlineStr">
        <x:is>
          <x:t xml:space="preserve">2</x:t>
        </x:is>
      </x:c>
      <x:c r="G237" s="2" t="inlineStr">
        <x:is>
          <x:t xml:space="preserve">450</x:t>
        </x:is>
      </x:c>
      <x:c r="H237" s="2" t="inlineStr">
        <x:is>
          <x:t xml:space="preserve">8</x:t>
        </x:is>
      </x:c>
      <x:c r="I237" s="2" t="inlineStr">
        <x:is>
          <x:t xml:space="preserve">85</x:t>
        </x:is>
      </x:c>
      <x:c r="J237" s="2" t="inlineStr">
        <x:is>
          <x:t xml:space="preserve">30 ft.</x:t>
        </x:is>
      </x:c>
      <x:c r="K237" s="2" t="inlineStr">
        <x:is>
          <x:t xml:space="preserve">2</x:t>
        </x:is>
      </x:c>
      <x:c r="L237" s="2" t="inlineStr">
        <x:is>
          <x:t xml:space="preserve">8</x:t>
        </x:is>
      </x:c>
      <x:c r="M237" s="2" t="n"/>
      <x:c r="N237" s="2" t="inlineStr">
        <x:is>
          <x:t xml:space="preserve">6</x:t>
        </x:is>
      </x:c>
      <x:c r="O237" s="2" t="inlineStr">
        <x:is>
          <x:t xml:space="preserve">-2</x:t>
        </x:is>
      </x:c>
      <x:c r="P237" s="2" t="inlineStr">
        <x:is>
          <x:t xml:space="preserve">19</x:t>
        </x:is>
      </x:c>
      <x:c r="Q237" s="2" t="inlineStr">
        <x:is>
          <x:t xml:space="preserve">6</x:t>
        </x:is>
      </x:c>
      <x:c r="R237" s="2" t="inlineStr">
        <x:is>
          <x:t xml:space="preserve">18</x:t>
        </x:is>
      </x:c>
      <x:c r="S237" s="2" t="inlineStr">
        <x:is>
          <x:t xml:space="preserve">3</x:t>
        </x:is>
      </x:c>
      <x:c r="T237" s="2" t="inlineStr">
        <x:is>
          <x:t xml:space="preserve">6</x:t>
        </x:is>
      </x:c>
      <x:c r="U237" s="2" t="inlineStr">
        <x:is>
          <x:t xml:space="preserve">5</x:t>
        </x:is>
      </x:c>
      <x:c r="V237" s="2" t="inlineStr">
        <x:is>
          <x:t xml:space="preserve">WIS +0</x:t>
        </x:is>
      </x:c>
      <x:c r="W237" s="2" t="n"/>
      <x:c r="X237" s="2" t="inlineStr">
        <x:is>
          <x:t xml:space="preserve">Darkvision 60 ft.; Passive Perception 8</x:t>
        </x:is>
      </x:c>
      <x:c r="Y237" s="2" t="inlineStr">
        <x:is>
          <x:t xml:space="preserve">Understands Common and Giant but can’t speak</x:t>
        </x:is>
      </x:c>
      <x:c r="Z237" s="2" t="inlineStr">
        <x:is>
          <x:t xml:space="preserve">Undead Fortitude. If damage reduces the zombie to 0 Hit Points, it makes a Constitution saving throw (DC 5 plus the damage taken) unless the damage is Radiant or from a Critical Hit. On a successful save, the zombie drops to 1 Hit Point instead.</x:t>
        </x:is>
      </x:c>
      <x:c r="AA237" s="2" t="inlineStr">
        <x:is>
          <x:t xml:space="preserve">Slam. Melee Attack Roll: +6, reach 5 ft. Hit: 13 (2d8 + 4) Bludgeoning damage. Animals</x:t>
        </x:is>
      </x:c>
      <x:c r="AB237" s="2" t="n"/>
      <x:c r="AC237" s="2" t="n"/>
      <x:c r="AD237" s="2" t="n"/>
      <x:c r="AE237" s="2" t="n"/>
      <x:c r="AF237" s="2" t="inlineStr">
        <x:is>
          <x:t xml:space="preserve">Imported from SRD 5.2.1 p. 344 Index of Stat Blocks</x:t>
        </x:is>
      </x:c>
      <x:c r="AG237" s="2" t="inlineStr">
        <x:is>
          <x:t xml:space="preserve">https://www.dndbeyond.com/srd</x:t>
        </x:is>
      </x:c>
    </x:row>
    <x:row r="238" ht="18" customHeight="1">
      <x:c r="A238" s="2" t="inlineStr">
        <x:is>
          <x:t xml:space="preserve">Allosaurus</x:t>
        </x:is>
      </x:c>
      <x:c r="B238" s="2" t="inlineStr">
        <x:is>
          <x:t xml:space="preserve">SRD 5.2.1</x:t>
        </x:is>
      </x:c>
      <x:c r="C238" s="2" t="inlineStr">
        <x:is>
          <x:t xml:space="preserve">Beast (Dinosaur)</x:t>
        </x:is>
      </x:c>
      <x:c r="D238" s="2" t="inlineStr">
        <x:is>
          <x:t xml:space="preserve">Large</x:t>
        </x:is>
      </x:c>
      <x:c r="E238" s="2" t="inlineStr">
        <x:is>
          <x:t xml:space="preserve">Unaligned</x:t>
        </x:is>
      </x:c>
      <x:c r="F238" s="2" t="inlineStr">
        <x:is>
          <x:t xml:space="preserve">2</x:t>
        </x:is>
      </x:c>
      <x:c r="G238" s="2" t="inlineStr">
        <x:is>
          <x:t xml:space="preserve">450</x:t>
        </x:is>
      </x:c>
      <x:c r="H238" s="2" t="inlineStr">
        <x:is>
          <x:t xml:space="preserve">13</x:t>
        </x:is>
      </x:c>
      <x:c r="I238" s="2" t="inlineStr">
        <x:is>
          <x:t xml:space="preserve">51</x:t>
        </x:is>
      </x:c>
      <x:c r="J238" s="2" t="inlineStr">
        <x:is>
          <x:t xml:space="preserve">60 ft.</x:t>
        </x:is>
      </x:c>
      <x:c r="K238" s="2" t="inlineStr">
        <x:is>
          <x:t xml:space="preserve">2</x:t>
        </x:is>
      </x:c>
      <x:c r="L238" s="2" t="inlineStr">
        <x:is>
          <x:t xml:space="preserve">15</x:t>
        </x:is>
      </x:c>
      <x:c r="M238" s="2" t="n"/>
      <x:c r="N238" s="2" t="inlineStr">
        <x:is>
          <x:t xml:space="preserve">6</x:t>
        </x:is>
      </x:c>
      <x:c r="O238" s="2" t="inlineStr">
        <x:is>
          <x:t xml:space="preserve">1</x:t>
        </x:is>
      </x:c>
      <x:c r="P238" s="2" t="inlineStr">
        <x:is>
          <x:t xml:space="preserve">19</x:t>
        </x:is>
      </x:c>
      <x:c r="Q238" s="2" t="inlineStr">
        <x:is>
          <x:t xml:space="preserve">13</x:t>
        </x:is>
      </x:c>
      <x:c r="R238" s="2" t="inlineStr">
        <x:is>
          <x:t xml:space="preserve">17</x:t>
        </x:is>
      </x:c>
      <x:c r="S238" s="2" t="inlineStr">
        <x:is>
          <x:t xml:space="preserve">2</x:t>
        </x:is>
      </x:c>
      <x:c r="T238" s="2" t="inlineStr">
        <x:is>
          <x:t xml:space="preserve">12</x:t>
        </x:is>
      </x:c>
      <x:c r="U238" s="2" t="inlineStr">
        <x:is>
          <x:t xml:space="preserve">5</x:t>
        </x:is>
      </x:c>
      <x:c r="V238" s="2" t="n"/>
      <x:c r="W238" s="2" t="inlineStr">
        <x:is>
          <x:t xml:space="preserve">Perception +5</x:t>
        </x:is>
      </x:c>
      <x:c r="X238" s="2" t="inlineStr">
        <x:is>
          <x:t xml:space="preserve">Passive Perception 15</x:t>
        </x:is>
      </x:c>
      <x:c r="Y238" s="2" t="inlineStr">
        <x:is>
          <x:t xml:space="preserve">None</x:t>
        </x:is>
      </x:c>
      <x:c r="Z238" s="2" t="n"/>
      <x:c r="AA238" s="2" t="inlineStr">
        <x:is>
          <x:t xml:space="preserve">Bite. Melee Attack Roll: +6, reach 5 ft. Hit: 15 (2d10 + 4) Piercing damage. Claws. Melee Attack Roll: +6, reach 5 ft. Hit: 8 (1d8 + 4) Slashing damage. If the target is a Large or smaller creature and the allosaurus moved 30+ feet straight toward it immediately before the hit, the target has the Prone condition, and the allosaurus can make one Bite attack against it.</x:t>
        </x:is>
      </x:c>
      <x:c r="AB238" s="2" t="n"/>
      <x:c r="AC238" s="2" t="n"/>
      <x:c r="AD238" s="2" t="n"/>
      <x:c r="AE238" s="2" t="n"/>
      <x:c r="AF238" s="2" t="inlineStr">
        <x:is>
          <x:t xml:space="preserve">Imported from SRD 5.2.1 p. 344 Index of Stat Blocks</x:t>
        </x:is>
      </x:c>
      <x:c r="AG238" s="2" t="inlineStr">
        <x:is>
          <x:t xml:space="preserve">https://www.dndbeyond.com/srd</x:t>
        </x:is>
      </x:c>
    </x:row>
    <x:row r="239" ht="18" customHeight="1">
      <x:c r="A239" s="2" t="inlineStr">
        <x:is>
          <x:t xml:space="preserve">Ankylosaurus</x:t>
        </x:is>
      </x:c>
      <x:c r="B239" s="2" t="inlineStr">
        <x:is>
          <x:t xml:space="preserve">SRD 5.2.1</x:t>
        </x:is>
      </x:c>
      <x:c r="C239" s="2" t="inlineStr">
        <x:is>
          <x:t xml:space="preserve">Beast (Dinosaur)</x:t>
        </x:is>
      </x:c>
      <x:c r="D239" s="2" t="inlineStr">
        <x:is>
          <x:t xml:space="preserve">Huge</x:t>
        </x:is>
      </x:c>
      <x:c r="E239" s="2" t="inlineStr">
        <x:is>
          <x:t xml:space="preserve">Unaligned</x:t>
        </x:is>
      </x:c>
      <x:c r="F239" s="2" t="inlineStr">
        <x:is>
          <x:t xml:space="preserve">3</x:t>
        </x:is>
      </x:c>
      <x:c r="G239" s="2" t="inlineStr">
        <x:is>
          <x:t xml:space="preserve">700</x:t>
        </x:is>
      </x:c>
      <x:c r="H239" s="2" t="inlineStr">
        <x:is>
          <x:t xml:space="preserve">15</x:t>
        </x:is>
      </x:c>
      <x:c r="I239" s="2" t="inlineStr">
        <x:is>
          <x:t xml:space="preserve">68</x:t>
        </x:is>
      </x:c>
      <x:c r="J239" s="2" t="inlineStr">
        <x:is>
          <x:t xml:space="preserve">30 ft.</x:t>
        </x:is>
      </x:c>
      <x:c r="K239" s="2" t="inlineStr">
        <x:is>
          <x:t xml:space="preserve">2</x:t>
        </x:is>
      </x:c>
      <x:c r="L239" s="2" t="inlineStr">
        <x:is>
          <x:t xml:space="preserve">11</x:t>
        </x:is>
      </x:c>
      <x:c r="M239" s="2" t="n"/>
      <x:c r="N239" s="2" t="inlineStr">
        <x:is>
          <x:t xml:space="preserve">6</x:t>
        </x:is>
      </x:c>
      <x:c r="O239" s="2" t="inlineStr">
        <x:is>
          <x:t xml:space="preserve">0</x:t>
        </x:is>
      </x:c>
      <x:c r="P239" s="2" t="inlineStr">
        <x:is>
          <x:t xml:space="preserve">19</x:t>
        </x:is>
      </x:c>
      <x:c r="Q239" s="2" t="inlineStr">
        <x:is>
          <x:t xml:space="preserve">11</x:t>
        </x:is>
      </x:c>
      <x:c r="R239" s="2" t="inlineStr">
        <x:is>
          <x:t xml:space="preserve">15</x:t>
        </x:is>
      </x:c>
      <x:c r="S239" s="2" t="inlineStr">
        <x:is>
          <x:t xml:space="preserve">2</x:t>
        </x:is>
      </x:c>
      <x:c r="T239" s="2" t="inlineStr">
        <x:is>
          <x:t xml:space="preserve">12</x:t>
        </x:is>
      </x:c>
      <x:c r="U239" s="2" t="inlineStr">
        <x:is>
          <x:t xml:space="preserve">5</x:t>
        </x:is>
      </x:c>
      <x:c r="V239" s="2" t="inlineStr">
        <x:is>
          <x:t xml:space="preserve">STR +6</x:t>
        </x:is>
      </x:c>
      <x:c r="W239" s="2" t="n"/>
      <x:c r="X239" s="2" t="inlineStr">
        <x:is>
          <x:t xml:space="preserve">Passive Perception 11</x:t>
        </x:is>
      </x:c>
      <x:c r="Y239" s="2" t="inlineStr">
        <x:is>
          <x:t xml:space="preserve">None</x:t>
        </x:is>
      </x:c>
      <x:c r="Z239" s="2" t="n"/>
      <x:c r="AA239" s="2" t="inlineStr">
        <x:is>
          <x:t xml:space="preserve">Multiattack. The ankylosaurus makes two Tail attacks. Tail. Melee Attack Roll: +6, reach 10 ft. Hit: 9 (1d10 + 4) Bludgeoning damage. If the target is a Huge or smaller creature, it has the Prone condition.</x:t>
        </x:is>
      </x:c>
      <x:c r="AB239" s="2" t="n"/>
      <x:c r="AC239" s="2" t="n"/>
      <x:c r="AD239" s="2" t="n"/>
      <x:c r="AE239" s="2" t="n"/>
      <x:c r="AF239" s="2" t="inlineStr">
        <x:is>
          <x:t xml:space="preserve">Imported from SRD 5.2.1 p. 344 Index of Stat Blocks</x:t>
        </x:is>
      </x:c>
      <x:c r="AG239" s="2" t="inlineStr">
        <x:is>
          <x:t xml:space="preserve">https://www.dndbeyond.com/srd</x:t>
        </x:is>
      </x:c>
    </x:row>
    <x:row r="240" ht="18" customHeight="1">
      <x:c r="A240" s="2" t="inlineStr">
        <x:is>
          <x:t xml:space="preserve">Ape</x:t>
        </x:is>
      </x:c>
      <x:c r="B240" s="2" t="inlineStr">
        <x:is>
          <x:t xml:space="preserve">SRD 5.2.1</x:t>
        </x:is>
      </x:c>
      <x:c r="C240" s="2" t="inlineStr">
        <x:is>
          <x:t xml:space="preserve">Beast</x:t>
        </x:is>
      </x:c>
      <x:c r="D240" s="2" t="inlineStr">
        <x:is>
          <x:t xml:space="preserve">Medium</x:t>
        </x:is>
      </x:c>
      <x:c r="E240" s="2" t="inlineStr">
        <x:is>
          <x:t xml:space="preserve">Unaligned</x:t>
        </x:is>
      </x:c>
      <x:c r="F240" s="2" t="inlineStr">
        <x:is>
          <x:t xml:space="preserve">1/2</x:t>
        </x:is>
      </x:c>
      <x:c r="G240" s="2" t="inlineStr">
        <x:is>
          <x:t xml:space="preserve">100</x:t>
        </x:is>
      </x:c>
      <x:c r="H240" s="2" t="inlineStr">
        <x:is>
          <x:t xml:space="preserve">12</x:t>
        </x:is>
      </x:c>
      <x:c r="I240" s="2" t="inlineStr">
        <x:is>
          <x:t xml:space="preserve">19</x:t>
        </x:is>
      </x:c>
      <x:c r="J240" s="2" t="inlineStr">
        <x:is>
          <x:t xml:space="preserve">30 ft., Climb 30 ft.</x:t>
        </x:is>
      </x:c>
      <x:c r="K240" s="2" t="inlineStr">
        <x:is>
          <x:t xml:space="preserve">2</x:t>
        </x:is>
      </x:c>
      <x:c r="L240" s="2" t="inlineStr">
        <x:is>
          <x:t xml:space="preserve">13</x:t>
        </x:is>
      </x:c>
      <x:c r="M240" s="2" t="n"/>
      <x:c r="N240" s="2" t="inlineStr">
        <x:is>
          <x:t xml:space="preserve">5</x:t>
        </x:is>
      </x:c>
      <x:c r="O240" s="2" t="inlineStr">
        <x:is>
          <x:t xml:space="preserve">2</x:t>
        </x:is>
      </x:c>
      <x:c r="P240" s="2" t="inlineStr">
        <x:is>
          <x:t xml:space="preserve">16</x:t>
        </x:is>
      </x:c>
      <x:c r="Q240" s="2" t="inlineStr">
        <x:is>
          <x:t xml:space="preserve">14</x:t>
        </x:is>
      </x:c>
      <x:c r="R240" s="2" t="inlineStr">
        <x:is>
          <x:t xml:space="preserve">14</x:t>
        </x:is>
      </x:c>
      <x:c r="S240" s="2" t="inlineStr">
        <x:is>
          <x:t xml:space="preserve">6</x:t>
        </x:is>
      </x:c>
      <x:c r="T240" s="2" t="inlineStr">
        <x:is>
          <x:t xml:space="preserve">12</x:t>
        </x:is>
      </x:c>
      <x:c r="U240" s="2" t="inlineStr">
        <x:is>
          <x:t xml:space="preserve">7</x:t>
        </x:is>
      </x:c>
      <x:c r="V240" s="2" t="n"/>
      <x:c r="W240" s="2" t="inlineStr">
        <x:is>
          <x:t xml:space="preserve">Athletics +5, Perception +3</x:t>
        </x:is>
      </x:c>
      <x:c r="X240" s="2" t="inlineStr">
        <x:is>
          <x:t xml:space="preserve">Passive Perception 13</x:t>
        </x:is>
      </x:c>
      <x:c r="Y240" s="2" t="inlineStr">
        <x:is>
          <x:t xml:space="preserve">None</x:t>
        </x:is>
      </x:c>
      <x:c r="Z240" s="2" t="n"/>
      <x:c r="AA240" s="2" t="inlineStr">
        <x:is>
          <x:t xml:space="preserve">Multiattack. The ape makes two Fist attacks. Fist. Melee Attack Roll: +5, reach 5 ft. Hit: 5 (1d4 + 3) Bludgeoning damage. Rock (Recharge 6). Ranged Attack Roll: +5, range 25/50 ft. Hit: 10 (2d6 + 3) Bludgeoning damage.</x:t>
        </x:is>
      </x:c>
      <x:c r="AB240" s="2" t="n"/>
      <x:c r="AC240" s="2" t="n"/>
      <x:c r="AD240" s="2" t="n"/>
      <x:c r="AE240" s="2" t="n"/>
      <x:c r="AF240" s="2" t="inlineStr">
        <x:is>
          <x:t xml:space="preserve">Imported from SRD 5.2.1 p. 344 Index of Stat Blocks</x:t>
        </x:is>
      </x:c>
      <x:c r="AG240" s="2" t="inlineStr">
        <x:is>
          <x:t xml:space="preserve">https://www.dndbeyond.com/srd</x:t>
        </x:is>
      </x:c>
    </x:row>
    <x:row r="241" ht="18" customHeight="1">
      <x:c r="A241" s="2" t="inlineStr">
        <x:is>
          <x:t xml:space="preserve">Archelon</x:t>
        </x:is>
      </x:c>
      <x:c r="B241" s="2" t="inlineStr">
        <x:is>
          <x:t xml:space="preserve">SRD 5.2.1</x:t>
        </x:is>
      </x:c>
      <x:c r="C241" s="2" t="inlineStr">
        <x:is>
          <x:t xml:space="preserve">Beast (Dinosaur)</x:t>
        </x:is>
      </x:c>
      <x:c r="D241" s="2" t="inlineStr">
        <x:is>
          <x:t xml:space="preserve">Huge</x:t>
        </x:is>
      </x:c>
      <x:c r="E241" s="2" t="inlineStr">
        <x:is>
          <x:t xml:space="preserve">Unaligned</x:t>
        </x:is>
      </x:c>
      <x:c r="F241" s="2" t="inlineStr">
        <x:is>
          <x:t xml:space="preserve">4</x:t>
        </x:is>
      </x:c>
      <x:c r="G241" s="2" t="inlineStr">
        <x:is>
          <x:t xml:space="preserve">1100</x:t>
        </x:is>
      </x:c>
      <x:c r="H241" s="2" t="inlineStr">
        <x:is>
          <x:t xml:space="preserve">17</x:t>
        </x:is>
      </x:c>
      <x:c r="I241" s="2" t="inlineStr">
        <x:is>
          <x:t xml:space="preserve">90</x:t>
        </x:is>
      </x:c>
      <x:c r="J241" s="2" t="inlineStr">
        <x:is>
          <x:t xml:space="preserve">20 ft., Swim 80 ft.</x:t>
        </x:is>
      </x:c>
      <x:c r="K241" s="2" t="inlineStr">
        <x:is>
          <x:t xml:space="preserve">2</x:t>
        </x:is>
      </x:c>
      <x:c r="L241" s="2" t="inlineStr">
        <x:is>
          <x:t xml:space="preserve">12</x:t>
        </x:is>
      </x:c>
      <x:c r="M241" s="2" t="n"/>
      <x:c r="N241" s="2" t="inlineStr">
        <x:is>
          <x:t xml:space="preserve">6</x:t>
        </x:is>
      </x:c>
      <x:c r="O241" s="2" t="inlineStr">
        <x:is>
          <x:t xml:space="preserve">3</x:t>
        </x:is>
      </x:c>
      <x:c r="P241" s="2" t="inlineStr">
        <x:is>
          <x:t xml:space="preserve">18</x:t>
        </x:is>
      </x:c>
      <x:c r="Q241" s="2" t="inlineStr">
        <x:is>
          <x:t xml:space="preserve">16</x:t>
        </x:is>
      </x:c>
      <x:c r="R241" s="2" t="inlineStr">
        <x:is>
          <x:t xml:space="preserve">13</x:t>
        </x:is>
      </x:c>
      <x:c r="S241" s="2" t="inlineStr">
        <x:is>
          <x:t xml:space="preserve">4</x:t>
        </x:is>
      </x:c>
      <x:c r="T241" s="2" t="inlineStr">
        <x:is>
          <x:t xml:space="preserve">14</x:t>
        </x:is>
      </x:c>
      <x:c r="U241" s="2" t="inlineStr">
        <x:is>
          <x:t xml:space="preserve">6</x:t>
        </x:is>
      </x:c>
      <x:c r="V241" s="2" t="n"/>
      <x:c r="W241" s="2" t="inlineStr">
        <x:is>
          <x:t xml:space="preserve">Stealth +5</x:t>
        </x:is>
      </x:c>
      <x:c r="X241" s="2" t="inlineStr">
        <x:is>
          <x:t xml:space="preserve">Passive Perception 12</x:t>
        </x:is>
      </x:c>
      <x:c r="Y241" s="2" t="inlineStr">
        <x:is>
          <x:t xml:space="preserve">None</x:t>
        </x:is>
      </x:c>
      <x:c r="Z241" s="2" t="inlineStr">
        <x:is>
          <x:t xml:space="preserve">Amphibious. The archelon can breathe air and water.</x:t>
        </x:is>
      </x:c>
      <x:c r="AA241" s="2" t="inlineStr">
        <x:is>
          <x:t xml:space="preserve">Multiattack. The archelon makes two Bite attacks. Bite. Melee Attack Roll: +6, reach 5 ft. Hit: 14 (3d6 + 4) Piercing damage.</x:t>
        </x:is>
      </x:c>
      <x:c r="AB241" s="2" t="n"/>
      <x:c r="AC241" s="2" t="n"/>
      <x:c r="AD241" s="2" t="n"/>
      <x:c r="AE241" s="2" t="n"/>
      <x:c r="AF241" s="2" t="inlineStr">
        <x:is>
          <x:t xml:space="preserve">Imported from SRD 5.2.1 p. 344 Index of Stat Blocks</x:t>
        </x:is>
      </x:c>
      <x:c r="AG241" s="2" t="inlineStr">
        <x:is>
          <x:t xml:space="preserve">https://www.dndbeyond.com/srd</x:t>
        </x:is>
      </x:c>
    </x:row>
    <x:row r="242" ht="18" customHeight="1">
      <x:c r="A242" s="2" t="inlineStr">
        <x:is>
          <x:t xml:space="preserve">Baboon</x:t>
        </x:is>
      </x:c>
      <x:c r="B242" s="2" t="inlineStr">
        <x:is>
          <x:t xml:space="preserve">SRD 5.2.1</x:t>
        </x:is>
      </x:c>
      <x:c r="C242" s="2" t="inlineStr">
        <x:is>
          <x:t xml:space="preserve">Beast</x:t>
        </x:is>
      </x:c>
      <x:c r="D242" s="2" t="inlineStr">
        <x:is>
          <x:t xml:space="preserve">Small</x:t>
        </x:is>
      </x:c>
      <x:c r="E242" s="2" t="inlineStr">
        <x:is>
          <x:t xml:space="preserve">Unaligned</x:t>
        </x:is>
      </x:c>
      <x:c r="F242" s="2" t="inlineStr">
        <x:is>
          <x:t xml:space="preserve">0</x:t>
        </x:is>
      </x:c>
      <x:c r="G242" s="2" t="inlineStr">
        <x:is>
          <x:t xml:space="preserve">10</x:t>
        </x:is>
      </x:c>
      <x:c r="H242" s="2" t="inlineStr">
        <x:is>
          <x:t xml:space="preserve">12</x:t>
        </x:is>
      </x:c>
      <x:c r="I242" s="2" t="inlineStr">
        <x:is>
          <x:t xml:space="preserve">3</x:t>
        </x:is>
      </x:c>
      <x:c r="J242" s="2" t="inlineStr">
        <x:is>
          <x:t xml:space="preserve">30 ft., Climb 30 ft.</x:t>
        </x:is>
      </x:c>
      <x:c r="K242" s="2" t="inlineStr">
        <x:is>
          <x:t xml:space="preserve">2</x:t>
        </x:is>
      </x:c>
      <x:c r="L242" s="2" t="inlineStr">
        <x:is>
          <x:t xml:space="preserve">11</x:t>
        </x:is>
      </x:c>
      <x:c r="M242" s="2" t="n"/>
      <x:c r="N242" s="2" t="inlineStr">
        <x:is>
          <x:t xml:space="preserve">1</x:t>
        </x:is>
      </x:c>
      <x:c r="O242" s="2" t="inlineStr">
        <x:is>
          <x:t xml:space="preserve">2</x:t>
        </x:is>
      </x:c>
      <x:c r="P242" s="2" t="inlineStr">
        <x:is>
          <x:t xml:space="preserve">8</x:t>
        </x:is>
      </x:c>
      <x:c r="Q242" s="2" t="inlineStr">
        <x:is>
          <x:t xml:space="preserve">14</x:t>
        </x:is>
      </x:c>
      <x:c r="R242" s="2" t="inlineStr">
        <x:is>
          <x:t xml:space="preserve">11</x:t>
        </x:is>
      </x:c>
      <x:c r="S242" s="2" t="inlineStr">
        <x:is>
          <x:t xml:space="preserve">4</x:t>
        </x:is>
      </x:c>
      <x:c r="T242" s="2" t="inlineStr">
        <x:is>
          <x:t xml:space="preserve">12</x:t>
        </x:is>
      </x:c>
      <x:c r="U242" s="2" t="inlineStr">
        <x:is>
          <x:t xml:space="preserve">6</x:t>
        </x:is>
      </x:c>
      <x:c r="V242" s="2" t="n"/>
      <x:c r="W242" s="2" t="n"/>
      <x:c r="X242" s="2" t="inlineStr">
        <x:is>
          <x:t xml:space="preserve">Passive Perception 11</x:t>
        </x:is>
      </x:c>
      <x:c r="Y242" s="2" t="inlineStr">
        <x:is>
          <x:t xml:space="preserve">None</x:t>
        </x:is>
      </x:c>
      <x:c r="Z242" s="2" t="inlineStr">
        <x:is>
          <x:t xml:space="preserve">Pack Tactics. The baboon has Advantage on an attack roll against a creature if at least one of the baboon’s allies is within 5 feet of the creature and the ally doesn’t have the Incapacitated condition.</x:t>
        </x:is>
      </x:c>
      <x:c r="AA242" s="2" t="inlineStr">
        <x:is>
          <x:t xml:space="preserve">Bite. Melee Attack Roll: +1, reach 5 ft. Hit: 1 (1d4 - 1) Piercing damage.</x:t>
        </x:is>
      </x:c>
      <x:c r="AB242" s="2" t="n"/>
      <x:c r="AC242" s="2" t="n"/>
      <x:c r="AD242" s="2" t="n"/>
      <x:c r="AE242" s="2" t="n"/>
      <x:c r="AF242" s="2" t="inlineStr">
        <x:is>
          <x:t xml:space="preserve">Imported from SRD 5.2.1 p. 345 Index of Stat Blocks</x:t>
        </x:is>
      </x:c>
      <x:c r="AG242" s="2" t="inlineStr">
        <x:is>
          <x:t xml:space="preserve">https://www.dndbeyond.com/srd</x:t>
        </x:is>
      </x:c>
    </x:row>
    <x:row r="243" ht="18" customHeight="1">
      <x:c r="A243" s="2" t="inlineStr">
        <x:is>
          <x:t xml:space="preserve">Badger</x:t>
        </x:is>
      </x:c>
      <x:c r="B243" s="2" t="inlineStr">
        <x:is>
          <x:t xml:space="preserve">SRD 5.2.1</x:t>
        </x:is>
      </x:c>
      <x:c r="C243" s="2" t="inlineStr">
        <x:is>
          <x:t xml:space="preserve">Beast</x:t>
        </x:is>
      </x:c>
      <x:c r="D243" s="2" t="inlineStr">
        <x:is>
          <x:t xml:space="preserve">Tiny</x:t>
        </x:is>
      </x:c>
      <x:c r="E243" s="2" t="inlineStr">
        <x:is>
          <x:t xml:space="preserve">Unaligned</x:t>
        </x:is>
      </x:c>
      <x:c r="F243" s="2" t="inlineStr">
        <x:is>
          <x:t xml:space="preserve">0</x:t>
        </x:is>
      </x:c>
      <x:c r="G243" s="2" t="inlineStr">
        <x:is>
          <x:t xml:space="preserve">10</x:t>
        </x:is>
      </x:c>
      <x:c r="H243" s="2" t="inlineStr">
        <x:is>
          <x:t xml:space="preserve">11</x:t>
        </x:is>
      </x:c>
      <x:c r="I243" s="2" t="inlineStr">
        <x:is>
          <x:t xml:space="preserve">5</x:t>
        </x:is>
      </x:c>
      <x:c r="J243" s="2" t="inlineStr">
        <x:is>
          <x:t xml:space="preserve">20 ft., Burrow 5 ft.</x:t>
        </x:is>
      </x:c>
      <x:c r="K243" s="2" t="inlineStr">
        <x:is>
          <x:t xml:space="preserve">2</x:t>
        </x:is>
      </x:c>
      <x:c r="L243" s="2" t="inlineStr">
        <x:is>
          <x:t xml:space="preserve">13</x:t>
        </x:is>
      </x:c>
      <x:c r="M243" s="2" t="n"/>
      <x:c r="N243" s="2" t="inlineStr">
        <x:is>
          <x:t xml:space="preserve">2</x:t>
        </x:is>
      </x:c>
      <x:c r="O243" s="2" t="inlineStr">
        <x:is>
          <x:t xml:space="preserve">0</x:t>
        </x:is>
      </x:c>
      <x:c r="P243" s="2" t="inlineStr">
        <x:is>
          <x:t xml:space="preserve">10</x:t>
        </x:is>
      </x:c>
      <x:c r="Q243" s="2" t="inlineStr">
        <x:is>
          <x:t xml:space="preserve">11</x:t>
        </x:is>
      </x:c>
      <x:c r="R243" s="2" t="inlineStr">
        <x:is>
          <x:t xml:space="preserve">16</x:t>
        </x:is>
      </x:c>
      <x:c r="S243" s="2" t="inlineStr">
        <x:is>
          <x:t xml:space="preserve">2</x:t>
        </x:is>
      </x:c>
      <x:c r="T243" s="2" t="inlineStr">
        <x:is>
          <x:t xml:space="preserve">12</x:t>
        </x:is>
      </x:c>
      <x:c r="U243" s="2" t="inlineStr">
        <x:is>
          <x:t xml:space="preserve">5</x:t>
        </x:is>
      </x:c>
      <x:c r="V243" s="2" t="n"/>
      <x:c r="W243" s="2" t="inlineStr">
        <x:is>
          <x:t xml:space="preserve">Perception +3</x:t>
        </x:is>
      </x:c>
      <x:c r="X243" s="2" t="inlineStr">
        <x:is>
          <x:t xml:space="preserve">Darkvision 30 ft.; Passive Perception 13</x:t>
        </x:is>
      </x:c>
      <x:c r="Y243" s="2" t="inlineStr">
        <x:is>
          <x:t xml:space="preserve">None</x:t>
        </x:is>
      </x:c>
      <x:c r="Z243" s="2" t="n"/>
      <x:c r="AA243" s="2" t="inlineStr">
        <x:is>
          <x:t xml:space="preserve">Bite. Melee Attack Roll: +2, reach 5 ft. Hit: 1 Piercing damage.</x:t>
        </x:is>
      </x:c>
      <x:c r="AB243" s="2" t="n"/>
      <x:c r="AC243" s="2" t="n"/>
      <x:c r="AD243" s="2" t="n"/>
      <x:c r="AE243" s="2" t="n"/>
      <x:c r="AF243" s="2" t="inlineStr">
        <x:is>
          <x:t xml:space="preserve">Imported from SRD 5.2.1 p. 345 Index of Stat Blocks</x:t>
        </x:is>
      </x:c>
      <x:c r="AG243" s="2" t="inlineStr">
        <x:is>
          <x:t xml:space="preserve">https://www.dndbeyond.com/srd</x:t>
        </x:is>
      </x:c>
    </x:row>
    <x:row r="244" ht="18" customHeight="1">
      <x:c r="A244" s="2" t="inlineStr">
        <x:is>
          <x:t xml:space="preserve">Bat</x:t>
        </x:is>
      </x:c>
      <x:c r="B244" s="2" t="inlineStr">
        <x:is>
          <x:t xml:space="preserve">SRD 5.2.1</x:t>
        </x:is>
      </x:c>
      <x:c r="C244" s="2" t="inlineStr">
        <x:is>
          <x:t xml:space="preserve">Beast</x:t>
        </x:is>
      </x:c>
      <x:c r="D244" s="2" t="inlineStr">
        <x:is>
          <x:t xml:space="preserve">Tiny</x:t>
        </x:is>
      </x:c>
      <x:c r="E244" s="2" t="inlineStr">
        <x:is>
          <x:t xml:space="preserve">Unaligned</x:t>
        </x:is>
      </x:c>
      <x:c r="F244" s="2" t="inlineStr">
        <x:is>
          <x:t xml:space="preserve">0</x:t>
        </x:is>
      </x:c>
      <x:c r="G244" s="2" t="inlineStr">
        <x:is>
          <x:t xml:space="preserve">10</x:t>
        </x:is>
      </x:c>
      <x:c r="H244" s="2" t="inlineStr">
        <x:is>
          <x:t xml:space="preserve">12</x:t>
        </x:is>
      </x:c>
      <x:c r="I244" s="2" t="inlineStr">
        <x:is>
          <x:t xml:space="preserve">1</x:t>
        </x:is>
      </x:c>
      <x:c r="J244" s="2" t="inlineStr">
        <x:is>
          <x:t xml:space="preserve">5 ft., Fly 30 ft.</x:t>
        </x:is>
      </x:c>
      <x:c r="K244" s="2" t="inlineStr">
        <x:is>
          <x:t xml:space="preserve">2</x:t>
        </x:is>
      </x:c>
      <x:c r="L244" s="2" t="inlineStr">
        <x:is>
          <x:t xml:space="preserve">11</x:t>
        </x:is>
      </x:c>
      <x:c r="M244" s="2" t="n"/>
      <x:c r="N244" s="2" t="inlineStr">
        <x:is>
          <x:t xml:space="preserve">4</x:t>
        </x:is>
      </x:c>
      <x:c r="O244" s="2" t="inlineStr">
        <x:is>
          <x:t xml:space="preserve">2</x:t>
        </x:is>
      </x:c>
      <x:c r="P244" s="2" t="inlineStr">
        <x:is>
          <x:t xml:space="preserve">2</x:t>
        </x:is>
      </x:c>
      <x:c r="Q244" s="2" t="inlineStr">
        <x:is>
          <x:t xml:space="preserve">15</x:t>
        </x:is>
      </x:c>
      <x:c r="R244" s="2" t="inlineStr">
        <x:is>
          <x:t xml:space="preserve">8</x:t>
        </x:is>
      </x:c>
      <x:c r="S244" s="2" t="inlineStr">
        <x:is>
          <x:t xml:space="preserve">2</x:t>
        </x:is>
      </x:c>
      <x:c r="T244" s="2" t="inlineStr">
        <x:is>
          <x:t xml:space="preserve">12</x:t>
        </x:is>
      </x:c>
      <x:c r="U244" s="2" t="inlineStr">
        <x:is>
          <x:t xml:space="preserve">4</x:t>
        </x:is>
      </x:c>
      <x:c r="V244" s="2" t="n"/>
      <x:c r="W244" s="2" t="n"/>
      <x:c r="X244" s="2" t="inlineStr">
        <x:is>
          <x:t xml:space="preserve">Blindsight 60 ft.; Passive Perception 11</x:t>
        </x:is>
      </x:c>
      <x:c r="Y244" s="2" t="inlineStr">
        <x:is>
          <x:t xml:space="preserve">None</x:t>
        </x:is>
      </x:c>
      <x:c r="Z244" s="2" t="n"/>
      <x:c r="AA244" s="2" t="inlineStr">
        <x:is>
          <x:t xml:space="preserve">Bite. Melee Attack Roll: +4, reach 5 ft. Hit: 1 Piercing damage.</x:t>
        </x:is>
      </x:c>
      <x:c r="AB244" s="2" t="n"/>
      <x:c r="AC244" s="2" t="n"/>
      <x:c r="AD244" s="2" t="n"/>
      <x:c r="AE244" s="2" t="n"/>
      <x:c r="AF244" s="2" t="inlineStr">
        <x:is>
          <x:t xml:space="preserve">Imported from SRD 5.2.1 p. 345 Index of Stat Blocks</x:t>
        </x:is>
      </x:c>
      <x:c r="AG244" s="2" t="inlineStr">
        <x:is>
          <x:t xml:space="preserve">https://www.dndbeyond.com/srd</x:t>
        </x:is>
      </x:c>
    </x:row>
    <x:row r="245" ht="18" customHeight="1">
      <x:c r="A245" s="2" t="inlineStr">
        <x:is>
          <x:t xml:space="preserve">Black Bear</x:t>
        </x:is>
      </x:c>
      <x:c r="B245" s="2" t="inlineStr">
        <x:is>
          <x:t xml:space="preserve">SRD 5.2.1</x:t>
        </x:is>
      </x:c>
      <x:c r="C245" s="2" t="inlineStr">
        <x:is>
          <x:t xml:space="preserve">Beast</x:t>
        </x:is>
      </x:c>
      <x:c r="D245" s="2" t="inlineStr">
        <x:is>
          <x:t xml:space="preserve">Medium</x:t>
        </x:is>
      </x:c>
      <x:c r="E245" s="2" t="inlineStr">
        <x:is>
          <x:t xml:space="preserve">Unaligned</x:t>
        </x:is>
      </x:c>
      <x:c r="F245" s="2" t="inlineStr">
        <x:is>
          <x:t xml:space="preserve">1/2</x:t>
        </x:is>
      </x:c>
      <x:c r="G245" s="2" t="inlineStr">
        <x:is>
          <x:t xml:space="preserve">100</x:t>
        </x:is>
      </x:c>
      <x:c r="H245" s="2" t="inlineStr">
        <x:is>
          <x:t xml:space="preserve">11</x:t>
        </x:is>
      </x:c>
      <x:c r="I245" s="2" t="inlineStr">
        <x:is>
          <x:t xml:space="preserve">19</x:t>
        </x:is>
      </x:c>
      <x:c r="J245" s="2" t="inlineStr">
        <x:is>
          <x:t xml:space="preserve">30 ft., Climb 30 ft., Swim 30 ft.</x:t>
        </x:is>
      </x:c>
      <x:c r="K245" s="2" t="inlineStr">
        <x:is>
          <x:t xml:space="preserve">2</x:t>
        </x:is>
      </x:c>
      <x:c r="L245" s="2" t="inlineStr">
        <x:is>
          <x:t xml:space="preserve">15</x:t>
        </x:is>
      </x:c>
      <x:c r="M245" s="2" t="n"/>
      <x:c r="N245" s="2" t="inlineStr">
        <x:is>
          <x:t xml:space="preserve">4</x:t>
        </x:is>
      </x:c>
      <x:c r="O245" s="2" t="inlineStr">
        <x:is>
          <x:t xml:space="preserve">1</x:t>
        </x:is>
      </x:c>
      <x:c r="P245" s="2" t="inlineStr">
        <x:is>
          <x:t xml:space="preserve">15</x:t>
        </x:is>
      </x:c>
      <x:c r="Q245" s="2" t="inlineStr">
        <x:is>
          <x:t xml:space="preserve">12</x:t>
        </x:is>
      </x:c>
      <x:c r="R245" s="2" t="inlineStr">
        <x:is>
          <x:t xml:space="preserve">14</x:t>
        </x:is>
      </x:c>
      <x:c r="S245" s="2" t="inlineStr">
        <x:is>
          <x:t xml:space="preserve">2</x:t>
        </x:is>
      </x:c>
      <x:c r="T245" s="2" t="inlineStr">
        <x:is>
          <x:t xml:space="preserve">12</x:t>
        </x:is>
      </x:c>
      <x:c r="U245" s="2" t="inlineStr">
        <x:is>
          <x:t xml:space="preserve">7</x:t>
        </x:is>
      </x:c>
      <x:c r="V245" s="2" t="n"/>
      <x:c r="W245" s="2" t="inlineStr">
        <x:is>
          <x:t xml:space="preserve">Perception +5</x:t>
        </x:is>
      </x:c>
      <x:c r="X245" s="2" t="inlineStr">
        <x:is>
          <x:t xml:space="preserve">Darkvision 60 ft.; Passive Perception 15</x:t>
        </x:is>
      </x:c>
      <x:c r="Y245" s="2" t="inlineStr">
        <x:is>
          <x:t xml:space="preserve">None</x:t>
        </x:is>
      </x:c>
      <x:c r="Z245" s="2" t="n"/>
      <x:c r="AA245" s="2" t="inlineStr">
        <x:is>
          <x:t xml:space="preserve">Multiattack. The bear makes two Rend attacks. Rend. Melee Attack Roll: +4, reach 5 ft. Hit: 5 (1d6 + 2) Slashing damage.</x:t>
        </x:is>
      </x:c>
      <x:c r="AB245" s="2" t="n"/>
      <x:c r="AC245" s="2" t="n"/>
      <x:c r="AD245" s="2" t="n"/>
      <x:c r="AE245" s="2" t="n"/>
      <x:c r="AF245" s="2" t="inlineStr">
        <x:is>
          <x:t xml:space="preserve">Imported from SRD 5.2.1 p. 345 Index of Stat Blocks</x:t>
        </x:is>
      </x:c>
      <x:c r="AG245" s="2" t="inlineStr">
        <x:is>
          <x:t xml:space="preserve">https://www.dndbeyond.com/srd</x:t>
        </x:is>
      </x:c>
    </x:row>
    <x:row r="246" ht="18" customHeight="1">
      <x:c r="A246" s="2" t="inlineStr">
        <x:is>
          <x:t xml:space="preserve">Blood Hawk</x:t>
        </x:is>
      </x:c>
      <x:c r="B246" s="2" t="inlineStr">
        <x:is>
          <x:t xml:space="preserve">SRD 5.2.1</x:t>
        </x:is>
      </x:c>
      <x:c r="C246" s="2" t="inlineStr">
        <x:is>
          <x:t xml:space="preserve">Beast</x:t>
        </x:is>
      </x:c>
      <x:c r="D246" s="2" t="inlineStr">
        <x:is>
          <x:t xml:space="preserve">Small</x:t>
        </x:is>
      </x:c>
      <x:c r="E246" s="2" t="inlineStr">
        <x:is>
          <x:t xml:space="preserve">Unaligned</x:t>
        </x:is>
      </x:c>
      <x:c r="F246" s="2" t="inlineStr">
        <x:is>
          <x:t xml:space="preserve">1/8</x:t>
        </x:is>
      </x:c>
      <x:c r="G246" s="2" t="inlineStr">
        <x:is>
          <x:t xml:space="preserve">25</x:t>
        </x:is>
      </x:c>
      <x:c r="H246" s="2" t="inlineStr">
        <x:is>
          <x:t xml:space="preserve">12</x:t>
        </x:is>
      </x:c>
      <x:c r="I246" s="2" t="inlineStr">
        <x:is>
          <x:t xml:space="preserve">7</x:t>
        </x:is>
      </x:c>
      <x:c r="J246" s="2" t="inlineStr">
        <x:is>
          <x:t xml:space="preserve">10 ft., Fly 60 ft.</x:t>
        </x:is>
      </x:c>
      <x:c r="K246" s="2" t="inlineStr">
        <x:is>
          <x:t xml:space="preserve">2</x:t>
        </x:is>
      </x:c>
      <x:c r="L246" s="2" t="inlineStr">
        <x:is>
          <x:t xml:space="preserve">16</x:t>
        </x:is>
      </x:c>
      <x:c r="M246" s="2" t="n"/>
      <x:c r="N246" s="2" t="inlineStr">
        <x:is>
          <x:t xml:space="preserve">4</x:t>
        </x:is>
      </x:c>
      <x:c r="O246" s="2" t="inlineStr">
        <x:is>
          <x:t xml:space="preserve">2</x:t>
        </x:is>
      </x:c>
      <x:c r="P246" s="2" t="inlineStr">
        <x:is>
          <x:t xml:space="preserve">6</x:t>
        </x:is>
      </x:c>
      <x:c r="Q246" s="2" t="inlineStr">
        <x:is>
          <x:t xml:space="preserve">14</x:t>
        </x:is>
      </x:c>
      <x:c r="R246" s="2" t="inlineStr">
        <x:is>
          <x:t xml:space="preserve">10</x:t>
        </x:is>
      </x:c>
      <x:c r="S246" s="2" t="inlineStr">
        <x:is>
          <x:t xml:space="preserve">3</x:t>
        </x:is>
      </x:c>
      <x:c r="T246" s="2" t="inlineStr">
        <x:is>
          <x:t xml:space="preserve">14</x:t>
        </x:is>
      </x:c>
      <x:c r="U246" s="2" t="inlineStr">
        <x:is>
          <x:t xml:space="preserve">5</x:t>
        </x:is>
      </x:c>
      <x:c r="V246" s="2" t="n"/>
      <x:c r="W246" s="2" t="inlineStr">
        <x:is>
          <x:t xml:space="preserve">Perception +6</x:t>
        </x:is>
      </x:c>
      <x:c r="X246" s="2" t="inlineStr">
        <x:is>
          <x:t xml:space="preserve">Passive Perception 16</x:t>
        </x:is>
      </x:c>
      <x:c r="Y246" s="2" t="inlineStr">
        <x:is>
          <x:t xml:space="preserve">None</x:t>
        </x:is>
      </x:c>
      <x:c r="Z246" s="2" t="inlineStr">
        <x:is>
          <x:t xml:space="preserve">Pack Tactics. The hawk has Advantage on an attack roll against a creature if at least one of the hawk’s allies is within 5 feet of the creature and the ally doesn’t have the Incapacitated condition.</x:t>
        </x:is>
      </x:c>
      <x:c r="AA246" s="2" t="inlineStr">
        <x:is>
          <x:t xml:space="preserve">Beak. Melee Attack Roll: +4, reach 5 ft. Hit: 4 (1d4 + 2) Piercing damage, or 6 (1d8 + 2) Piercing damage if the target is Bloodied.</x:t>
        </x:is>
      </x:c>
      <x:c r="AB246" s="2" t="n"/>
      <x:c r="AC246" s="2" t="n"/>
      <x:c r="AD246" s="2" t="n"/>
      <x:c r="AE246" s="2" t="n"/>
      <x:c r="AF246" s="2" t="inlineStr">
        <x:is>
          <x:t xml:space="preserve">Imported from SRD 5.2.1 p. 345 Index of Stat Blocks</x:t>
        </x:is>
      </x:c>
      <x:c r="AG246" s="2" t="inlineStr">
        <x:is>
          <x:t xml:space="preserve">https://www.dndbeyond.com/srd</x:t>
        </x:is>
      </x:c>
    </x:row>
    <x:row r="247" ht="18" customHeight="1">
      <x:c r="A247" s="2" t="inlineStr">
        <x:is>
          <x:t xml:space="preserve">Boar</x:t>
        </x:is>
      </x:c>
      <x:c r="B247" s="2" t="inlineStr">
        <x:is>
          <x:t xml:space="preserve">SRD 5.2.1</x:t>
        </x:is>
      </x:c>
      <x:c r="C247" s="2" t="inlineStr">
        <x:is>
          <x:t xml:space="preserve">Beast</x:t>
        </x:is>
      </x:c>
      <x:c r="D247" s="2" t="inlineStr">
        <x:is>
          <x:t xml:space="preserve">Medium</x:t>
        </x:is>
      </x:c>
      <x:c r="E247" s="2" t="inlineStr">
        <x:is>
          <x:t xml:space="preserve">Unaligned</x:t>
        </x:is>
      </x:c>
      <x:c r="F247" s="2" t="inlineStr">
        <x:is>
          <x:t xml:space="preserve">1/4</x:t>
        </x:is>
      </x:c>
      <x:c r="G247" s="2" t="inlineStr">
        <x:is>
          <x:t xml:space="preserve">50</x:t>
        </x:is>
      </x:c>
      <x:c r="H247" s="2" t="inlineStr">
        <x:is>
          <x:t xml:space="preserve">11</x:t>
        </x:is>
      </x:c>
      <x:c r="I247" s="2" t="inlineStr">
        <x:is>
          <x:t xml:space="preserve">13</x:t>
        </x:is>
      </x:c>
      <x:c r="J247" s="2" t="inlineStr">
        <x:is>
          <x:t xml:space="preserve">40 ft.</x:t>
        </x:is>
      </x:c>
      <x:c r="K247" s="2" t="inlineStr">
        <x:is>
          <x:t xml:space="preserve">2</x:t>
        </x:is>
      </x:c>
      <x:c r="L247" s="2" t="inlineStr">
        <x:is>
          <x:t xml:space="preserve">9</x:t>
        </x:is>
      </x:c>
      <x:c r="M247" s="2" t="n"/>
      <x:c r="N247" s="2" t="inlineStr">
        <x:is>
          <x:t xml:space="preserve">3</x:t>
        </x:is>
      </x:c>
      <x:c r="O247" s="2" t="inlineStr">
        <x:is>
          <x:t xml:space="preserve">0</x:t>
        </x:is>
      </x:c>
      <x:c r="P247" s="2" t="inlineStr">
        <x:is>
          <x:t xml:space="preserve">13</x:t>
        </x:is>
      </x:c>
      <x:c r="Q247" s="2" t="inlineStr">
        <x:is>
          <x:t xml:space="preserve">11</x:t>
        </x:is>
      </x:c>
      <x:c r="R247" s="2" t="inlineStr">
        <x:is>
          <x:t xml:space="preserve">14</x:t>
        </x:is>
      </x:c>
      <x:c r="S247" s="2" t="inlineStr">
        <x:is>
          <x:t xml:space="preserve">2</x:t>
        </x:is>
      </x:c>
      <x:c r="T247" s="2" t="inlineStr">
        <x:is>
          <x:t xml:space="preserve">9</x:t>
        </x:is>
      </x:c>
      <x:c r="U247" s="2" t="inlineStr">
        <x:is>
          <x:t xml:space="preserve">5</x:t>
        </x:is>
      </x:c>
      <x:c r="V247" s="2" t="n"/>
      <x:c r="W247" s="2" t="n"/>
      <x:c r="X247" s="2" t="inlineStr">
        <x:is>
          <x:t xml:space="preserve">Passive Perception 9</x:t>
        </x:is>
      </x:c>
      <x:c r="Y247" s="2" t="inlineStr">
        <x:is>
          <x:t xml:space="preserve">None</x:t>
        </x:is>
      </x:c>
      <x:c r="Z247" s="2" t="inlineStr">
        <x:is>
          <x:t xml:space="preserve">Bloodied Fury. While Bloodied, the boar has Advan- tage on attack rolls.</x:t>
        </x:is>
      </x:c>
      <x:c r="AA247" s="2" t="inlineStr">
        <x:is>
          <x:t xml:space="preserve">Gore. Melee Attack Roll: +3, reach 5 ft. Hit: 4 (1d6 + 1) Piercing damage. If the target is a Medium or smaller creature and the boar moved 20+ feet straight toward it immediately before the hit, the target takes an extra 3 (1d6) Piercing damage and has the Prone condition.</x:t>
        </x:is>
      </x:c>
      <x:c r="AB247" s="2" t="n"/>
      <x:c r="AC247" s="2" t="n"/>
      <x:c r="AD247" s="2" t="n"/>
      <x:c r="AE247" s="2" t="n"/>
      <x:c r="AF247" s="2" t="inlineStr">
        <x:is>
          <x:t xml:space="preserve">Imported from SRD 5.2.1 p. 346 Index of Stat Blocks</x:t>
        </x:is>
      </x:c>
      <x:c r="AG247" s="2" t="inlineStr">
        <x:is>
          <x:t xml:space="preserve">https://www.dndbeyond.com/srd</x:t>
        </x:is>
      </x:c>
    </x:row>
    <x:row r="248" ht="18" customHeight="1">
      <x:c r="A248" s="2" t="inlineStr">
        <x:is>
          <x:t xml:space="preserve">Brown Bear</x:t>
        </x:is>
      </x:c>
      <x:c r="B248" s="2" t="inlineStr">
        <x:is>
          <x:t xml:space="preserve">SRD 5.2.1</x:t>
        </x:is>
      </x:c>
      <x:c r="C248" s="2" t="inlineStr">
        <x:is>
          <x:t xml:space="preserve">Beast</x:t>
        </x:is>
      </x:c>
      <x:c r="D248" s="2" t="inlineStr">
        <x:is>
          <x:t xml:space="preserve">Large</x:t>
        </x:is>
      </x:c>
      <x:c r="E248" s="2" t="inlineStr">
        <x:is>
          <x:t xml:space="preserve">Unaligned</x:t>
        </x:is>
      </x:c>
      <x:c r="F248" s="2" t="inlineStr">
        <x:is>
          <x:t xml:space="preserve">1</x:t>
        </x:is>
      </x:c>
      <x:c r="G248" s="2" t="inlineStr">
        <x:is>
          <x:t xml:space="preserve">200</x:t>
        </x:is>
      </x:c>
      <x:c r="H248" s="2" t="inlineStr">
        <x:is>
          <x:t xml:space="preserve">11</x:t>
        </x:is>
      </x:c>
      <x:c r="I248" s="2" t="inlineStr">
        <x:is>
          <x:t xml:space="preserve">22</x:t>
        </x:is>
      </x:c>
      <x:c r="J248" s="2" t="inlineStr">
        <x:is>
          <x:t xml:space="preserve">40 ft., Climb 30 ft.</x:t>
        </x:is>
      </x:c>
      <x:c r="K248" s="2" t="inlineStr">
        <x:is>
          <x:t xml:space="preserve">2</x:t>
        </x:is>
      </x:c>
      <x:c r="L248" s="2" t="inlineStr">
        <x:is>
          <x:t xml:space="preserve">13</x:t>
        </x:is>
      </x:c>
      <x:c r="M248" s="2" t="n"/>
      <x:c r="N248" s="2" t="inlineStr">
        <x:is>
          <x:t xml:space="preserve">5</x:t>
        </x:is>
      </x:c>
      <x:c r="O248" s="2" t="inlineStr">
        <x:is>
          <x:t xml:space="preserve">1</x:t>
        </x:is>
      </x:c>
      <x:c r="P248" s="2" t="inlineStr">
        <x:is>
          <x:t xml:space="preserve">17</x:t>
        </x:is>
      </x:c>
      <x:c r="Q248" s="2" t="inlineStr">
        <x:is>
          <x:t xml:space="preserve">12</x:t>
        </x:is>
      </x:c>
      <x:c r="R248" s="2" t="inlineStr">
        <x:is>
          <x:t xml:space="preserve">15</x:t>
        </x:is>
      </x:c>
      <x:c r="S248" s="2" t="inlineStr">
        <x:is>
          <x:t xml:space="preserve">2</x:t>
        </x:is>
      </x:c>
      <x:c r="T248" s="2" t="inlineStr">
        <x:is>
          <x:t xml:space="preserve">13</x:t>
        </x:is>
      </x:c>
      <x:c r="U248" s="2" t="inlineStr">
        <x:is>
          <x:t xml:space="preserve">7</x:t>
        </x:is>
      </x:c>
      <x:c r="V248" s="2" t="n"/>
      <x:c r="W248" s="2" t="inlineStr">
        <x:is>
          <x:t xml:space="preserve">Perception +3</x:t>
        </x:is>
      </x:c>
      <x:c r="X248" s="2" t="inlineStr">
        <x:is>
          <x:t xml:space="preserve">Darkvision 60 ft.; Passive Perception 13</x:t>
        </x:is>
      </x:c>
      <x:c r="Y248" s="2" t="inlineStr">
        <x:is>
          <x:t xml:space="preserve">None</x:t>
        </x:is>
      </x:c>
      <x:c r="Z248" s="2" t="n"/>
      <x:c r="AA248" s="2" t="inlineStr">
        <x:is>
          <x:t xml:space="preserve">Multiattack. The bear makes one Bite attack and one Claw attack. Bite. Melee Attack Roll: +5, reach 5 ft. Hit: 7 (1d8 + 3) Piercing damage. Claw. Melee Attack Roll: +5, reach 5 ft. Hit: 5 (1d4 + 3) Slashing damage. If the target is a Large or smaller crea- ture, it has the Prone condition.</x:t>
        </x:is>
      </x:c>
      <x:c r="AB248" s="2" t="n"/>
      <x:c r="AC248" s="2" t="n"/>
      <x:c r="AD248" s="2" t="n"/>
      <x:c r="AE248" s="2" t="n"/>
      <x:c r="AF248" s="2" t="inlineStr">
        <x:is>
          <x:t xml:space="preserve">Imported from SRD 5.2.1 p. 346 Index of Stat Blocks</x:t>
        </x:is>
      </x:c>
      <x:c r="AG248" s="2" t="inlineStr">
        <x:is>
          <x:t xml:space="preserve">https://www.dndbeyond.com/srd</x:t>
        </x:is>
      </x:c>
    </x:row>
    <x:row r="249" ht="18" customHeight="1">
      <x:c r="A249" s="2" t="inlineStr">
        <x:is>
          <x:t xml:space="preserve">Camel</x:t>
        </x:is>
      </x:c>
      <x:c r="B249" s="2" t="inlineStr">
        <x:is>
          <x:t xml:space="preserve">SRD 5.2.1</x:t>
        </x:is>
      </x:c>
      <x:c r="C249" s="2" t="inlineStr">
        <x:is>
          <x:t xml:space="preserve">Beast</x:t>
        </x:is>
      </x:c>
      <x:c r="D249" s="2" t="inlineStr">
        <x:is>
          <x:t xml:space="preserve">Large</x:t>
        </x:is>
      </x:c>
      <x:c r="E249" s="2" t="inlineStr">
        <x:is>
          <x:t xml:space="preserve">Unaligned</x:t>
        </x:is>
      </x:c>
      <x:c r="F249" s="2" t="inlineStr">
        <x:is>
          <x:t xml:space="preserve">1/8</x:t>
        </x:is>
      </x:c>
      <x:c r="G249" s="2" t="inlineStr">
        <x:is>
          <x:t xml:space="preserve">25</x:t>
        </x:is>
      </x:c>
      <x:c r="H249" s="2" t="inlineStr">
        <x:is>
          <x:t xml:space="preserve">10</x:t>
        </x:is>
      </x:c>
      <x:c r="I249" s="2" t="inlineStr">
        <x:is>
          <x:t xml:space="preserve">17</x:t>
        </x:is>
      </x:c>
      <x:c r="J249" s="2" t="inlineStr">
        <x:is>
          <x:t xml:space="preserve">50 ft.</x:t>
        </x:is>
      </x:c>
      <x:c r="K249" s="2" t="inlineStr">
        <x:is>
          <x:t xml:space="preserve">2</x:t>
        </x:is>
      </x:c>
      <x:c r="L249" s="2" t="inlineStr">
        <x:is>
          <x:t xml:space="preserve">10</x:t>
        </x:is>
      </x:c>
      <x:c r="M249" s="2" t="n"/>
      <x:c r="N249" s="2" t="inlineStr">
        <x:is>
          <x:t xml:space="preserve">4</x:t>
        </x:is>
      </x:c>
      <x:c r="O249" s="2" t="inlineStr">
        <x:is>
          <x:t xml:space="preserve">-1</x:t>
        </x:is>
      </x:c>
      <x:c r="P249" s="2" t="inlineStr">
        <x:is>
          <x:t xml:space="preserve">15</x:t>
        </x:is>
      </x:c>
      <x:c r="Q249" s="2" t="inlineStr">
        <x:is>
          <x:t xml:space="preserve">8</x:t>
        </x:is>
      </x:c>
      <x:c r="R249" s="2" t="inlineStr">
        <x:is>
          <x:t xml:space="preserve">17</x:t>
        </x:is>
      </x:c>
      <x:c r="S249" s="2" t="inlineStr">
        <x:is>
          <x:t xml:space="preserve">2</x:t>
        </x:is>
      </x:c>
      <x:c r="T249" s="2" t="inlineStr">
        <x:is>
          <x:t xml:space="preserve">11</x:t>
        </x:is>
      </x:c>
      <x:c r="U249" s="2" t="inlineStr">
        <x:is>
          <x:t xml:space="preserve">5</x:t>
        </x:is>
      </x:c>
      <x:c r="V249" s="2" t="inlineStr">
        <x:is>
          <x:t xml:space="preserve">CON +5</x:t>
        </x:is>
      </x:c>
      <x:c r="W249" s="2" t="n"/>
      <x:c r="X249" s="2" t="inlineStr">
        <x:is>
          <x:t xml:space="preserve">Darkvision 60 ft.; Passive Perception 10</x:t>
        </x:is>
      </x:c>
      <x:c r="Y249" s="2" t="inlineStr">
        <x:is>
          <x:t xml:space="preserve">None</x:t>
        </x:is>
      </x:c>
      <x:c r="Z249" s="2" t="n"/>
      <x:c r="AA249" s="2" t="inlineStr">
        <x:is>
          <x:t xml:space="preserve">Bite. Melee Attack Roll: +4, reach 5 ft. Hit: 4 (1d4 + 2) Bludgeoning damage.</x:t>
        </x:is>
      </x:c>
      <x:c r="AB249" s="2" t="n"/>
      <x:c r="AC249" s="2" t="n"/>
      <x:c r="AD249" s="2" t="n"/>
      <x:c r="AE249" s="2" t="n"/>
      <x:c r="AF249" s="2" t="inlineStr">
        <x:is>
          <x:t xml:space="preserve">Imported from SRD 5.2.1 p. 346 Index of Stat Blocks</x:t>
        </x:is>
      </x:c>
      <x:c r="AG249" s="2" t="inlineStr">
        <x:is>
          <x:t xml:space="preserve">https://www.dndbeyond.com/srd</x:t>
        </x:is>
      </x:c>
    </x:row>
    <x:row r="250" ht="18" customHeight="1">
      <x:c r="A250" s="2" t="inlineStr">
        <x:is>
          <x:t xml:space="preserve">Cat</x:t>
        </x:is>
      </x:c>
      <x:c r="B250" s="2" t="inlineStr">
        <x:is>
          <x:t xml:space="preserve">SRD 5.2.1</x:t>
        </x:is>
      </x:c>
      <x:c r="C250" s="2" t="inlineStr">
        <x:is>
          <x:t xml:space="preserve">Beast</x:t>
        </x:is>
      </x:c>
      <x:c r="D250" s="2" t="inlineStr">
        <x:is>
          <x:t xml:space="preserve">Tiny</x:t>
        </x:is>
      </x:c>
      <x:c r="E250" s="2" t="inlineStr">
        <x:is>
          <x:t xml:space="preserve">Unaligned</x:t>
        </x:is>
      </x:c>
      <x:c r="F250" s="2" t="inlineStr">
        <x:is>
          <x:t xml:space="preserve">0</x:t>
        </x:is>
      </x:c>
      <x:c r="G250" s="2" t="inlineStr">
        <x:is>
          <x:t xml:space="preserve">10</x:t>
        </x:is>
      </x:c>
      <x:c r="H250" s="2" t="inlineStr">
        <x:is>
          <x:t xml:space="preserve">12</x:t>
        </x:is>
      </x:c>
      <x:c r="I250" s="2" t="inlineStr">
        <x:is>
          <x:t xml:space="preserve">2</x:t>
        </x:is>
      </x:c>
      <x:c r="J250" s="2" t="inlineStr">
        <x:is>
          <x:t xml:space="preserve">40 ft., Climb 40 ft.</x:t>
        </x:is>
      </x:c>
      <x:c r="K250" s="2" t="inlineStr">
        <x:is>
          <x:t xml:space="preserve">2</x:t>
        </x:is>
      </x:c>
      <x:c r="L250" s="2" t="inlineStr">
        <x:is>
          <x:t xml:space="preserve">13</x:t>
        </x:is>
      </x:c>
      <x:c r="M250" s="2" t="n"/>
      <x:c r="N250" s="2" t="inlineStr">
        <x:is>
          <x:t xml:space="preserve">4</x:t>
        </x:is>
      </x:c>
      <x:c r="O250" s="2" t="inlineStr">
        <x:is>
          <x:t xml:space="preserve">2</x:t>
        </x:is>
      </x:c>
      <x:c r="P250" s="2" t="inlineStr">
        <x:is>
          <x:t xml:space="preserve">3</x:t>
        </x:is>
      </x:c>
      <x:c r="Q250" s="2" t="inlineStr">
        <x:is>
          <x:t xml:space="preserve">15</x:t>
        </x:is>
      </x:c>
      <x:c r="R250" s="2" t="inlineStr">
        <x:is>
          <x:t xml:space="preserve">10</x:t>
        </x:is>
      </x:c>
      <x:c r="S250" s="2" t="inlineStr">
        <x:is>
          <x:t xml:space="preserve">3</x:t>
        </x:is>
      </x:c>
      <x:c r="T250" s="2" t="inlineStr">
        <x:is>
          <x:t xml:space="preserve">12</x:t>
        </x:is>
      </x:c>
      <x:c r="U250" s="2" t="inlineStr">
        <x:is>
          <x:t xml:space="preserve">7</x:t>
        </x:is>
      </x:c>
      <x:c r="V250" s="2" t="inlineStr">
        <x:is>
          <x:t xml:space="preserve">DEX +4</x:t>
        </x:is>
      </x:c>
      <x:c r="W250" s="2" t="inlineStr">
        <x:is>
          <x:t xml:space="preserve">Perception +3, Stealth +4</x:t>
        </x:is>
      </x:c>
      <x:c r="X250" s="2" t="inlineStr">
        <x:is>
          <x:t xml:space="preserve">Darkvision 60 ft.; Passive Perception 13</x:t>
        </x:is>
      </x:c>
      <x:c r="Y250" s="2" t="inlineStr">
        <x:is>
          <x:t xml:space="preserve">None</x:t>
        </x:is>
      </x:c>
      <x:c r="Z250" s="2" t="inlineStr">
        <x:is>
          <x:t xml:space="preserve">Jumper. The cat’s jump distance is determined using its Dexterity rather than its Strength.</x:t>
        </x:is>
      </x:c>
      <x:c r="AA250" s="2" t="inlineStr">
        <x:is>
          <x:t xml:space="preserve">Scratch. Melee Attack Roll: +4, reach 5 ft. Hit: 1 Slash- ing damage.</x:t>
        </x:is>
      </x:c>
      <x:c r="AB250" s="2" t="n"/>
      <x:c r="AC250" s="2" t="n"/>
      <x:c r="AD250" s="2" t="n"/>
      <x:c r="AE250" s="2" t="n"/>
      <x:c r="AF250" s="2" t="inlineStr">
        <x:is>
          <x:t xml:space="preserve">Imported from SRD 5.2.1 p. 346 Index of Stat Blocks</x:t>
        </x:is>
      </x:c>
      <x:c r="AG250" s="2" t="inlineStr">
        <x:is>
          <x:t xml:space="preserve">https://www.dndbeyond.com/srd</x:t>
        </x:is>
      </x:c>
    </x:row>
    <x:row r="251" ht="18" customHeight="1">
      <x:c r="A251" s="2" t="inlineStr">
        <x:is>
          <x:t xml:space="preserve">Constrictor Snake</x:t>
        </x:is>
      </x:c>
      <x:c r="B251" s="2" t="inlineStr">
        <x:is>
          <x:t xml:space="preserve">SRD 5.2.1</x:t>
        </x:is>
      </x:c>
      <x:c r="C251" s="2" t="inlineStr">
        <x:is>
          <x:t xml:space="preserve">Beast</x:t>
        </x:is>
      </x:c>
      <x:c r="D251" s="2" t="inlineStr">
        <x:is>
          <x:t xml:space="preserve">Large</x:t>
        </x:is>
      </x:c>
      <x:c r="E251" s="2" t="inlineStr">
        <x:is>
          <x:t xml:space="preserve">Unaligned</x:t>
        </x:is>
      </x:c>
      <x:c r="F251" s="2" t="inlineStr">
        <x:is>
          <x:t xml:space="preserve">1/4</x:t>
        </x:is>
      </x:c>
      <x:c r="G251" s="2" t="inlineStr">
        <x:is>
          <x:t xml:space="preserve">50</x:t>
        </x:is>
      </x:c>
      <x:c r="H251" s="2" t="inlineStr">
        <x:is>
          <x:t xml:space="preserve">13</x:t>
        </x:is>
      </x:c>
      <x:c r="I251" s="2" t="inlineStr">
        <x:is>
          <x:t xml:space="preserve">13</x:t>
        </x:is>
      </x:c>
      <x:c r="J251" s="2" t="inlineStr">
        <x:is>
          <x:t xml:space="preserve">30 ft., Swim 30 ft.</x:t>
        </x:is>
      </x:c>
      <x:c r="K251" s="2" t="inlineStr">
        <x:is>
          <x:t xml:space="preserve">2</x:t>
        </x:is>
      </x:c>
      <x:c r="L251" s="2" t="inlineStr">
        <x:is>
          <x:t xml:space="preserve">12</x:t>
        </x:is>
      </x:c>
      <x:c r="M251" s="2" t="inlineStr">
        <x:is>
          <x:t xml:space="preserve">12</x:t>
        </x:is>
      </x:c>
      <x:c r="N251" s="2" t="inlineStr">
        <x:is>
          <x:t xml:space="preserve">4</x:t>
        </x:is>
      </x:c>
      <x:c r="O251" s="2" t="inlineStr">
        <x:is>
          <x:t xml:space="preserve">2</x:t>
        </x:is>
      </x:c>
      <x:c r="P251" s="2" t="inlineStr">
        <x:is>
          <x:t xml:space="preserve">15</x:t>
        </x:is>
      </x:c>
      <x:c r="Q251" s="2" t="inlineStr">
        <x:is>
          <x:t xml:space="preserve">14</x:t>
        </x:is>
      </x:c>
      <x:c r="R251" s="2" t="inlineStr">
        <x:is>
          <x:t xml:space="preserve">12</x:t>
        </x:is>
      </x:c>
      <x:c r="S251" s="2" t="inlineStr">
        <x:is>
          <x:t xml:space="preserve">1</x:t>
        </x:is>
      </x:c>
      <x:c r="T251" s="2" t="inlineStr">
        <x:is>
          <x:t xml:space="preserve">10</x:t>
        </x:is>
      </x:c>
      <x:c r="U251" s="2" t="inlineStr">
        <x:is>
          <x:t xml:space="preserve">3</x:t>
        </x:is>
      </x:c>
      <x:c r="V251" s="2" t="n"/>
      <x:c r="W251" s="2" t="inlineStr">
        <x:is>
          <x:t xml:space="preserve">Perception +2, Stealth +4</x:t>
        </x:is>
      </x:c>
      <x:c r="X251" s="2" t="inlineStr">
        <x:is>
          <x:t xml:space="preserve">Blindsight 10 ft.; Passive Perception 12</x:t>
        </x:is>
      </x:c>
      <x:c r="Y251" s="2" t="inlineStr">
        <x:is>
          <x:t xml:space="preserve">None</x:t>
        </x:is>
      </x:c>
      <x:c r="Z251" s="2" t="n"/>
      <x:c r="AA251" s="2" t="inlineStr">
        <x:is>
          <x:t xml:space="preserve">Bite. Melee Attack Roll: +4, reach 5 ft. Hit: 6 (1d8 + 2) Piercing damage. Constrict. Strength Saving Throw: DC 12, one Medium or smaller creature the snake can see within 5 feet. Failure: 7 (3d4) Bludgeoning damage, and the target has the Grappled condition (escape DC 12).</x:t>
        </x:is>
      </x:c>
      <x:c r="AB251" s="2" t="n"/>
      <x:c r="AC251" s="2" t="n"/>
      <x:c r="AD251" s="2" t="n"/>
      <x:c r="AE251" s="2" t="n"/>
      <x:c r="AF251" s="2" t="inlineStr">
        <x:is>
          <x:t xml:space="preserve">Imported from SRD 5.2.1 p. 346 Index of Stat Blocks</x:t>
        </x:is>
      </x:c>
      <x:c r="AG251" s="2" t="inlineStr">
        <x:is>
          <x:t xml:space="preserve">https://www.dndbeyond.com/srd</x:t>
        </x:is>
      </x:c>
    </x:row>
    <x:row r="252" ht="18" customHeight="1">
      <x:c r="A252" s="2" t="inlineStr">
        <x:is>
          <x:t xml:space="preserve">Crab</x:t>
        </x:is>
      </x:c>
      <x:c r="B252" s="2" t="inlineStr">
        <x:is>
          <x:t xml:space="preserve">SRD 5.2.1</x:t>
        </x:is>
      </x:c>
      <x:c r="C252" s="2" t="inlineStr">
        <x:is>
          <x:t xml:space="preserve">Beast</x:t>
        </x:is>
      </x:c>
      <x:c r="D252" s="2" t="inlineStr">
        <x:is>
          <x:t xml:space="preserve">Tiny</x:t>
        </x:is>
      </x:c>
      <x:c r="E252" s="2" t="inlineStr">
        <x:is>
          <x:t xml:space="preserve">Unaligned</x:t>
        </x:is>
      </x:c>
      <x:c r="F252" s="2" t="inlineStr">
        <x:is>
          <x:t xml:space="preserve">0</x:t>
        </x:is>
      </x:c>
      <x:c r="G252" s="2" t="inlineStr">
        <x:is>
          <x:t xml:space="preserve">10</x:t>
        </x:is>
      </x:c>
      <x:c r="H252" s="2" t="inlineStr">
        <x:is>
          <x:t xml:space="preserve">11</x:t>
        </x:is>
      </x:c>
      <x:c r="I252" s="2" t="inlineStr">
        <x:is>
          <x:t xml:space="preserve">3</x:t>
        </x:is>
      </x:c>
      <x:c r="J252" s="2" t="inlineStr">
        <x:is>
          <x:t xml:space="preserve">20 ft., Swim 20 ft.</x:t>
        </x:is>
      </x:c>
      <x:c r="K252" s="2" t="inlineStr">
        <x:is>
          <x:t xml:space="preserve">2</x:t>
        </x:is>
      </x:c>
      <x:c r="L252" s="2" t="inlineStr">
        <x:is>
          <x:t xml:space="preserve">9</x:t>
        </x:is>
      </x:c>
      <x:c r="M252" s="2" t="n"/>
      <x:c r="N252" s="2" t="inlineStr">
        <x:is>
          <x:t xml:space="preserve">2</x:t>
        </x:is>
      </x:c>
      <x:c r="O252" s="2" t="inlineStr">
        <x:is>
          <x:t xml:space="preserve">0</x:t>
        </x:is>
      </x:c>
      <x:c r="P252" s="2" t="inlineStr">
        <x:is>
          <x:t xml:space="preserve">6</x:t>
        </x:is>
      </x:c>
      <x:c r="Q252" s="2" t="inlineStr">
        <x:is>
          <x:t xml:space="preserve">11</x:t>
        </x:is>
      </x:c>
      <x:c r="R252" s="2" t="inlineStr">
        <x:is>
          <x:t xml:space="preserve">12</x:t>
        </x:is>
      </x:c>
      <x:c r="S252" s="2" t="inlineStr">
        <x:is>
          <x:t xml:space="preserve">1</x:t>
        </x:is>
      </x:c>
      <x:c r="T252" s="2" t="inlineStr">
        <x:is>
          <x:t xml:space="preserve">8</x:t>
        </x:is>
      </x:c>
      <x:c r="U252" s="2" t="inlineStr">
        <x:is>
          <x:t xml:space="preserve">2</x:t>
        </x:is>
      </x:c>
      <x:c r="V252" s="2" t="n"/>
      <x:c r="W252" s="2" t="inlineStr">
        <x:is>
          <x:t xml:space="preserve">Stealth +2</x:t>
        </x:is>
      </x:c>
      <x:c r="X252" s="2" t="inlineStr">
        <x:is>
          <x:t xml:space="preserve">Blindsight 30 ft.; Passive Perception 9</x:t>
        </x:is>
      </x:c>
      <x:c r="Y252" s="2" t="inlineStr">
        <x:is>
          <x:t xml:space="preserve">None</x:t>
        </x:is>
      </x:c>
      <x:c r="Z252" s="2" t="inlineStr">
        <x:is>
          <x:t xml:space="preserve">Amphibious. The crab can breathe air and water.</x:t>
        </x:is>
      </x:c>
      <x:c r="AA252" s="2" t="inlineStr">
        <x:is>
          <x:t xml:space="preserve">Claw. Melee Attack Roll: +2, reach 5 ft. Hit: 1 Blud- geoning damage.</x:t>
        </x:is>
      </x:c>
      <x:c r="AB252" s="2" t="n"/>
      <x:c r="AC252" s="2" t="n"/>
      <x:c r="AD252" s="2" t="n"/>
      <x:c r="AE252" s="2" t="n"/>
      <x:c r="AF252" s="2" t="inlineStr">
        <x:is>
          <x:t xml:space="preserve">Imported from SRD 5.2.1 p. 347 Index of Stat Blocks</x:t>
        </x:is>
      </x:c>
      <x:c r="AG252" s="2" t="inlineStr">
        <x:is>
          <x:t xml:space="preserve">https://www.dndbeyond.com/srd</x:t>
        </x:is>
      </x:c>
    </x:row>
    <x:row r="253" ht="18" customHeight="1">
      <x:c r="A253" s="2" t="inlineStr">
        <x:is>
          <x:t xml:space="preserve">Crocodile</x:t>
        </x:is>
      </x:c>
      <x:c r="B253" s="2" t="inlineStr">
        <x:is>
          <x:t xml:space="preserve">SRD 5.2.1</x:t>
        </x:is>
      </x:c>
      <x:c r="C253" s="2" t="inlineStr">
        <x:is>
          <x:t xml:space="preserve">Beast</x:t>
        </x:is>
      </x:c>
      <x:c r="D253" s="2" t="inlineStr">
        <x:is>
          <x:t xml:space="preserve">Large</x:t>
        </x:is>
      </x:c>
      <x:c r="E253" s="2" t="inlineStr">
        <x:is>
          <x:t xml:space="preserve">Unaligned</x:t>
        </x:is>
      </x:c>
      <x:c r="F253" s="2" t="inlineStr">
        <x:is>
          <x:t xml:space="preserve">1/2</x:t>
        </x:is>
      </x:c>
      <x:c r="G253" s="2" t="inlineStr">
        <x:is>
          <x:t xml:space="preserve">100</x:t>
        </x:is>
      </x:c>
      <x:c r="H253" s="2" t="inlineStr">
        <x:is>
          <x:t xml:space="preserve">12</x:t>
        </x:is>
      </x:c>
      <x:c r="I253" s="2" t="inlineStr">
        <x:is>
          <x:t xml:space="preserve">13</x:t>
        </x:is>
      </x:c>
      <x:c r="J253" s="2" t="inlineStr">
        <x:is>
          <x:t xml:space="preserve">20 ft., Swim 30 ft.</x:t>
        </x:is>
      </x:c>
      <x:c r="K253" s="2" t="inlineStr">
        <x:is>
          <x:t xml:space="preserve">2</x:t>
        </x:is>
      </x:c>
      <x:c r="L253" s="2" t="inlineStr">
        <x:is>
          <x:t xml:space="preserve">10</x:t>
        </x:is>
      </x:c>
      <x:c r="M253" s="2" t="n"/>
      <x:c r="N253" s="2" t="inlineStr">
        <x:is>
          <x:t xml:space="preserve">4</x:t>
        </x:is>
      </x:c>
      <x:c r="O253" s="2" t="inlineStr">
        <x:is>
          <x:t xml:space="preserve">0</x:t>
        </x:is>
      </x:c>
      <x:c r="P253" s="2" t="inlineStr">
        <x:is>
          <x:t xml:space="preserve">15</x:t>
        </x:is>
      </x:c>
      <x:c r="Q253" s="2" t="inlineStr">
        <x:is>
          <x:t xml:space="preserve">10</x:t>
        </x:is>
      </x:c>
      <x:c r="R253" s="2" t="inlineStr">
        <x:is>
          <x:t xml:space="preserve">13</x:t>
        </x:is>
      </x:c>
      <x:c r="S253" s="2" t="inlineStr">
        <x:is>
          <x:t xml:space="preserve">2</x:t>
        </x:is>
      </x:c>
      <x:c r="T253" s="2" t="inlineStr">
        <x:is>
          <x:t xml:space="preserve">10</x:t>
        </x:is>
      </x:c>
      <x:c r="U253" s="2" t="inlineStr">
        <x:is>
          <x:t xml:space="preserve">5</x:t>
        </x:is>
      </x:c>
      <x:c r="V253" s="2" t="inlineStr">
        <x:is>
          <x:t xml:space="preserve">CON +3</x:t>
        </x:is>
      </x:c>
      <x:c r="W253" s="2" t="inlineStr">
        <x:is>
          <x:t xml:space="preserve">Stealth +2</x:t>
        </x:is>
      </x:c>
      <x:c r="X253" s="2" t="inlineStr">
        <x:is>
          <x:t xml:space="preserve">Passive Perception 10</x:t>
        </x:is>
      </x:c>
      <x:c r="Y253" s="2" t="inlineStr">
        <x:is>
          <x:t xml:space="preserve">None</x:t>
        </x:is>
      </x:c>
      <x:c r="Z253" s="2" t="inlineStr">
        <x:is>
          <x:t xml:space="preserve">Hold Breath. The crocodile can hold its breath for 1 hour.</x:t>
        </x:is>
      </x:c>
      <x:c r="AA253" s="2" t="inlineStr">
        <x:is>
          <x:t xml:space="preserve">Bite. Melee Attack Roll: +4, reach 5 ft. Hit: 6 (1d8 + 2) Piercing damage. If the target is a Medium or smaller creature, it has the Grappled condition (escape DC 12). While Grappled, the target has the Restrained condition.</x:t>
        </x:is>
      </x:c>
      <x:c r="AB253" s="2" t="n"/>
      <x:c r="AC253" s="2" t="n"/>
      <x:c r="AD253" s="2" t="n"/>
      <x:c r="AE253" s="2" t="n"/>
      <x:c r="AF253" s="2" t="inlineStr">
        <x:is>
          <x:t xml:space="preserve">Imported from SRD 5.2.1 p. 347 Index of Stat Blocks</x:t>
        </x:is>
      </x:c>
      <x:c r="AG253" s="2" t="inlineStr">
        <x:is>
          <x:t xml:space="preserve">https://www.dndbeyond.com/srd</x:t>
        </x:is>
      </x:c>
    </x:row>
    <x:row r="254" ht="18" customHeight="1">
      <x:c r="A254" s="2" t="inlineStr">
        <x:is>
          <x:t xml:space="preserve">Deer</x:t>
        </x:is>
      </x:c>
      <x:c r="B254" s="2" t="inlineStr">
        <x:is>
          <x:t xml:space="preserve">SRD 5.2.1</x:t>
        </x:is>
      </x:c>
      <x:c r="C254" s="2" t="inlineStr">
        <x:is>
          <x:t xml:space="preserve">Beast</x:t>
        </x:is>
      </x:c>
      <x:c r="D254" s="2" t="inlineStr">
        <x:is>
          <x:t xml:space="preserve">Medium</x:t>
        </x:is>
      </x:c>
      <x:c r="E254" s="2" t="inlineStr">
        <x:is>
          <x:t xml:space="preserve">Unaligned</x:t>
        </x:is>
      </x:c>
      <x:c r="F254" s="2" t="inlineStr">
        <x:is>
          <x:t xml:space="preserve">0</x:t>
        </x:is>
      </x:c>
      <x:c r="G254" s="2" t="inlineStr">
        <x:is>
          <x:t xml:space="preserve">10</x:t>
        </x:is>
      </x:c>
      <x:c r="H254" s="2" t="inlineStr">
        <x:is>
          <x:t xml:space="preserve">13</x:t>
        </x:is>
      </x:c>
      <x:c r="I254" s="2" t="inlineStr">
        <x:is>
          <x:t xml:space="preserve">4</x:t>
        </x:is>
      </x:c>
      <x:c r="J254" s="2" t="inlineStr">
        <x:is>
          <x:t xml:space="preserve">50 ft.</x:t>
        </x:is>
      </x:c>
      <x:c r="K254" s="2" t="inlineStr">
        <x:is>
          <x:t xml:space="preserve">2</x:t>
        </x:is>
      </x:c>
      <x:c r="L254" s="2" t="inlineStr">
        <x:is>
          <x:t xml:space="preserve">14</x:t>
        </x:is>
      </x:c>
      <x:c r="M254" s="2" t="n"/>
      <x:c r="N254" s="2" t="inlineStr">
        <x:is>
          <x:t xml:space="preserve">2</x:t>
        </x:is>
      </x:c>
      <x:c r="O254" s="2" t="inlineStr">
        <x:is>
          <x:t xml:space="preserve">3</x:t>
        </x:is>
      </x:c>
      <x:c r="P254" s="2" t="inlineStr">
        <x:is>
          <x:t xml:space="preserve">11</x:t>
        </x:is>
      </x:c>
      <x:c r="Q254" s="2" t="inlineStr">
        <x:is>
          <x:t xml:space="preserve">16</x:t>
        </x:is>
      </x:c>
      <x:c r="R254" s="2" t="inlineStr">
        <x:is>
          <x:t xml:space="preserve">11</x:t>
        </x:is>
      </x:c>
      <x:c r="S254" s="2" t="inlineStr">
        <x:is>
          <x:t xml:space="preserve">2</x:t>
        </x:is>
      </x:c>
      <x:c r="T254" s="2" t="inlineStr">
        <x:is>
          <x:t xml:space="preserve">14</x:t>
        </x:is>
      </x:c>
      <x:c r="U254" s="2" t="inlineStr">
        <x:is>
          <x:t xml:space="preserve">5</x:t>
        </x:is>
      </x:c>
      <x:c r="V254" s="2" t="n"/>
      <x:c r="W254" s="2" t="inlineStr">
        <x:is>
          <x:t xml:space="preserve">Perception +4</x:t>
        </x:is>
      </x:c>
      <x:c r="X254" s="2" t="inlineStr">
        <x:is>
          <x:t xml:space="preserve">Darkvision 60 ft.; Passive Perception 14</x:t>
        </x:is>
      </x:c>
      <x:c r="Y254" s="2" t="inlineStr">
        <x:is>
          <x:t xml:space="preserve">None</x:t>
        </x:is>
      </x:c>
      <x:c r="Z254" s="2" t="inlineStr">
        <x:is>
          <x:t xml:space="preserve">Agile. The deer doesn’t provoke an Opportunity Attack when it moves out of an enemy’s reach.</x:t>
        </x:is>
      </x:c>
      <x:c r="AA254" s="2" t="inlineStr">
        <x:is>
          <x:t xml:space="preserve">Ram. Melee Attack Roll: +2, reach 5 ft. Hit: 2 (1d4) Bludgeoning damage.</x:t>
        </x:is>
      </x:c>
      <x:c r="AB254" s="2" t="n"/>
      <x:c r="AC254" s="2" t="n"/>
      <x:c r="AD254" s="2" t="n"/>
      <x:c r="AE254" s="2" t="n"/>
      <x:c r="AF254" s="2" t="inlineStr">
        <x:is>
          <x:t xml:space="preserve">Imported from SRD 5.2.1 p. 347 Index of Stat Blocks</x:t>
        </x:is>
      </x:c>
      <x:c r="AG254" s="2" t="inlineStr">
        <x:is>
          <x:t xml:space="preserve">https://www.dndbeyond.com/srd</x:t>
        </x:is>
      </x:c>
    </x:row>
    <x:row r="255" ht="18" customHeight="1">
      <x:c r="A255" s="2" t="inlineStr">
        <x:is>
          <x:t xml:space="preserve">Dire Wolf</x:t>
        </x:is>
      </x:c>
      <x:c r="B255" s="2" t="inlineStr">
        <x:is>
          <x:t xml:space="preserve">SRD 5.2.1</x:t>
        </x:is>
      </x:c>
      <x:c r="C255" s="2" t="inlineStr">
        <x:is>
          <x:t xml:space="preserve">Beast</x:t>
        </x:is>
      </x:c>
      <x:c r="D255" s="2" t="inlineStr">
        <x:is>
          <x:t xml:space="preserve">Large</x:t>
        </x:is>
      </x:c>
      <x:c r="E255" s="2" t="inlineStr">
        <x:is>
          <x:t xml:space="preserve">Unaligned</x:t>
        </x:is>
      </x:c>
      <x:c r="F255" s="2" t="inlineStr">
        <x:is>
          <x:t xml:space="preserve">1</x:t>
        </x:is>
      </x:c>
      <x:c r="G255" s="2" t="inlineStr">
        <x:is>
          <x:t xml:space="preserve">200</x:t>
        </x:is>
      </x:c>
      <x:c r="H255" s="2" t="inlineStr">
        <x:is>
          <x:t xml:space="preserve">14</x:t>
        </x:is>
      </x:c>
      <x:c r="I255" s="2" t="inlineStr">
        <x:is>
          <x:t xml:space="preserve">22</x:t>
        </x:is>
      </x:c>
      <x:c r="J255" s="2" t="inlineStr">
        <x:is>
          <x:t xml:space="preserve">50 ft.</x:t>
        </x:is>
      </x:c>
      <x:c r="K255" s="2" t="inlineStr">
        <x:is>
          <x:t xml:space="preserve">2</x:t>
        </x:is>
      </x:c>
      <x:c r="L255" s="2" t="inlineStr">
        <x:is>
          <x:t xml:space="preserve">15</x:t>
        </x:is>
      </x:c>
      <x:c r="M255" s="2" t="n"/>
      <x:c r="N255" s="2" t="inlineStr">
        <x:is>
          <x:t xml:space="preserve">5</x:t>
        </x:is>
      </x:c>
      <x:c r="O255" s="2" t="inlineStr">
        <x:is>
          <x:t xml:space="preserve">2</x:t>
        </x:is>
      </x:c>
      <x:c r="P255" s="2" t="inlineStr">
        <x:is>
          <x:t xml:space="preserve">17</x:t>
        </x:is>
      </x:c>
      <x:c r="Q255" s="2" t="inlineStr">
        <x:is>
          <x:t xml:space="preserve">15</x:t>
        </x:is>
      </x:c>
      <x:c r="R255" s="2" t="inlineStr">
        <x:is>
          <x:t xml:space="preserve">15</x:t>
        </x:is>
      </x:c>
      <x:c r="S255" s="2" t="inlineStr">
        <x:is>
          <x:t xml:space="preserve">3</x:t>
        </x:is>
      </x:c>
      <x:c r="T255" s="2" t="inlineStr">
        <x:is>
          <x:t xml:space="preserve">12</x:t>
        </x:is>
      </x:c>
      <x:c r="U255" s="2" t="inlineStr">
        <x:is>
          <x:t xml:space="preserve">7</x:t>
        </x:is>
      </x:c>
      <x:c r="V255" s="2" t="n"/>
      <x:c r="W255" s="2" t="inlineStr">
        <x:is>
          <x:t xml:space="preserve">Perception +5, Stealth +4</x:t>
        </x:is>
      </x:c>
      <x:c r="X255" s="2" t="inlineStr">
        <x:is>
          <x:t xml:space="preserve">Darkvision 60 ft.; Passive Perception 15</x:t>
        </x:is>
      </x:c>
      <x:c r="Y255" s="2" t="inlineStr">
        <x:is>
          <x:t xml:space="preserve">None</x:t>
        </x:is>
      </x:c>
      <x:c r="Z255" s="2" t="inlineStr">
        <x:is>
          <x:t xml:space="preserve">Pack Tactics. The wolf has Advantage on an attack roll against a creature if at least one of the wolf’s allies is within 5 feet of the creature and the ally doesn’t have the Incapacitated condition.</x:t>
        </x:is>
      </x:c>
      <x:c r="AA255" s="2" t="inlineStr">
        <x:is>
          <x:t xml:space="preserve">Bite. Melee Attack Roll: +5, reach 5 ft. Hit: 8 (1d10 + 3) Piercing damage. If the target is a Large or smaller crea- ture, it has the Prone condition.</x:t>
        </x:is>
      </x:c>
      <x:c r="AB255" s="2" t="n"/>
      <x:c r="AC255" s="2" t="n"/>
      <x:c r="AD255" s="2" t="n"/>
      <x:c r="AE255" s="2" t="n"/>
      <x:c r="AF255" s="2" t="inlineStr">
        <x:is>
          <x:t xml:space="preserve">Imported from SRD 5.2.1 p. 347 Index of Stat Blocks</x:t>
        </x:is>
      </x:c>
      <x:c r="AG255" s="2" t="inlineStr">
        <x:is>
          <x:t xml:space="preserve">https://www.dndbeyond.com/srd</x:t>
        </x:is>
      </x:c>
    </x:row>
    <x:row r="256" ht="18" customHeight="1">
      <x:c r="A256" s="2" t="inlineStr">
        <x:is>
          <x:t xml:space="preserve">Draft Horse</x:t>
        </x:is>
      </x:c>
      <x:c r="B256" s="2" t="inlineStr">
        <x:is>
          <x:t xml:space="preserve">SRD 5.2.1</x:t>
        </x:is>
      </x:c>
      <x:c r="C256" s="2" t="inlineStr">
        <x:is>
          <x:t xml:space="preserve">Beast</x:t>
        </x:is>
      </x:c>
      <x:c r="D256" s="2" t="inlineStr">
        <x:is>
          <x:t xml:space="preserve">Large</x:t>
        </x:is>
      </x:c>
      <x:c r="E256" s="2" t="inlineStr">
        <x:is>
          <x:t xml:space="preserve">Unaligned</x:t>
        </x:is>
      </x:c>
      <x:c r="F256" s="2" t="inlineStr">
        <x:is>
          <x:t xml:space="preserve">1/4</x:t>
        </x:is>
      </x:c>
      <x:c r="G256" s="2" t="inlineStr">
        <x:is>
          <x:t xml:space="preserve">50</x:t>
        </x:is>
      </x:c>
      <x:c r="H256" s="2" t="inlineStr">
        <x:is>
          <x:t xml:space="preserve">10</x:t>
        </x:is>
      </x:c>
      <x:c r="I256" s="2" t="inlineStr">
        <x:is>
          <x:t xml:space="preserve">15</x:t>
        </x:is>
      </x:c>
      <x:c r="J256" s="2" t="inlineStr">
        <x:is>
          <x:t xml:space="preserve">40 ft.</x:t>
        </x:is>
      </x:c>
      <x:c r="K256" s="2" t="inlineStr">
        <x:is>
          <x:t xml:space="preserve">2</x:t>
        </x:is>
      </x:c>
      <x:c r="L256" s="2" t="inlineStr">
        <x:is>
          <x:t xml:space="preserve">10</x:t>
        </x:is>
      </x:c>
      <x:c r="M256" s="2" t="n"/>
      <x:c r="N256" s="2" t="inlineStr">
        <x:is>
          <x:t xml:space="preserve">6</x:t>
        </x:is>
      </x:c>
      <x:c r="O256" s="2" t="inlineStr">
        <x:is>
          <x:t xml:space="preserve">0</x:t>
        </x:is>
      </x:c>
      <x:c r="P256" s="2" t="inlineStr">
        <x:is>
          <x:t xml:space="preserve">18</x:t>
        </x:is>
      </x:c>
      <x:c r="Q256" s="2" t="inlineStr">
        <x:is>
          <x:t xml:space="preserve">10</x:t>
        </x:is>
      </x:c>
      <x:c r="R256" s="2" t="inlineStr">
        <x:is>
          <x:t xml:space="preserve">15</x:t>
        </x:is>
      </x:c>
      <x:c r="S256" s="2" t="inlineStr">
        <x:is>
          <x:t xml:space="preserve">2</x:t>
        </x:is>
      </x:c>
      <x:c r="T256" s="2" t="inlineStr">
        <x:is>
          <x:t xml:space="preserve">11</x:t>
        </x:is>
      </x:c>
      <x:c r="U256" s="2" t="inlineStr">
        <x:is>
          <x:t xml:space="preserve">7</x:t>
        </x:is>
      </x:c>
      <x:c r="V256" s="2" t="n"/>
      <x:c r="W256" s="2" t="n"/>
      <x:c r="X256" s="2" t="inlineStr">
        <x:is>
          <x:t xml:space="preserve">Passive Perception 10</x:t>
        </x:is>
      </x:c>
      <x:c r="Y256" s="2" t="inlineStr">
        <x:is>
          <x:t xml:space="preserve">None</x:t>
        </x:is>
      </x:c>
      <x:c r="Z256" s="2" t="n"/>
      <x:c r="AA256" s="2" t="inlineStr">
        <x:is>
          <x:t xml:space="preserve">Hooves. Melee Attack Roll: +6, reach 5 ft. Hit: 6 (1d4 + 4) Bludgeoning damage.</x:t>
        </x:is>
      </x:c>
      <x:c r="AB256" s="2" t="n"/>
      <x:c r="AC256" s="2" t="n"/>
      <x:c r="AD256" s="2" t="n"/>
      <x:c r="AE256" s="2" t="n"/>
      <x:c r="AF256" s="2" t="inlineStr">
        <x:is>
          <x:t xml:space="preserve">Imported from SRD 5.2.1 p. 347 Index of Stat Blocks</x:t>
        </x:is>
      </x:c>
      <x:c r="AG256" s="2" t="inlineStr">
        <x:is>
          <x:t xml:space="preserve">https://www.dndbeyond.com/srd</x:t>
        </x:is>
      </x:c>
    </x:row>
    <x:row r="257" ht="18" customHeight="1">
      <x:c r="A257" s="2" t="inlineStr">
        <x:is>
          <x:t xml:space="preserve">Eagle</x:t>
        </x:is>
      </x:c>
      <x:c r="B257" s="2" t="inlineStr">
        <x:is>
          <x:t xml:space="preserve">SRD 5.2.1</x:t>
        </x:is>
      </x:c>
      <x:c r="C257" s="2" t="inlineStr">
        <x:is>
          <x:t xml:space="preserve">Beast</x:t>
        </x:is>
      </x:c>
      <x:c r="D257" s="2" t="inlineStr">
        <x:is>
          <x:t xml:space="preserve">Small</x:t>
        </x:is>
      </x:c>
      <x:c r="E257" s="2" t="inlineStr">
        <x:is>
          <x:t xml:space="preserve">Unaligned</x:t>
        </x:is>
      </x:c>
      <x:c r="F257" s="2" t="inlineStr">
        <x:is>
          <x:t xml:space="preserve">0</x:t>
        </x:is>
      </x:c>
      <x:c r="G257" s="2" t="inlineStr">
        <x:is>
          <x:t xml:space="preserve">10</x:t>
        </x:is>
      </x:c>
      <x:c r="H257" s="2" t="inlineStr">
        <x:is>
          <x:t xml:space="preserve">12</x:t>
        </x:is>
      </x:c>
      <x:c r="I257" s="2" t="inlineStr">
        <x:is>
          <x:t xml:space="preserve">4</x:t>
        </x:is>
      </x:c>
      <x:c r="J257" s="2" t="inlineStr">
        <x:is>
          <x:t xml:space="preserve">10 ft., Fly 60 ft.</x:t>
        </x:is>
      </x:c>
      <x:c r="K257" s="2" t="inlineStr">
        <x:is>
          <x:t xml:space="preserve">2</x:t>
        </x:is>
      </x:c>
      <x:c r="L257" s="2" t="inlineStr">
        <x:is>
          <x:t xml:space="preserve">16</x:t>
        </x:is>
      </x:c>
      <x:c r="M257" s="2" t="n"/>
      <x:c r="N257" s="2" t="inlineStr">
        <x:is>
          <x:t xml:space="preserve">4</x:t>
        </x:is>
      </x:c>
      <x:c r="O257" s="2" t="inlineStr">
        <x:is>
          <x:t xml:space="preserve">2</x:t>
        </x:is>
      </x:c>
      <x:c r="P257" s="2" t="inlineStr">
        <x:is>
          <x:t xml:space="preserve">6</x:t>
        </x:is>
      </x:c>
      <x:c r="Q257" s="2" t="inlineStr">
        <x:is>
          <x:t xml:space="preserve">15</x:t>
        </x:is>
      </x:c>
      <x:c r="R257" s="2" t="inlineStr">
        <x:is>
          <x:t xml:space="preserve">12</x:t>
        </x:is>
      </x:c>
      <x:c r="S257" s="2" t="inlineStr">
        <x:is>
          <x:t xml:space="preserve">2</x:t>
        </x:is>
      </x:c>
      <x:c r="T257" s="2" t="inlineStr">
        <x:is>
          <x:t xml:space="preserve">14</x:t>
        </x:is>
      </x:c>
      <x:c r="U257" s="2" t="inlineStr">
        <x:is>
          <x:t xml:space="preserve">7</x:t>
        </x:is>
      </x:c>
      <x:c r="V257" s="2" t="n"/>
      <x:c r="W257" s="2" t="inlineStr">
        <x:is>
          <x:t xml:space="preserve">Perception +6</x:t>
        </x:is>
      </x:c>
      <x:c r="X257" s="2" t="inlineStr">
        <x:is>
          <x:t xml:space="preserve">Passive Perception 16</x:t>
        </x:is>
      </x:c>
      <x:c r="Y257" s="2" t="inlineStr">
        <x:is>
          <x:t xml:space="preserve">None</x:t>
        </x:is>
      </x:c>
      <x:c r="Z257" s="2" t="n"/>
      <x:c r="AA257" s="2" t="inlineStr">
        <x:is>
          <x:t xml:space="preserve">Talons. Melee Attack Roll: +4, reach 5 feet. Hit: 4 (1d4 + 2) Slashing damage.</x:t>
        </x:is>
      </x:c>
      <x:c r="AB257" s="2" t="n"/>
      <x:c r="AC257" s="2" t="n"/>
      <x:c r="AD257" s="2" t="n"/>
      <x:c r="AE257" s="2" t="n"/>
      <x:c r="AF257" s="2" t="inlineStr">
        <x:is>
          <x:t xml:space="preserve">Imported from SRD 5.2.1 p. 348 Index of Stat Blocks</x:t>
        </x:is>
      </x:c>
      <x:c r="AG257" s="2" t="inlineStr">
        <x:is>
          <x:t xml:space="preserve">https://www.dndbeyond.com/srd</x:t>
        </x:is>
      </x:c>
    </x:row>
    <x:row r="258" ht="18" customHeight="1">
      <x:c r="A258" s="2" t="inlineStr">
        <x:is>
          <x:t xml:space="preserve">Elephant</x:t>
        </x:is>
      </x:c>
      <x:c r="B258" s="2" t="inlineStr">
        <x:is>
          <x:t xml:space="preserve">SRD 5.2.1</x:t>
        </x:is>
      </x:c>
      <x:c r="C258" s="2" t="inlineStr">
        <x:is>
          <x:t xml:space="preserve">Beast</x:t>
        </x:is>
      </x:c>
      <x:c r="D258" s="2" t="inlineStr">
        <x:is>
          <x:t xml:space="preserve">Huge</x:t>
        </x:is>
      </x:c>
      <x:c r="E258" s="2" t="inlineStr">
        <x:is>
          <x:t xml:space="preserve">Unaligned</x:t>
        </x:is>
      </x:c>
      <x:c r="F258" s="2" t="inlineStr">
        <x:is>
          <x:t xml:space="preserve">4</x:t>
        </x:is>
      </x:c>
      <x:c r="G258" s="2" t="inlineStr">
        <x:is>
          <x:t xml:space="preserve">1100</x:t>
        </x:is>
      </x:c>
      <x:c r="H258" s="2" t="inlineStr">
        <x:is>
          <x:t xml:space="preserve">12</x:t>
        </x:is>
      </x:c>
      <x:c r="I258" s="2" t="inlineStr">
        <x:is>
          <x:t xml:space="preserve">76</x:t>
        </x:is>
      </x:c>
      <x:c r="J258" s="2" t="inlineStr">
        <x:is>
          <x:t xml:space="preserve">40 ft.</x:t>
        </x:is>
      </x:c>
      <x:c r="K258" s="2" t="inlineStr">
        <x:is>
          <x:t xml:space="preserve">2</x:t>
        </x:is>
      </x:c>
      <x:c r="L258" s="2" t="inlineStr">
        <x:is>
          <x:t xml:space="preserve">10</x:t>
        </x:is>
      </x:c>
      <x:c r="M258" s="2" t="inlineStr">
        <x:is>
          <x:t xml:space="preserve">16</x:t>
        </x:is>
      </x:c>
      <x:c r="N258" s="2" t="inlineStr">
        <x:is>
          <x:t xml:space="preserve">8</x:t>
        </x:is>
      </x:c>
      <x:c r="O258" s="2" t="inlineStr">
        <x:is>
          <x:t xml:space="preserve">-1</x:t>
        </x:is>
      </x:c>
      <x:c r="P258" s="2" t="inlineStr">
        <x:is>
          <x:t xml:space="preserve">22</x:t>
        </x:is>
      </x:c>
      <x:c r="Q258" s="2" t="inlineStr">
        <x:is>
          <x:t xml:space="preserve">9</x:t>
        </x:is>
      </x:c>
      <x:c r="R258" s="2" t="inlineStr">
        <x:is>
          <x:t xml:space="preserve">17</x:t>
        </x:is>
      </x:c>
      <x:c r="S258" s="2" t="inlineStr">
        <x:is>
          <x:t xml:space="preserve">3</x:t>
        </x:is>
      </x:c>
      <x:c r="T258" s="2" t="inlineStr">
        <x:is>
          <x:t xml:space="preserve">11</x:t>
        </x:is>
      </x:c>
      <x:c r="U258" s="2" t="inlineStr">
        <x:is>
          <x:t xml:space="preserve">6</x:t>
        </x:is>
      </x:c>
      <x:c r="V258" s="2" t="n"/>
      <x:c r="W258" s="2" t="n"/>
      <x:c r="X258" s="2" t="inlineStr">
        <x:is>
          <x:t xml:space="preserve">Passive Perception 10</x:t>
        </x:is>
      </x:c>
      <x:c r="Y258" s="2" t="inlineStr">
        <x:is>
          <x:t xml:space="preserve">None</x:t>
        </x:is>
      </x:c>
      <x:c r="Z258" s="2" t="n"/>
      <x:c r="AA258" s="2" t="inlineStr">
        <x:is>
          <x:t xml:space="preserve">Multiattack. The elephant makes two Gore attacks. Gore. Melee Attack Roll: +8, reach 5 ft. Hit: 15 (2d8 + 6) Piercing damage. If the target is a Huge or smaller creature and the elephant moved 20+ feet straight to- ward it immediately before the hit, the target has the Prone condition.</x:t>
        </x:is>
      </x:c>
      <x:c r="AB258" s="2" t="inlineStr">
        <x:is>
          <x:t xml:space="preserve">Trample. Dexterity Saving Throw: DC 16, one creature within 5 feet that has the Prone condition. Failure: 17 (2d10 + 6) Bludgeoning damage. Success: Half damage.</x:t>
        </x:is>
      </x:c>
      <x:c r="AC258" s="2" t="n"/>
      <x:c r="AD258" s="2" t="n"/>
      <x:c r="AE258" s="2" t="n"/>
      <x:c r="AF258" s="2" t="inlineStr">
        <x:is>
          <x:t xml:space="preserve">Imported from SRD 5.2.1 p. 348 Index of Stat Blocks</x:t>
        </x:is>
      </x:c>
      <x:c r="AG258" s="2" t="inlineStr">
        <x:is>
          <x:t xml:space="preserve">https://www.dndbeyond.com/srd</x:t>
        </x:is>
      </x:c>
    </x:row>
    <x:row r="259" ht="18" customHeight="1">
      <x:c r="A259" s="2" t="inlineStr">
        <x:is>
          <x:t xml:space="preserve">Elk</x:t>
        </x:is>
      </x:c>
      <x:c r="B259" s="2" t="inlineStr">
        <x:is>
          <x:t xml:space="preserve">SRD 5.2.1</x:t>
        </x:is>
      </x:c>
      <x:c r="C259" s="2" t="inlineStr">
        <x:is>
          <x:t xml:space="preserve">Beast</x:t>
        </x:is>
      </x:c>
      <x:c r="D259" s="2" t="inlineStr">
        <x:is>
          <x:t xml:space="preserve">Large</x:t>
        </x:is>
      </x:c>
      <x:c r="E259" s="2" t="inlineStr">
        <x:is>
          <x:t xml:space="preserve">Unaligned</x:t>
        </x:is>
      </x:c>
      <x:c r="F259" s="2" t="inlineStr">
        <x:is>
          <x:t xml:space="preserve">1/4</x:t>
        </x:is>
      </x:c>
      <x:c r="G259" s="2" t="inlineStr">
        <x:is>
          <x:t xml:space="preserve">50</x:t>
        </x:is>
      </x:c>
      <x:c r="H259" s="2" t="inlineStr">
        <x:is>
          <x:t xml:space="preserve">10</x:t>
        </x:is>
      </x:c>
      <x:c r="I259" s="2" t="inlineStr">
        <x:is>
          <x:t xml:space="preserve">11</x:t>
        </x:is>
      </x:c>
      <x:c r="J259" s="2" t="inlineStr">
        <x:is>
          <x:t xml:space="preserve">50 ft.</x:t>
        </x:is>
      </x:c>
      <x:c r="K259" s="2" t="inlineStr">
        <x:is>
          <x:t xml:space="preserve">2</x:t>
        </x:is>
      </x:c>
      <x:c r="L259" s="2" t="inlineStr">
        <x:is>
          <x:t xml:space="preserve">12</x:t>
        </x:is>
      </x:c>
      <x:c r="M259" s="2" t="n"/>
      <x:c r="N259" s="2" t="inlineStr">
        <x:is>
          <x:t xml:space="preserve">5</x:t>
        </x:is>
      </x:c>
      <x:c r="O259" s="2" t="inlineStr">
        <x:is>
          <x:t xml:space="preserve">0</x:t>
        </x:is>
      </x:c>
      <x:c r="P259" s="2" t="inlineStr">
        <x:is>
          <x:t xml:space="preserve">16</x:t>
        </x:is>
      </x:c>
      <x:c r="Q259" s="2" t="inlineStr">
        <x:is>
          <x:t xml:space="preserve">10</x:t>
        </x:is>
      </x:c>
      <x:c r="R259" s="2" t="inlineStr">
        <x:is>
          <x:t xml:space="preserve">11</x:t>
        </x:is>
      </x:c>
      <x:c r="S259" s="2" t="inlineStr">
        <x:is>
          <x:t xml:space="preserve">2</x:t>
        </x:is>
      </x:c>
      <x:c r="T259" s="2" t="inlineStr">
        <x:is>
          <x:t xml:space="preserve">10</x:t>
        </x:is>
      </x:c>
      <x:c r="U259" s="2" t="inlineStr">
        <x:is>
          <x:t xml:space="preserve">6</x:t>
        </x:is>
      </x:c>
      <x:c r="V259" s="2" t="n"/>
      <x:c r="W259" s="2" t="inlineStr">
        <x:is>
          <x:t xml:space="preserve">Perception +2</x:t>
        </x:is>
      </x:c>
      <x:c r="X259" s="2" t="inlineStr">
        <x:is>
          <x:t xml:space="preserve">Darkvision 60 ft.; Passive Perception 12</x:t>
        </x:is>
      </x:c>
      <x:c r="Y259" s="2" t="inlineStr">
        <x:is>
          <x:t xml:space="preserve">None</x:t>
        </x:is>
      </x:c>
      <x:c r="Z259" s="2" t="n"/>
      <x:c r="AA259" s="2" t="inlineStr">
        <x:is>
          <x:t xml:space="preserve">Ram. Melee Attack Roll: +5, reach 5 ft. Hit: 6 (1d6 + 3) Bludgeoning damage. If the target is a Large or smaller creature and the elk moved 20+ feet straight toward it immediately before the hit, the target takes an extra 3 (1d6) Bludgeoning damage and has the Prone condition.</x:t>
        </x:is>
      </x:c>
      <x:c r="AB259" s="2" t="n"/>
      <x:c r="AC259" s="2" t="n"/>
      <x:c r="AD259" s="2" t="n"/>
      <x:c r="AE259" s="2" t="n"/>
      <x:c r="AF259" s="2" t="inlineStr">
        <x:is>
          <x:t xml:space="preserve">Imported from SRD 5.2.1 p. 348 Index of Stat Blocks</x:t>
        </x:is>
      </x:c>
      <x:c r="AG259" s="2" t="inlineStr">
        <x:is>
          <x:t xml:space="preserve">https://www.dndbeyond.com/srd</x:t>
        </x:is>
      </x:c>
    </x:row>
    <x:row r="260" ht="18" customHeight="1">
      <x:c r="A260" s="2" t="inlineStr">
        <x:is>
          <x:t xml:space="preserve">Flying Snake</x:t>
        </x:is>
      </x:c>
      <x:c r="B260" s="2" t="inlineStr">
        <x:is>
          <x:t xml:space="preserve">SRD 5.2.1</x:t>
        </x:is>
      </x:c>
      <x:c r="C260" s="2" t="inlineStr">
        <x:is>
          <x:t xml:space="preserve">Monstrosity</x:t>
        </x:is>
      </x:c>
      <x:c r="D260" s="2" t="inlineStr">
        <x:is>
          <x:t xml:space="preserve">Tiny</x:t>
        </x:is>
      </x:c>
      <x:c r="E260" s="2" t="inlineStr">
        <x:is>
          <x:t xml:space="preserve">Unaligned</x:t>
        </x:is>
      </x:c>
      <x:c r="F260" s="2" t="inlineStr">
        <x:is>
          <x:t xml:space="preserve">1/8</x:t>
        </x:is>
      </x:c>
      <x:c r="G260" s="2" t="inlineStr">
        <x:is>
          <x:t xml:space="preserve">25</x:t>
        </x:is>
      </x:c>
      <x:c r="H260" s="2" t="inlineStr">
        <x:is>
          <x:t xml:space="preserve">14</x:t>
        </x:is>
      </x:c>
      <x:c r="I260" s="2" t="inlineStr">
        <x:is>
          <x:t xml:space="preserve">5</x:t>
        </x:is>
      </x:c>
      <x:c r="J260" s="2" t="inlineStr">
        <x:is>
          <x:t xml:space="preserve">30 ft., Fly 60 ft., Swim 30 ft.</x:t>
        </x:is>
      </x:c>
      <x:c r="K260" s="2" t="inlineStr">
        <x:is>
          <x:t xml:space="preserve">2</x:t>
        </x:is>
      </x:c>
      <x:c r="L260" s="2" t="inlineStr">
        <x:is>
          <x:t xml:space="preserve">11</x:t>
        </x:is>
      </x:c>
      <x:c r="M260" s="2" t="n"/>
      <x:c r="N260" s="2" t="inlineStr">
        <x:is>
          <x:t xml:space="preserve">4</x:t>
        </x:is>
      </x:c>
      <x:c r="O260" s="2" t="inlineStr">
        <x:is>
          <x:t xml:space="preserve">2</x:t>
        </x:is>
      </x:c>
      <x:c r="P260" s="2" t="inlineStr">
        <x:is>
          <x:t xml:space="preserve">4</x:t>
        </x:is>
      </x:c>
      <x:c r="Q260" s="2" t="inlineStr">
        <x:is>
          <x:t xml:space="preserve">15</x:t>
        </x:is>
      </x:c>
      <x:c r="R260" s="2" t="inlineStr">
        <x:is>
          <x:t xml:space="preserve">11</x:t>
        </x:is>
      </x:c>
      <x:c r="S260" s="2" t="inlineStr">
        <x:is>
          <x:t xml:space="preserve">2</x:t>
        </x:is>
      </x:c>
      <x:c r="T260" s="2" t="inlineStr">
        <x:is>
          <x:t xml:space="preserve">12</x:t>
        </x:is>
      </x:c>
      <x:c r="U260" s="2" t="inlineStr">
        <x:is>
          <x:t xml:space="preserve">5</x:t>
        </x:is>
      </x:c>
      <x:c r="V260" s="2" t="n"/>
      <x:c r="W260" s="2" t="n"/>
      <x:c r="X260" s="2" t="inlineStr">
        <x:is>
          <x:t xml:space="preserve">Blindsight 10 ft.; Passive Perception 11</x:t>
        </x:is>
      </x:c>
      <x:c r="Y260" s="2" t="inlineStr">
        <x:is>
          <x:t xml:space="preserve">None</x:t>
        </x:is>
      </x:c>
      <x:c r="Z260" s="2" t="inlineStr">
        <x:is>
          <x:t xml:space="preserve">Flyby. The snake doesn’t provoke an Opportunity At- tack when it flies out of an enemy’s reach.</x:t>
        </x:is>
      </x:c>
      <x:c r="AA260" s="2" t="inlineStr">
        <x:is>
          <x:t xml:space="preserve">Bite. Melee Attack Roll: +4, reach 5 ft. Hit: 1 Piercing damage plus 5 (2d4) Poison damage.</x:t>
        </x:is>
      </x:c>
      <x:c r="AB260" s="2" t="n"/>
      <x:c r="AC260" s="2" t="n"/>
      <x:c r="AD260" s="2" t="n"/>
      <x:c r="AE260" s="2" t="n"/>
      <x:c r="AF260" s="2" t="inlineStr">
        <x:is>
          <x:t xml:space="preserve">Imported from SRD 5.2.1 p. 348 Index of Stat Blocks</x:t>
        </x:is>
      </x:c>
      <x:c r="AG260" s="2" t="inlineStr">
        <x:is>
          <x:t xml:space="preserve">https://www.dndbeyond.com/srd</x:t>
        </x:is>
      </x:c>
    </x:row>
    <x:row r="261" ht="18" customHeight="1">
      <x:c r="A261" s="2" t="inlineStr">
        <x:is>
          <x:t xml:space="preserve">Frog</x:t>
        </x:is>
      </x:c>
      <x:c r="B261" s="2" t="inlineStr">
        <x:is>
          <x:t xml:space="preserve">SRD 5.2.1</x:t>
        </x:is>
      </x:c>
      <x:c r="C261" s="2" t="inlineStr">
        <x:is>
          <x:t xml:space="preserve">Beast</x:t>
        </x:is>
      </x:c>
      <x:c r="D261" s="2" t="inlineStr">
        <x:is>
          <x:t xml:space="preserve">Tiny</x:t>
        </x:is>
      </x:c>
      <x:c r="E261" s="2" t="inlineStr">
        <x:is>
          <x:t xml:space="preserve">Unaligned</x:t>
        </x:is>
      </x:c>
      <x:c r="F261" s="2" t="inlineStr">
        <x:is>
          <x:t xml:space="preserve">0</x:t>
        </x:is>
      </x:c>
      <x:c r="G261" s="2" t="inlineStr">
        <x:is>
          <x:t xml:space="preserve">10</x:t>
        </x:is>
      </x:c>
      <x:c r="H261" s="2" t="inlineStr">
        <x:is>
          <x:t xml:space="preserve">11</x:t>
        </x:is>
      </x:c>
      <x:c r="I261" s="2" t="inlineStr">
        <x:is>
          <x:t xml:space="preserve">1</x:t>
        </x:is>
      </x:c>
      <x:c r="J261" s="2" t="inlineStr">
        <x:is>
          <x:t xml:space="preserve">20 ft., Swim 20 ft.</x:t>
        </x:is>
      </x:c>
      <x:c r="K261" s="2" t="inlineStr">
        <x:is>
          <x:t xml:space="preserve">2</x:t>
        </x:is>
      </x:c>
      <x:c r="L261" s="2" t="inlineStr">
        <x:is>
          <x:t xml:space="preserve">11</x:t>
        </x:is>
      </x:c>
      <x:c r="M261" s="2" t="n"/>
      <x:c r="N261" s="2" t="inlineStr">
        <x:is>
          <x:t xml:space="preserve">3</x:t>
        </x:is>
      </x:c>
      <x:c r="O261" s="2" t="inlineStr">
        <x:is>
          <x:t xml:space="preserve">1</x:t>
        </x:is>
      </x:c>
      <x:c r="P261" s="2" t="inlineStr">
        <x:is>
          <x:t xml:space="preserve">1</x:t>
        </x:is>
      </x:c>
      <x:c r="Q261" s="2" t="inlineStr">
        <x:is>
          <x:t xml:space="preserve">13</x:t>
        </x:is>
      </x:c>
      <x:c r="R261" s="2" t="inlineStr">
        <x:is>
          <x:t xml:space="preserve">8</x:t>
        </x:is>
      </x:c>
      <x:c r="S261" s="2" t="inlineStr">
        <x:is>
          <x:t xml:space="preserve">1</x:t>
        </x:is>
      </x:c>
      <x:c r="T261" s="2" t="inlineStr">
        <x:is>
          <x:t xml:space="preserve">8</x:t>
        </x:is>
      </x:c>
      <x:c r="U261" s="2" t="inlineStr">
        <x:is>
          <x:t xml:space="preserve">3</x:t>
        </x:is>
      </x:c>
      <x:c r="V261" s="2" t="n"/>
      <x:c r="W261" s="2" t="inlineStr">
        <x:is>
          <x:t xml:space="preserve">Perception +1, Stealth +3</x:t>
        </x:is>
      </x:c>
      <x:c r="X261" s="2" t="inlineStr">
        <x:is>
          <x:t xml:space="preserve">Darkvision 30 ft.; Passive Perception 11</x:t>
        </x:is>
      </x:c>
      <x:c r="Y261" s="2" t="inlineStr">
        <x:is>
          <x:t xml:space="preserve">None</x:t>
        </x:is>
      </x:c>
      <x:c r="Z261" s="2" t="inlineStr">
        <x:is>
          <x:t xml:space="preserve">Amphibious. The frog can breathe air and water. Standing Leap. The frog’s Long Jump is up to 10 feet and its High Jump is up to 5 feet with or without a run- ning start.</x:t>
        </x:is>
      </x:c>
      <x:c r="AA261" s="2" t="inlineStr">
        <x:is>
          <x:t xml:space="preserve">Bite. Melee Attack Roll: +3, reach 5 ft. Hit: 1 Piercing damage.</x:t>
        </x:is>
      </x:c>
      <x:c r="AB261" s="2" t="n"/>
      <x:c r="AC261" s="2" t="n"/>
      <x:c r="AD261" s="2" t="n"/>
      <x:c r="AE261" s="2" t="n"/>
      <x:c r="AF261" s="2" t="inlineStr">
        <x:is>
          <x:t xml:space="preserve">Imported from SRD 5.2.1 p. 348 Index of Stat Blocks</x:t>
        </x:is>
      </x:c>
      <x:c r="AG261" s="2" t="inlineStr">
        <x:is>
          <x:t xml:space="preserve">https://www.dndbeyond.com/srd</x:t>
        </x:is>
      </x:c>
    </x:row>
    <x:row r="262" ht="18" customHeight="1">
      <x:c r="A262" s="2" t="inlineStr">
        <x:is>
          <x:t xml:space="preserve">Giant Ape</x:t>
        </x:is>
      </x:c>
      <x:c r="B262" s="2" t="inlineStr">
        <x:is>
          <x:t xml:space="preserve">SRD 5.2.1</x:t>
        </x:is>
      </x:c>
      <x:c r="C262" s="2" t="inlineStr">
        <x:is>
          <x:t xml:space="preserve">Beast</x:t>
        </x:is>
      </x:c>
      <x:c r="D262" s="2" t="inlineStr">
        <x:is>
          <x:t xml:space="preserve">Huge</x:t>
        </x:is>
      </x:c>
      <x:c r="E262" s="2" t="inlineStr">
        <x:is>
          <x:t xml:space="preserve">Unaligned</x:t>
        </x:is>
      </x:c>
      <x:c r="F262" s="2" t="inlineStr">
        <x:is>
          <x:t xml:space="preserve">7</x:t>
        </x:is>
      </x:c>
      <x:c r="G262" s="2" t="inlineStr">
        <x:is>
          <x:t xml:space="preserve">2900</x:t>
        </x:is>
      </x:c>
      <x:c r="H262" s="2" t="inlineStr">
        <x:is>
          <x:t xml:space="preserve">12</x:t>
        </x:is>
      </x:c>
      <x:c r="I262" s="2" t="inlineStr">
        <x:is>
          <x:t xml:space="preserve">168</x:t>
        </x:is>
      </x:c>
      <x:c r="J262" s="2" t="inlineStr">
        <x:is>
          <x:t xml:space="preserve">40 ft., Climb 40 ft.</x:t>
        </x:is>
      </x:c>
      <x:c r="K262" s="2" t="inlineStr">
        <x:is>
          <x:t xml:space="preserve">3</x:t>
        </x:is>
      </x:c>
      <x:c r="L262" s="2" t="inlineStr">
        <x:is>
          <x:t xml:space="preserve">14</x:t>
        </x:is>
      </x:c>
      <x:c r="M262" s="2" t="n"/>
      <x:c r="N262" s="2" t="inlineStr">
        <x:is>
          <x:t xml:space="preserve">9</x:t>
        </x:is>
      </x:c>
      <x:c r="O262" s="2" t="inlineStr">
        <x:is>
          <x:t xml:space="preserve">5</x:t>
        </x:is>
      </x:c>
      <x:c r="P262" s="2" t="inlineStr">
        <x:is>
          <x:t xml:space="preserve">23</x:t>
        </x:is>
      </x:c>
      <x:c r="Q262" s="2" t="inlineStr">
        <x:is>
          <x:t xml:space="preserve">14</x:t>
        </x:is>
      </x:c>
      <x:c r="R262" s="2" t="inlineStr">
        <x:is>
          <x:t xml:space="preserve">18</x:t>
        </x:is>
      </x:c>
      <x:c r="S262" s="2" t="inlineStr">
        <x:is>
          <x:t xml:space="preserve">5</x:t>
        </x:is>
      </x:c>
      <x:c r="T262" s="2" t="inlineStr">
        <x:is>
          <x:t xml:space="preserve">12</x:t>
        </x:is>
      </x:c>
      <x:c r="U262" s="2" t="inlineStr">
        <x:is>
          <x:t xml:space="preserve">7</x:t>
        </x:is>
      </x:c>
      <x:c r="V262" s="2" t="n"/>
      <x:c r="W262" s="2" t="inlineStr">
        <x:is>
          <x:t xml:space="preserve">Athletics +9, Perception +4, Survival +4</x:t>
        </x:is>
      </x:c>
      <x:c r="X262" s="2" t="inlineStr">
        <x:is>
          <x:t xml:space="preserve">Passive Perception 14</x:t>
        </x:is>
      </x:c>
      <x:c r="Y262" s="2" t="inlineStr">
        <x:is>
          <x:t xml:space="preserve">None</x:t>
        </x:is>
      </x:c>
      <x:c r="Z262" s="2" t="n"/>
      <x:c r="AA262" s="2" t="inlineStr">
        <x:is>
          <x:t xml:space="preserve">Multiattack. The ape makes two Fist attacks. Fist. Melee Attack Roll: +9, reach 10 ft. Hit: 22 (3d10 + 6) Bludgeoning damage. Boulder Toss (Recharge 6). The ape hurls a boulder at a point it can see within 90 feet. Dexterity Saving Throw: DC 17, each creature in a 5-foot-radius Sphere centered on that point. Failure: 24 (7d6) Bludgeoning damage. If the target is a Large or smaller creature, it has the Prone condition. Success: Half damage only.</x:t>
        </x:is>
      </x:c>
      <x:c r="AB262" s="2" t="inlineStr">
        <x:is>
          <x:t xml:space="preserve">Leap. The ape jumps up to 30 feet by spending 10 feet of movement.</x:t>
        </x:is>
      </x:c>
      <x:c r="AC262" s="2" t="n"/>
      <x:c r="AD262" s="2" t="n"/>
      <x:c r="AE262" s="2" t="n"/>
      <x:c r="AF262" s="2" t="inlineStr">
        <x:is>
          <x:t xml:space="preserve">Imported from SRD 5.2.1 p. 349 Index of Stat Blocks</x:t>
        </x:is>
      </x:c>
      <x:c r="AG262" s="2" t="inlineStr">
        <x:is>
          <x:t xml:space="preserve">https://www.dndbeyond.com/srd</x:t>
        </x:is>
      </x:c>
    </x:row>
    <x:row r="263" ht="18" customHeight="1">
      <x:c r="A263" s="2" t="inlineStr">
        <x:is>
          <x:t xml:space="preserve">Giant Badger</x:t>
        </x:is>
      </x:c>
      <x:c r="B263" s="2" t="inlineStr">
        <x:is>
          <x:t xml:space="preserve">SRD 5.2.1</x:t>
        </x:is>
      </x:c>
      <x:c r="C263" s="2" t="inlineStr">
        <x:is>
          <x:t xml:space="preserve">Beast</x:t>
        </x:is>
      </x:c>
      <x:c r="D263" s="2" t="inlineStr">
        <x:is>
          <x:t xml:space="preserve">Medium</x:t>
        </x:is>
      </x:c>
      <x:c r="E263" s="2" t="inlineStr">
        <x:is>
          <x:t xml:space="preserve">Unaligned</x:t>
        </x:is>
      </x:c>
      <x:c r="F263" s="2" t="inlineStr">
        <x:is>
          <x:t xml:space="preserve">1/4</x:t>
        </x:is>
      </x:c>
      <x:c r="G263" s="2" t="inlineStr">
        <x:is>
          <x:t xml:space="preserve">50</x:t>
        </x:is>
      </x:c>
      <x:c r="H263" s="2" t="inlineStr">
        <x:is>
          <x:t xml:space="preserve">13</x:t>
        </x:is>
      </x:c>
      <x:c r="I263" s="2" t="inlineStr">
        <x:is>
          <x:t xml:space="preserve">15</x:t>
        </x:is>
      </x:c>
      <x:c r="J263" s="2" t="inlineStr">
        <x:is>
          <x:t xml:space="preserve">30 ft., Burrow 10 ft.</x:t>
        </x:is>
      </x:c>
      <x:c r="K263" s="2" t="inlineStr">
        <x:is>
          <x:t xml:space="preserve">2</x:t>
        </x:is>
      </x:c>
      <x:c r="L263" s="2" t="inlineStr">
        <x:is>
          <x:t xml:space="preserve">13</x:t>
        </x:is>
      </x:c>
      <x:c r="M263" s="2" t="n"/>
      <x:c r="N263" s="2" t="inlineStr">
        <x:is>
          <x:t xml:space="preserve">3</x:t>
        </x:is>
      </x:c>
      <x:c r="O263" s="2" t="inlineStr">
        <x:is>
          <x:t xml:space="preserve">0</x:t>
        </x:is>
      </x:c>
      <x:c r="P263" s="2" t="inlineStr">
        <x:is>
          <x:t xml:space="preserve">13</x:t>
        </x:is>
      </x:c>
      <x:c r="Q263" s="2" t="inlineStr">
        <x:is>
          <x:t xml:space="preserve">10</x:t>
        </x:is>
      </x:c>
      <x:c r="R263" s="2" t="inlineStr">
        <x:is>
          <x:t xml:space="preserve">17</x:t>
        </x:is>
      </x:c>
      <x:c r="S263" s="2" t="inlineStr">
        <x:is>
          <x:t xml:space="preserve">2</x:t>
        </x:is>
      </x:c>
      <x:c r="T263" s="2" t="inlineStr">
        <x:is>
          <x:t xml:space="preserve">12</x:t>
        </x:is>
      </x:c>
      <x:c r="U263" s="2" t="inlineStr">
        <x:is>
          <x:t xml:space="preserve">5</x:t>
        </x:is>
      </x:c>
      <x:c r="V263" s="2" t="n"/>
      <x:c r="W263" s="2" t="inlineStr">
        <x:is>
          <x:t xml:space="preserve">Perception +3</x:t>
        </x:is>
      </x:c>
      <x:c r="X263" s="2" t="inlineStr">
        <x:is>
          <x:t xml:space="preserve">Darkvision 60 ft.; Passive Perception 13</x:t>
        </x:is>
      </x:c>
      <x:c r="Y263" s="2" t="inlineStr">
        <x:is>
          <x:t xml:space="preserve">None</x:t>
        </x:is>
      </x:c>
      <x:c r="Z263" s="2" t="n"/>
      <x:c r="AA263" s="2" t="inlineStr">
        <x:is>
          <x:t xml:space="preserve">Bite. Melee Attack Roll: +3, reach 5 ft. Hit: 6 (2d4 + 1) Piercing damage.</x:t>
        </x:is>
      </x:c>
      <x:c r="AB263" s="2" t="n"/>
      <x:c r="AC263" s="2" t="n"/>
      <x:c r="AD263" s="2" t="n"/>
      <x:c r="AE263" s="2" t="n"/>
      <x:c r="AF263" s="2" t="inlineStr">
        <x:is>
          <x:t xml:space="preserve">Imported from SRD 5.2.1 p. 349 Index of Stat Blocks</x:t>
        </x:is>
      </x:c>
      <x:c r="AG263" s="2" t="inlineStr">
        <x:is>
          <x:t xml:space="preserve">https://www.dndbeyond.com/srd</x:t>
        </x:is>
      </x:c>
    </x:row>
    <x:row r="264" ht="18" customHeight="1">
      <x:c r="A264" s="2" t="inlineStr">
        <x:is>
          <x:t xml:space="preserve">Giant Bat</x:t>
        </x:is>
      </x:c>
      <x:c r="B264" s="2" t="inlineStr">
        <x:is>
          <x:t xml:space="preserve">SRD 5.2.1</x:t>
        </x:is>
      </x:c>
      <x:c r="C264" s="2" t="inlineStr">
        <x:is>
          <x:t xml:space="preserve">Beast</x:t>
        </x:is>
      </x:c>
      <x:c r="D264" s="2" t="inlineStr">
        <x:is>
          <x:t xml:space="preserve">Large</x:t>
        </x:is>
      </x:c>
      <x:c r="E264" s="2" t="inlineStr">
        <x:is>
          <x:t xml:space="preserve">Unaligned</x:t>
        </x:is>
      </x:c>
      <x:c r="F264" s="2" t="inlineStr">
        <x:is>
          <x:t xml:space="preserve">1/4</x:t>
        </x:is>
      </x:c>
      <x:c r="G264" s="2" t="inlineStr">
        <x:is>
          <x:t xml:space="preserve">50</x:t>
        </x:is>
      </x:c>
      <x:c r="H264" s="2" t="inlineStr">
        <x:is>
          <x:t xml:space="preserve">13</x:t>
        </x:is>
      </x:c>
      <x:c r="I264" s="2" t="inlineStr">
        <x:is>
          <x:t xml:space="preserve">22</x:t>
        </x:is>
      </x:c>
      <x:c r="J264" s="2" t="inlineStr">
        <x:is>
          <x:t xml:space="preserve">10 ft., Fly 60 ft.</x:t>
        </x:is>
      </x:c>
      <x:c r="K264" s="2" t="inlineStr">
        <x:is>
          <x:t xml:space="preserve">2</x:t>
        </x:is>
      </x:c>
      <x:c r="L264" s="2" t="inlineStr">
        <x:is>
          <x:t xml:space="preserve">11</x:t>
        </x:is>
      </x:c>
      <x:c r="M264" s="2" t="n"/>
      <x:c r="N264" s="2" t="inlineStr">
        <x:is>
          <x:t xml:space="preserve">5</x:t>
        </x:is>
      </x:c>
      <x:c r="O264" s="2" t="inlineStr">
        <x:is>
          <x:t xml:space="preserve">3</x:t>
        </x:is>
      </x:c>
      <x:c r="P264" s="2" t="inlineStr">
        <x:is>
          <x:t xml:space="preserve">15</x:t>
        </x:is>
      </x:c>
      <x:c r="Q264" s="2" t="inlineStr">
        <x:is>
          <x:t xml:space="preserve">16</x:t>
        </x:is>
      </x:c>
      <x:c r="R264" s="2" t="inlineStr">
        <x:is>
          <x:t xml:space="preserve">11</x:t>
        </x:is>
      </x:c>
      <x:c r="S264" s="2" t="inlineStr">
        <x:is>
          <x:t xml:space="preserve">2</x:t>
        </x:is>
      </x:c>
      <x:c r="T264" s="2" t="inlineStr">
        <x:is>
          <x:t xml:space="preserve">12</x:t>
        </x:is>
      </x:c>
      <x:c r="U264" s="2" t="inlineStr">
        <x:is>
          <x:t xml:space="preserve">6</x:t>
        </x:is>
      </x:c>
      <x:c r="V264" s="2" t="n"/>
      <x:c r="W264" s="2" t="n"/>
      <x:c r="X264" s="2" t="inlineStr">
        <x:is>
          <x:t xml:space="preserve">Blindsight 120 ft.; Passive Perception 11</x:t>
        </x:is>
      </x:c>
      <x:c r="Y264" s="2" t="inlineStr">
        <x:is>
          <x:t xml:space="preserve">None</x:t>
        </x:is>
      </x:c>
      <x:c r="Z264" s="2" t="n"/>
      <x:c r="AA264" s="2" t="inlineStr">
        <x:is>
          <x:t xml:space="preserve">Bite. Melee Attack Roll: +5, reach 5 ft. Hit: 6 (1d6 + 3) Piercing damage.</x:t>
        </x:is>
      </x:c>
      <x:c r="AB264" s="2" t="n"/>
      <x:c r="AC264" s="2" t="n"/>
      <x:c r="AD264" s="2" t="n"/>
      <x:c r="AE264" s="2" t="n"/>
      <x:c r="AF264" s="2" t="inlineStr">
        <x:is>
          <x:t xml:space="preserve">Imported from SRD 5.2.1 p. 349 Index of Stat Blocks</x:t>
        </x:is>
      </x:c>
      <x:c r="AG264" s="2" t="inlineStr">
        <x:is>
          <x:t xml:space="preserve">https://www.dndbeyond.com/srd</x:t>
        </x:is>
      </x:c>
    </x:row>
    <x:row r="265" ht="18" customHeight="1">
      <x:c r="A265" s="2" t="inlineStr">
        <x:is>
          <x:t xml:space="preserve">Giant Boar</x:t>
        </x:is>
      </x:c>
      <x:c r="B265" s="2" t="inlineStr">
        <x:is>
          <x:t xml:space="preserve">SRD 5.2.1</x:t>
        </x:is>
      </x:c>
      <x:c r="C265" s="2" t="inlineStr">
        <x:is>
          <x:t xml:space="preserve">Beast</x:t>
        </x:is>
      </x:c>
      <x:c r="D265" s="2" t="inlineStr">
        <x:is>
          <x:t xml:space="preserve">Large</x:t>
        </x:is>
      </x:c>
      <x:c r="E265" s="2" t="inlineStr">
        <x:is>
          <x:t xml:space="preserve">Unaligned</x:t>
        </x:is>
      </x:c>
      <x:c r="F265" s="2" t="inlineStr">
        <x:is>
          <x:t xml:space="preserve">2</x:t>
        </x:is>
      </x:c>
      <x:c r="G265" s="2" t="inlineStr">
        <x:is>
          <x:t xml:space="preserve">450</x:t>
        </x:is>
      </x:c>
      <x:c r="H265" s="2" t="inlineStr">
        <x:is>
          <x:t xml:space="preserve">13</x:t>
        </x:is>
      </x:c>
      <x:c r="I265" s="2" t="inlineStr">
        <x:is>
          <x:t xml:space="preserve">42</x:t>
        </x:is>
      </x:c>
      <x:c r="J265" s="2" t="inlineStr">
        <x:is>
          <x:t xml:space="preserve">40 ft.</x:t>
        </x:is>
      </x:c>
      <x:c r="K265" s="2" t="inlineStr">
        <x:is>
          <x:t xml:space="preserve">2</x:t>
        </x:is>
      </x:c>
      <x:c r="L265" s="2" t="inlineStr">
        <x:is>
          <x:t xml:space="preserve">8</x:t>
        </x:is>
      </x:c>
      <x:c r="M265" s="2" t="n"/>
      <x:c r="N265" s="2" t="inlineStr">
        <x:is>
          <x:t xml:space="preserve">5</x:t>
        </x:is>
      </x:c>
      <x:c r="O265" s="2" t="inlineStr">
        <x:is>
          <x:t xml:space="preserve">0</x:t>
        </x:is>
      </x:c>
      <x:c r="P265" s="2" t="inlineStr">
        <x:is>
          <x:t xml:space="preserve">17</x:t>
        </x:is>
      </x:c>
      <x:c r="Q265" s="2" t="inlineStr">
        <x:is>
          <x:t xml:space="preserve">10</x:t>
        </x:is>
      </x:c>
      <x:c r="R265" s="2" t="inlineStr">
        <x:is>
          <x:t xml:space="preserve">16</x:t>
        </x:is>
      </x:c>
      <x:c r="S265" s="2" t="inlineStr">
        <x:is>
          <x:t xml:space="preserve">2</x:t>
        </x:is>
      </x:c>
      <x:c r="T265" s="2" t="inlineStr">
        <x:is>
          <x:t xml:space="preserve">7</x:t>
        </x:is>
      </x:c>
      <x:c r="U265" s="2" t="inlineStr">
        <x:is>
          <x:t xml:space="preserve">5</x:t>
        </x:is>
      </x:c>
      <x:c r="V265" s="2" t="inlineStr">
        <x:is>
          <x:t xml:space="preserve">STR +5</x:t>
        </x:is>
      </x:c>
      <x:c r="W265" s="2" t="n"/>
      <x:c r="X265" s="2" t="inlineStr">
        <x:is>
          <x:t xml:space="preserve">Passive Perception 8</x:t>
        </x:is>
      </x:c>
      <x:c r="Y265" s="2" t="inlineStr">
        <x:is>
          <x:t xml:space="preserve">None</x:t>
        </x:is>
      </x:c>
      <x:c r="Z265" s="2" t="inlineStr">
        <x:is>
          <x:t xml:space="preserve">Bloodied Fury. The boar has Advantage on melee at- tack rolls while it is Bloodied.</x:t>
        </x:is>
      </x:c>
      <x:c r="AA265" s="2" t="inlineStr">
        <x:is>
          <x:t xml:space="preserve">Gore. Melee Attack Roll: +5, reach 5 ft. Hit: 10 (2d6 + 3) Piercing damage. If the target is a Large or smaller creature and the boar moved 20+ feet straight toward it immediately before the hit, the target takes an extra 7 (2d6) Piercing damage and has the Prone condition.</x:t>
        </x:is>
      </x:c>
      <x:c r="AB265" s="2" t="n"/>
      <x:c r="AC265" s="2" t="n"/>
      <x:c r="AD265" s="2" t="n"/>
      <x:c r="AE265" s="2" t="n"/>
      <x:c r="AF265" s="2" t="inlineStr">
        <x:is>
          <x:t xml:space="preserve">Imported from SRD 5.2.1 p. 349 Index of Stat Blocks</x:t>
        </x:is>
      </x:c>
      <x:c r="AG265" s="2" t="inlineStr">
        <x:is>
          <x:t xml:space="preserve">https://www.dndbeyond.com/srd</x:t>
        </x:is>
      </x:c>
    </x:row>
    <x:row r="266" ht="18" customHeight="1">
      <x:c r="A266" s="2" t="inlineStr">
        <x:is>
          <x:t xml:space="preserve">Giant Centipede</x:t>
        </x:is>
      </x:c>
      <x:c r="B266" s="2" t="inlineStr">
        <x:is>
          <x:t xml:space="preserve">SRD 5.2.1</x:t>
        </x:is>
      </x:c>
      <x:c r="C266" s="2" t="inlineStr">
        <x:is>
          <x:t xml:space="preserve">Beast</x:t>
        </x:is>
      </x:c>
      <x:c r="D266" s="2" t="inlineStr">
        <x:is>
          <x:t xml:space="preserve">Small</x:t>
        </x:is>
      </x:c>
      <x:c r="E266" s="2" t="inlineStr">
        <x:is>
          <x:t xml:space="preserve">Unaligned</x:t>
        </x:is>
      </x:c>
      <x:c r="F266" s="2" t="inlineStr">
        <x:is>
          <x:t xml:space="preserve">1/4</x:t>
        </x:is>
      </x:c>
      <x:c r="G266" s="2" t="inlineStr">
        <x:is>
          <x:t xml:space="preserve">50</x:t>
        </x:is>
      </x:c>
      <x:c r="H266" s="2" t="inlineStr">
        <x:is>
          <x:t xml:space="preserve">14</x:t>
        </x:is>
      </x:c>
      <x:c r="I266" s="2" t="inlineStr">
        <x:is>
          <x:t xml:space="preserve">9</x:t>
        </x:is>
      </x:c>
      <x:c r="J266" s="2" t="inlineStr">
        <x:is>
          <x:t xml:space="preserve">30 ft., Climb 30 ft.</x:t>
        </x:is>
      </x:c>
      <x:c r="K266" s="2" t="inlineStr">
        <x:is>
          <x:t xml:space="preserve">2</x:t>
        </x:is>
      </x:c>
      <x:c r="L266" s="2" t="inlineStr">
        <x:is>
          <x:t xml:space="preserve">8</x:t>
        </x:is>
      </x:c>
      <x:c r="M266" s="2" t="n"/>
      <x:c r="N266" s="2" t="inlineStr">
        <x:is>
          <x:t xml:space="preserve">4</x:t>
        </x:is>
      </x:c>
      <x:c r="O266" s="2" t="inlineStr">
        <x:is>
          <x:t xml:space="preserve">2</x:t>
        </x:is>
      </x:c>
      <x:c r="P266" s="2" t="inlineStr">
        <x:is>
          <x:t xml:space="preserve">5</x:t>
        </x:is>
      </x:c>
      <x:c r="Q266" s="2" t="inlineStr">
        <x:is>
          <x:t xml:space="preserve">14</x:t>
        </x:is>
      </x:c>
      <x:c r="R266" s="2" t="inlineStr">
        <x:is>
          <x:t xml:space="preserve">12</x:t>
        </x:is>
      </x:c>
      <x:c r="S266" s="2" t="inlineStr">
        <x:is>
          <x:t xml:space="preserve">1</x:t>
        </x:is>
      </x:c>
      <x:c r="T266" s="2" t="inlineStr">
        <x:is>
          <x:t xml:space="preserve">7</x:t>
        </x:is>
      </x:c>
      <x:c r="U266" s="2" t="inlineStr">
        <x:is>
          <x:t xml:space="preserve">3</x:t>
        </x:is>
      </x:c>
      <x:c r="V266" s="2" t="n"/>
      <x:c r="W266" s="2" t="n"/>
      <x:c r="X266" s="2" t="inlineStr">
        <x:is>
          <x:t xml:space="preserve">Blindsight 30 ft.; Passive Perception 8</x:t>
        </x:is>
      </x:c>
      <x:c r="Y266" s="2" t="inlineStr">
        <x:is>
          <x:t xml:space="preserve">None</x:t>
        </x:is>
      </x:c>
      <x:c r="Z266" s="2" t="n"/>
      <x:c r="AA266" s="2" t="inlineStr">
        <x:is>
          <x:t xml:space="preserve">Bite. Melee Attack Roll: +4, reach 5 ft. Hit: 4 (1d4 + 2) Piercing damage, and the target has the Poisoned con- dition until the start of the centipede’s next turn.</x:t>
        </x:is>
      </x:c>
      <x:c r="AB266" s="2" t="n"/>
      <x:c r="AC266" s="2" t="n"/>
      <x:c r="AD266" s="2" t="n"/>
      <x:c r="AE266" s="2" t="n"/>
      <x:c r="AF266" s="2" t="inlineStr">
        <x:is>
          <x:t xml:space="preserve">Imported from SRD 5.2.1 p. 349 Index of Stat Blocks</x:t>
        </x:is>
      </x:c>
      <x:c r="AG266" s="2" t="inlineStr">
        <x:is>
          <x:t xml:space="preserve">https://www.dndbeyond.com/srd</x:t>
        </x:is>
      </x:c>
    </x:row>
    <x:row r="267" ht="18" customHeight="1">
      <x:c r="A267" s="2" t="inlineStr">
        <x:is>
          <x:t xml:space="preserve">Giant Constrictor Snake</x:t>
        </x:is>
      </x:c>
      <x:c r="B267" s="2" t="inlineStr">
        <x:is>
          <x:t xml:space="preserve">SRD 5.2.1</x:t>
        </x:is>
      </x:c>
      <x:c r="C267" s="2" t="inlineStr">
        <x:is>
          <x:t xml:space="preserve">Beast</x:t>
        </x:is>
      </x:c>
      <x:c r="D267" s="2" t="inlineStr">
        <x:is>
          <x:t xml:space="preserve">Huge</x:t>
        </x:is>
      </x:c>
      <x:c r="E267" s="2" t="inlineStr">
        <x:is>
          <x:t xml:space="preserve">Unaligned</x:t>
        </x:is>
      </x:c>
      <x:c r="F267" s="2" t="inlineStr">
        <x:is>
          <x:t xml:space="preserve">2</x:t>
        </x:is>
      </x:c>
      <x:c r="G267" s="2" t="inlineStr">
        <x:is>
          <x:t xml:space="preserve">450</x:t>
        </x:is>
      </x:c>
      <x:c r="H267" s="2" t="inlineStr">
        <x:is>
          <x:t xml:space="preserve">12</x:t>
        </x:is>
      </x:c>
      <x:c r="I267" s="2" t="inlineStr">
        <x:is>
          <x:t xml:space="preserve">60</x:t>
        </x:is>
      </x:c>
      <x:c r="J267" s="2" t="inlineStr">
        <x:is>
          <x:t xml:space="preserve">30 ft., Swim 30 ft.</x:t>
        </x:is>
      </x:c>
      <x:c r="K267" s="2" t="inlineStr">
        <x:is>
          <x:t xml:space="preserve">2</x:t>
        </x:is>
      </x:c>
      <x:c r="L267" s="2" t="inlineStr">
        <x:is>
          <x:t xml:space="preserve">12</x:t>
        </x:is>
      </x:c>
      <x:c r="M267" s="2" t="inlineStr">
        <x:is>
          <x:t xml:space="preserve">14</x:t>
        </x:is>
      </x:c>
      <x:c r="N267" s="2" t="inlineStr">
        <x:is>
          <x:t xml:space="preserve">6</x:t>
        </x:is>
      </x:c>
      <x:c r="O267" s="2" t="inlineStr">
        <x:is>
          <x:t xml:space="preserve">2</x:t>
        </x:is>
      </x:c>
      <x:c r="P267" s="2" t="inlineStr">
        <x:is>
          <x:t xml:space="preserve">19</x:t>
        </x:is>
      </x:c>
      <x:c r="Q267" s="2" t="inlineStr">
        <x:is>
          <x:t xml:space="preserve">14</x:t>
        </x:is>
      </x:c>
      <x:c r="R267" s="2" t="inlineStr">
        <x:is>
          <x:t xml:space="preserve">12</x:t>
        </x:is>
      </x:c>
      <x:c r="S267" s="2" t="inlineStr">
        <x:is>
          <x:t xml:space="preserve">1</x:t>
        </x:is>
      </x:c>
      <x:c r="T267" s="2" t="inlineStr">
        <x:is>
          <x:t xml:space="preserve">10</x:t>
        </x:is>
      </x:c>
      <x:c r="U267" s="2" t="inlineStr">
        <x:is>
          <x:t xml:space="preserve">3</x:t>
        </x:is>
      </x:c>
      <x:c r="V267" s="2" t="n"/>
      <x:c r="W267" s="2" t="inlineStr">
        <x:is>
          <x:t xml:space="preserve">Perception +2</x:t>
        </x:is>
      </x:c>
      <x:c r="X267" s="2" t="inlineStr">
        <x:is>
          <x:t xml:space="preserve">Blindsight 10 ft.; Passive Perception 12</x:t>
        </x:is>
      </x:c>
      <x:c r="Y267" s="2" t="inlineStr">
        <x:is>
          <x:t xml:space="preserve">None</x:t>
        </x:is>
      </x:c>
      <x:c r="Z267" s="2" t="n"/>
      <x:c r="AA267" s="2" t="inlineStr">
        <x:is>
          <x:t xml:space="preserve">Multiattack. The snake makes one Bite attack and uses Constrict. Bite. Melee Attack Roll: +6, reach 10 ft. Hit: 11 (2d6 + 4) Piercing damage. Constrict. Strength Saving Throw: DC 14, one Large or smaller creature the snake can see within 10 feet. Fail- ure: 13 (2d8 + 4) Bludgeoning damage, and the target has the Grappled condition (escape DC 14).</x:t>
        </x:is>
      </x:c>
      <x:c r="AB267" s="2" t="n"/>
      <x:c r="AC267" s="2" t="n"/>
      <x:c r="AD267" s="2" t="n"/>
      <x:c r="AE267" s="2" t="n"/>
      <x:c r="AF267" s="2" t="inlineStr">
        <x:is>
          <x:t xml:space="preserve">Imported from SRD 5.2.1 p. 350 Index of Stat Blocks</x:t>
        </x:is>
      </x:c>
      <x:c r="AG267" s="2" t="inlineStr">
        <x:is>
          <x:t xml:space="preserve">https://www.dndbeyond.com/srd</x:t>
        </x:is>
      </x:c>
    </x:row>
    <x:row r="268" ht="18" customHeight="1">
      <x:c r="A268" s="2" t="inlineStr">
        <x:is>
          <x:t xml:space="preserve">Giant Crab</x:t>
        </x:is>
      </x:c>
      <x:c r="B268" s="2" t="inlineStr">
        <x:is>
          <x:t xml:space="preserve">SRD 5.2.1</x:t>
        </x:is>
      </x:c>
      <x:c r="C268" s="2" t="inlineStr">
        <x:is>
          <x:t xml:space="preserve">Beast</x:t>
        </x:is>
      </x:c>
      <x:c r="D268" s="2" t="inlineStr">
        <x:is>
          <x:t xml:space="preserve">Medium</x:t>
        </x:is>
      </x:c>
      <x:c r="E268" s="2" t="inlineStr">
        <x:is>
          <x:t xml:space="preserve">Unaligned</x:t>
        </x:is>
      </x:c>
      <x:c r="F268" s="2" t="inlineStr">
        <x:is>
          <x:t xml:space="preserve">1/8</x:t>
        </x:is>
      </x:c>
      <x:c r="G268" s="2" t="inlineStr">
        <x:is>
          <x:t xml:space="preserve">25</x:t>
        </x:is>
      </x:c>
      <x:c r="H268" s="2" t="inlineStr">
        <x:is>
          <x:t xml:space="preserve">15</x:t>
        </x:is>
      </x:c>
      <x:c r="I268" s="2" t="inlineStr">
        <x:is>
          <x:t xml:space="preserve">13</x:t>
        </x:is>
      </x:c>
      <x:c r="J268" s="2" t="inlineStr">
        <x:is>
          <x:t xml:space="preserve">30 ft., Swim 30 ft.</x:t>
        </x:is>
      </x:c>
      <x:c r="K268" s="2" t="inlineStr">
        <x:is>
          <x:t xml:space="preserve">2</x:t>
        </x:is>
      </x:c>
      <x:c r="L268" s="2" t="inlineStr">
        <x:is>
          <x:t xml:space="preserve">9</x:t>
        </x:is>
      </x:c>
      <x:c r="M268" s="2" t="n"/>
      <x:c r="N268" s="2" t="inlineStr">
        <x:is>
          <x:t xml:space="preserve">3</x:t>
        </x:is>
      </x:c>
      <x:c r="O268" s="2" t="inlineStr">
        <x:is>
          <x:t xml:space="preserve">1</x:t>
        </x:is>
      </x:c>
      <x:c r="P268" s="2" t="inlineStr">
        <x:is>
          <x:t xml:space="preserve">13</x:t>
        </x:is>
      </x:c>
      <x:c r="Q268" s="2" t="inlineStr">
        <x:is>
          <x:t xml:space="preserve">13</x:t>
        </x:is>
      </x:c>
      <x:c r="R268" s="2" t="inlineStr">
        <x:is>
          <x:t xml:space="preserve">11</x:t>
        </x:is>
      </x:c>
      <x:c r="S268" s="2" t="inlineStr">
        <x:is>
          <x:t xml:space="preserve">1</x:t>
        </x:is>
      </x:c>
      <x:c r="T268" s="2" t="inlineStr">
        <x:is>
          <x:t xml:space="preserve">9</x:t>
        </x:is>
      </x:c>
      <x:c r="U268" s="2" t="inlineStr">
        <x:is>
          <x:t xml:space="preserve">3</x:t>
        </x:is>
      </x:c>
      <x:c r="V268" s="2" t="n"/>
      <x:c r="W268" s="2" t="inlineStr">
        <x:is>
          <x:t xml:space="preserve">Stealth +3</x:t>
        </x:is>
      </x:c>
      <x:c r="X268" s="2" t="inlineStr">
        <x:is>
          <x:t xml:space="preserve">Blindsight 30 ft.; Passive Perception 9</x:t>
        </x:is>
      </x:c>
      <x:c r="Y268" s="2" t="inlineStr">
        <x:is>
          <x:t xml:space="preserve">None</x:t>
        </x:is>
      </x:c>
      <x:c r="Z268" s="2" t="inlineStr">
        <x:is>
          <x:t xml:space="preserve">Amphibious. The crab can breathe air and water.</x:t>
        </x:is>
      </x:c>
      <x:c r="AA268" s="2" t="inlineStr">
        <x:is>
          <x:t xml:space="preserve">Claw. Melee Attack Roll: +3, reach 5 ft. Hit: 4 (1d6 + 1) Bludgeoning damage. If the target is a Medium or smaller creature, it has the Grappled condition (escape DC 11) from one of two claws.</x:t>
        </x:is>
      </x:c>
      <x:c r="AB268" s="2" t="n"/>
      <x:c r="AC268" s="2" t="n"/>
      <x:c r="AD268" s="2" t="n"/>
      <x:c r="AE268" s="2" t="n"/>
      <x:c r="AF268" s="2" t="inlineStr">
        <x:is>
          <x:t xml:space="preserve">Imported from SRD 5.2.1 p. 350 Index of Stat Blocks</x:t>
        </x:is>
      </x:c>
      <x:c r="AG268" s="2" t="inlineStr">
        <x:is>
          <x:t xml:space="preserve">https://www.dndbeyond.com/srd</x:t>
        </x:is>
      </x:c>
    </x:row>
    <x:row r="269" ht="18" customHeight="1">
      <x:c r="A269" s="2" t="inlineStr">
        <x:is>
          <x:t xml:space="preserve">Giant Crocodile</x:t>
        </x:is>
      </x:c>
      <x:c r="B269" s="2" t="inlineStr">
        <x:is>
          <x:t xml:space="preserve">SRD 5.2.1</x:t>
        </x:is>
      </x:c>
      <x:c r="C269" s="2" t="inlineStr">
        <x:is>
          <x:t xml:space="preserve">Beast</x:t>
        </x:is>
      </x:c>
      <x:c r="D269" s="2" t="inlineStr">
        <x:is>
          <x:t xml:space="preserve">Huge</x:t>
        </x:is>
      </x:c>
      <x:c r="E269" s="2" t="inlineStr">
        <x:is>
          <x:t xml:space="preserve">Unaligned</x:t>
        </x:is>
      </x:c>
      <x:c r="F269" s="2" t="inlineStr">
        <x:is>
          <x:t xml:space="preserve">5</x:t>
        </x:is>
      </x:c>
      <x:c r="G269" s="2" t="inlineStr">
        <x:is>
          <x:t xml:space="preserve">1800</x:t>
        </x:is>
      </x:c>
      <x:c r="H269" s="2" t="inlineStr">
        <x:is>
          <x:t xml:space="preserve">14</x:t>
        </x:is>
      </x:c>
      <x:c r="I269" s="2" t="inlineStr">
        <x:is>
          <x:t xml:space="preserve">85</x:t>
        </x:is>
      </x:c>
      <x:c r="J269" s="2" t="inlineStr">
        <x:is>
          <x:t xml:space="preserve">30 ft., Swim 50 ft.</x:t>
        </x:is>
      </x:c>
      <x:c r="K269" s="2" t="inlineStr">
        <x:is>
          <x:t xml:space="preserve">3</x:t>
        </x:is>
      </x:c>
      <x:c r="L269" s="2" t="inlineStr">
        <x:is>
          <x:t xml:space="preserve">10</x:t>
        </x:is>
      </x:c>
      <x:c r="M269" s="2" t="n"/>
      <x:c r="N269" s="2" t="inlineStr">
        <x:is>
          <x:t xml:space="preserve">8</x:t>
        </x:is>
      </x:c>
      <x:c r="O269" s="2" t="inlineStr">
        <x:is>
          <x:t xml:space="preserve">-1</x:t>
        </x:is>
      </x:c>
      <x:c r="P269" s="2" t="inlineStr">
        <x:is>
          <x:t xml:space="preserve">21</x:t>
        </x:is>
      </x:c>
      <x:c r="Q269" s="2" t="inlineStr">
        <x:is>
          <x:t xml:space="preserve">9</x:t>
        </x:is>
      </x:c>
      <x:c r="R269" s="2" t="inlineStr">
        <x:is>
          <x:t xml:space="preserve">17</x:t>
        </x:is>
      </x:c>
      <x:c r="S269" s="2" t="inlineStr">
        <x:is>
          <x:t xml:space="preserve">2</x:t>
        </x:is>
      </x:c>
      <x:c r="T269" s="2" t="inlineStr">
        <x:is>
          <x:t xml:space="preserve">10</x:t>
        </x:is>
      </x:c>
      <x:c r="U269" s="2" t="inlineStr">
        <x:is>
          <x:t xml:space="preserve">7</x:t>
        </x:is>
      </x:c>
      <x:c r="V269" s="2" t="n"/>
      <x:c r="W269" s="2" t="inlineStr">
        <x:is>
          <x:t xml:space="preserve">Stealth +5</x:t>
        </x:is>
      </x:c>
      <x:c r="X269" s="2" t="inlineStr">
        <x:is>
          <x:t xml:space="preserve">Passive Perception 10</x:t>
        </x:is>
      </x:c>
      <x:c r="Y269" s="2" t="inlineStr">
        <x:is>
          <x:t xml:space="preserve">None</x:t>
        </x:is>
      </x:c>
      <x:c r="Z269" s="2" t="inlineStr">
        <x:is>
          <x:t xml:space="preserve">Hold Breath. The crocodile can hold its breath for 1 hour.</x:t>
        </x:is>
      </x:c>
      <x:c r="AA269" s="2" t="inlineStr">
        <x:is>
          <x:t xml:space="preserve">Multiattack. The crocodile makes one Bite attack and one Tail attack. Bite. Melee Attack Roll: +8, reach 5 ft. Hit: 21 (3d10 + 5) Piercing damage. If the target is a Large or smaller creature, it has the Grappled condition (escape DC 15). While Grappled, the target has the Restrained condition and can’t be targeted by the crocodile’s Tail. Tail. Melee Attack Roll: +8, reach 10 ft. Hit: 18 (3d8 + 5) Bludgeoning damage. If the target is a Large or smaller creature, it has the Prone condition.</x:t>
        </x:is>
      </x:c>
      <x:c r="AB269" s="2" t="n"/>
      <x:c r="AC269" s="2" t="n"/>
      <x:c r="AD269" s="2" t="n"/>
      <x:c r="AE269" s="2" t="n"/>
      <x:c r="AF269" s="2" t="inlineStr">
        <x:is>
          <x:t xml:space="preserve">Imported from SRD 5.2.1 p. 350 Index of Stat Blocks</x:t>
        </x:is>
      </x:c>
      <x:c r="AG269" s="2" t="inlineStr">
        <x:is>
          <x:t xml:space="preserve">https://www.dndbeyond.com/srd</x:t>
        </x:is>
      </x:c>
    </x:row>
    <x:row r="270" ht="18" customHeight="1">
      <x:c r="A270" s="2" t="inlineStr">
        <x:is>
          <x:t xml:space="preserve">Giant Eagle</x:t>
        </x:is>
      </x:c>
      <x:c r="B270" s="2" t="inlineStr">
        <x:is>
          <x:t xml:space="preserve">SRD 5.2.1</x:t>
        </x:is>
      </x:c>
      <x:c r="C270" s="2" t="inlineStr">
        <x:is>
          <x:t xml:space="preserve">Celestial</x:t>
        </x:is>
      </x:c>
      <x:c r="D270" s="2" t="inlineStr">
        <x:is>
          <x:t xml:space="preserve">Large</x:t>
        </x:is>
      </x:c>
      <x:c r="E270" s="2" t="inlineStr">
        <x:is>
          <x:t xml:space="preserve">Neutral Good</x:t>
        </x:is>
      </x:c>
      <x:c r="F270" s="2" t="inlineStr">
        <x:is>
          <x:t xml:space="preserve">1</x:t>
        </x:is>
      </x:c>
      <x:c r="G270" s="2" t="inlineStr">
        <x:is>
          <x:t xml:space="preserve">200</x:t>
        </x:is>
      </x:c>
      <x:c r="H270" s="2" t="inlineStr">
        <x:is>
          <x:t xml:space="preserve">13</x:t>
        </x:is>
      </x:c>
      <x:c r="I270" s="2" t="inlineStr">
        <x:is>
          <x:t xml:space="preserve">26</x:t>
        </x:is>
      </x:c>
      <x:c r="J270" s="2" t="inlineStr">
        <x:is>
          <x:t xml:space="preserve">10 ft., Fly 80 ft.</x:t>
        </x:is>
      </x:c>
      <x:c r="K270" s="2" t="inlineStr">
        <x:is>
          <x:t xml:space="preserve">2</x:t>
        </x:is>
      </x:c>
      <x:c r="L270" s="2" t="inlineStr">
        <x:is>
          <x:t xml:space="preserve">16</x:t>
        </x:is>
      </x:c>
      <x:c r="M270" s="2" t="n"/>
      <x:c r="N270" s="2" t="inlineStr">
        <x:is>
          <x:t xml:space="preserve">5</x:t>
        </x:is>
      </x:c>
      <x:c r="O270" s="2" t="inlineStr">
        <x:is>
          <x:t xml:space="preserve">3</x:t>
        </x:is>
      </x:c>
      <x:c r="P270" s="2" t="inlineStr">
        <x:is>
          <x:t xml:space="preserve">16</x:t>
        </x:is>
      </x:c>
      <x:c r="Q270" s="2" t="inlineStr">
        <x:is>
          <x:t xml:space="preserve">17</x:t>
        </x:is>
      </x:c>
      <x:c r="R270" s="2" t="inlineStr">
        <x:is>
          <x:t xml:space="preserve">13</x:t>
        </x:is>
      </x:c>
      <x:c r="S270" s="2" t="inlineStr">
        <x:is>
          <x:t xml:space="preserve">8</x:t>
        </x:is>
      </x:c>
      <x:c r="T270" s="2" t="inlineStr">
        <x:is>
          <x:t xml:space="preserve">14</x:t>
        </x:is>
      </x:c>
      <x:c r="U270" s="2" t="inlineStr">
        <x:is>
          <x:t xml:space="preserve">10</x:t>
        </x:is>
      </x:c>
      <x:c r="V270" s="2" t="n"/>
      <x:c r="W270" s="2" t="inlineStr">
        <x:is>
          <x:t xml:space="preserve">Perception +6</x:t>
        </x:is>
      </x:c>
      <x:c r="X270" s="2" t="inlineStr">
        <x:is>
          <x:t xml:space="preserve">Passive Perception 16</x:t>
        </x:is>
      </x:c>
      <x:c r="Y270" s="2" t="inlineStr">
        <x:is>
          <x:t xml:space="preserve">Celestial; understands Common and Primordial (Auran) but can’t speak them</x:t>
        </x:is>
      </x:c>
      <x:c r="Z270" s="2" t="n"/>
      <x:c r="AA270" s="2" t="inlineStr">
        <x:is>
          <x:t xml:space="preserve">Multiattack. The eagle makes two Rend attacks. Rend. Melee Attack Roll: +5, reach 5 ft. Hit: 5 (1d4 + 3) Slashing damage plus 3 (1d6) Radiant damage.</x:t>
        </x:is>
      </x:c>
      <x:c r="AB270" s="2" t="n"/>
      <x:c r="AC270" s="2" t="n"/>
      <x:c r="AD270" s="2" t="n"/>
      <x:c r="AE270" s="2" t="n"/>
      <x:c r="AF270" s="2" t="inlineStr">
        <x:is>
          <x:t xml:space="preserve">Imported from SRD 5.2.1 p. 350 Index of Stat Blocks</x:t>
        </x:is>
      </x:c>
      <x:c r="AG270" s="2" t="inlineStr">
        <x:is>
          <x:t xml:space="preserve">https://www.dndbeyond.com/srd</x:t>
        </x:is>
      </x:c>
    </x:row>
    <x:row r="271" ht="18" customHeight="1">
      <x:c r="A271" s="2" t="inlineStr">
        <x:is>
          <x:t xml:space="preserve">Giant Elk</x:t>
        </x:is>
      </x:c>
      <x:c r="B271" s="2" t="inlineStr">
        <x:is>
          <x:t xml:space="preserve">SRD 5.2.1</x:t>
        </x:is>
      </x:c>
      <x:c r="C271" s="2" t="inlineStr">
        <x:is>
          <x:t xml:space="preserve">Celestial</x:t>
        </x:is>
      </x:c>
      <x:c r="D271" s="2" t="inlineStr">
        <x:is>
          <x:t xml:space="preserve">Huge</x:t>
        </x:is>
      </x:c>
      <x:c r="E271" s="2" t="inlineStr">
        <x:is>
          <x:t xml:space="preserve">Neutral Good</x:t>
        </x:is>
      </x:c>
      <x:c r="F271" s="2" t="inlineStr">
        <x:is>
          <x:t xml:space="preserve">2</x:t>
        </x:is>
      </x:c>
      <x:c r="G271" s="2" t="inlineStr">
        <x:is>
          <x:t xml:space="preserve">450</x:t>
        </x:is>
      </x:c>
      <x:c r="H271" s="2" t="inlineStr">
        <x:is>
          <x:t xml:space="preserve">14</x:t>
        </x:is>
      </x:c>
      <x:c r="I271" s="2" t="inlineStr">
        <x:is>
          <x:t xml:space="preserve">42</x:t>
        </x:is>
      </x:c>
      <x:c r="J271" s="2" t="inlineStr">
        <x:is>
          <x:t xml:space="preserve">60 ft.</x:t>
        </x:is>
      </x:c>
      <x:c r="K271" s="2" t="inlineStr">
        <x:is>
          <x:t xml:space="preserve">2</x:t>
        </x:is>
      </x:c>
      <x:c r="L271" s="2" t="inlineStr">
        <x:is>
          <x:t xml:space="preserve">14</x:t>
        </x:is>
      </x:c>
      <x:c r="M271" s="2" t="n"/>
      <x:c r="N271" s="2" t="inlineStr">
        <x:is>
          <x:t xml:space="preserve">6</x:t>
        </x:is>
      </x:c>
      <x:c r="O271" s="2" t="inlineStr">
        <x:is>
          <x:t xml:space="preserve">6</x:t>
        </x:is>
      </x:c>
      <x:c r="P271" s="2" t="inlineStr">
        <x:is>
          <x:t xml:space="preserve">19</x:t>
        </x:is>
      </x:c>
      <x:c r="Q271" s="2" t="inlineStr">
        <x:is>
          <x:t xml:space="preserve">18</x:t>
        </x:is>
      </x:c>
      <x:c r="R271" s="2" t="inlineStr">
        <x:is>
          <x:t xml:space="preserve">14</x:t>
        </x:is>
      </x:c>
      <x:c r="S271" s="2" t="inlineStr">
        <x:is>
          <x:t xml:space="preserve">7</x:t>
        </x:is>
      </x:c>
      <x:c r="T271" s="2" t="inlineStr">
        <x:is>
          <x:t xml:space="preserve">14</x:t>
        </x:is>
      </x:c>
      <x:c r="U271" s="2" t="inlineStr">
        <x:is>
          <x:t xml:space="preserve">10</x:t>
        </x:is>
      </x:c>
      <x:c r="V271" s="2" t="inlineStr">
        <x:is>
          <x:t xml:space="preserve">STR +6, DEX +6</x:t>
        </x:is>
      </x:c>
      <x:c r="W271" s="2" t="inlineStr">
        <x:is>
          <x:t xml:space="preserve">Perception +4</x:t>
        </x:is>
      </x:c>
      <x:c r="X271" s="2" t="inlineStr">
        <x:is>
          <x:t xml:space="preserve">Darkvision 90 ft.; Passive Perception 14</x:t>
        </x:is>
      </x:c>
      <x:c r="Y271" s="2" t="inlineStr">
        <x:is>
          <x:t xml:space="preserve">Celestial; understands Common, Elvish, and Sylvan but can’t speak them</x:t>
        </x:is>
      </x:c>
      <x:c r="Z271" s="2" t="n"/>
      <x:c r="AA271" s="2" t="inlineStr">
        <x:is>
          <x:t xml:space="preserve">Ram. Melee Attack Roll: +6, reach 10 ft. Hit: 11 (2d6 + 4) Bludgeoning damage plus 5 (2d4) Radiant damage. If the target is a Huge or smaller creature and the elk moved 20+ feet straight toward it immediately before the hit, the target takes an extra 5 (2d4) Bludgeoning damage and has the Prone condition.</x:t>
        </x:is>
      </x:c>
      <x:c r="AB271" s="2" t="n"/>
      <x:c r="AC271" s="2" t="n"/>
      <x:c r="AD271" s="2" t="n"/>
      <x:c r="AE271" s="2" t="n"/>
      <x:c r="AF271" s="2" t="inlineStr">
        <x:is>
          <x:t xml:space="preserve">Imported from SRD 5.2.1 p. 351 Index of Stat Blocks</x:t>
        </x:is>
      </x:c>
      <x:c r="AG271" s="2" t="inlineStr">
        <x:is>
          <x:t xml:space="preserve">https://www.dndbeyond.com/srd</x:t>
        </x:is>
      </x:c>
    </x:row>
    <x:row r="272" ht="18" customHeight="1">
      <x:c r="A272" s="2" t="inlineStr">
        <x:is>
          <x:t xml:space="preserve">Giant Fire Beetle</x:t>
        </x:is>
      </x:c>
      <x:c r="B272" s="2" t="inlineStr">
        <x:is>
          <x:t xml:space="preserve">SRD 5.2.1</x:t>
        </x:is>
      </x:c>
      <x:c r="C272" s="2" t="inlineStr">
        <x:is>
          <x:t xml:space="preserve">Beast</x:t>
        </x:is>
      </x:c>
      <x:c r="D272" s="2" t="inlineStr">
        <x:is>
          <x:t xml:space="preserve">Small</x:t>
        </x:is>
      </x:c>
      <x:c r="E272" s="2" t="inlineStr">
        <x:is>
          <x:t xml:space="preserve">Unaligned</x:t>
        </x:is>
      </x:c>
      <x:c r="F272" s="2" t="inlineStr">
        <x:is>
          <x:t xml:space="preserve">0</x:t>
        </x:is>
      </x:c>
      <x:c r="G272" s="2" t="inlineStr">
        <x:is>
          <x:t xml:space="preserve">10</x:t>
        </x:is>
      </x:c>
      <x:c r="H272" s="2" t="inlineStr">
        <x:is>
          <x:t xml:space="preserve">13</x:t>
        </x:is>
      </x:c>
      <x:c r="I272" s="2" t="inlineStr">
        <x:is>
          <x:t xml:space="preserve">4</x:t>
        </x:is>
      </x:c>
      <x:c r="J272" s="2" t="inlineStr">
        <x:is>
          <x:t xml:space="preserve">30 ft., Climb 30 ft.</x:t>
        </x:is>
      </x:c>
      <x:c r="K272" s="2" t="inlineStr">
        <x:is>
          <x:t xml:space="preserve">2</x:t>
        </x:is>
      </x:c>
      <x:c r="L272" s="2" t="inlineStr">
        <x:is>
          <x:t xml:space="preserve">8</x:t>
        </x:is>
      </x:c>
      <x:c r="M272" s="2" t="n"/>
      <x:c r="N272" s="2" t="inlineStr">
        <x:is>
          <x:t xml:space="preserve">1</x:t>
        </x:is>
      </x:c>
      <x:c r="O272" s="2" t="inlineStr">
        <x:is>
          <x:t xml:space="preserve">0</x:t>
        </x:is>
      </x:c>
      <x:c r="P272" s="2" t="inlineStr">
        <x:is>
          <x:t xml:space="preserve">8</x:t>
        </x:is>
      </x:c>
      <x:c r="Q272" s="2" t="inlineStr">
        <x:is>
          <x:t xml:space="preserve">10</x:t>
        </x:is>
      </x:c>
      <x:c r="R272" s="2" t="inlineStr">
        <x:is>
          <x:t xml:space="preserve">12</x:t>
        </x:is>
      </x:c>
      <x:c r="S272" s="2" t="inlineStr">
        <x:is>
          <x:t xml:space="preserve">1</x:t>
        </x:is>
      </x:c>
      <x:c r="T272" s="2" t="inlineStr">
        <x:is>
          <x:t xml:space="preserve">7</x:t>
        </x:is>
      </x:c>
      <x:c r="U272" s="2" t="inlineStr">
        <x:is>
          <x:t xml:space="preserve">3</x:t>
        </x:is>
      </x:c>
      <x:c r="V272" s="2" t="n"/>
      <x:c r="W272" s="2" t="n"/>
      <x:c r="X272" s="2" t="inlineStr">
        <x:is>
          <x:t xml:space="preserve">Blindsight 30 ft.; Passive Perception 8</x:t>
        </x:is>
      </x:c>
      <x:c r="Y272" s="2" t="inlineStr">
        <x:is>
          <x:t xml:space="preserve">None</x:t>
        </x:is>
      </x:c>
      <x:c r="Z272" s="2" t="inlineStr">
        <x:is>
          <x:t xml:space="preserve">Illumination. The beetle sheds Bright Light in a 10-foot radius and Dim Light for an additional 10 feet.</x:t>
        </x:is>
      </x:c>
      <x:c r="AA272" s="2" t="inlineStr">
        <x:is>
          <x:t xml:space="preserve">Bite. Melee Attack Roll: +1, reach 5 ft. Hit: 1 Fire damage.</x:t>
        </x:is>
      </x:c>
      <x:c r="AB272" s="2" t="n"/>
      <x:c r="AC272" s="2" t="n"/>
      <x:c r="AD272" s="2" t="n"/>
      <x:c r="AE272" s="2" t="n"/>
      <x:c r="AF272" s="2" t="inlineStr">
        <x:is>
          <x:t xml:space="preserve">Imported from SRD 5.2.1 p. 351 Index of Stat Blocks</x:t>
        </x:is>
      </x:c>
      <x:c r="AG272" s="2" t="inlineStr">
        <x:is>
          <x:t xml:space="preserve">https://www.dndbeyond.com/srd</x:t>
        </x:is>
      </x:c>
    </x:row>
    <x:row r="273" ht="18" customHeight="1">
      <x:c r="A273" s="2" t="inlineStr">
        <x:is>
          <x:t xml:space="preserve">Giant Frog</x:t>
        </x:is>
      </x:c>
      <x:c r="B273" s="2" t="inlineStr">
        <x:is>
          <x:t xml:space="preserve">SRD 5.2.1</x:t>
        </x:is>
      </x:c>
      <x:c r="C273" s="2" t="inlineStr">
        <x:is>
          <x:t xml:space="preserve">Beast</x:t>
        </x:is>
      </x:c>
      <x:c r="D273" s="2" t="inlineStr">
        <x:is>
          <x:t xml:space="preserve">Medium</x:t>
        </x:is>
      </x:c>
      <x:c r="E273" s="2" t="inlineStr">
        <x:is>
          <x:t xml:space="preserve">Unaligned</x:t>
        </x:is>
      </x:c>
      <x:c r="F273" s="2" t="inlineStr">
        <x:is>
          <x:t xml:space="preserve">1/4</x:t>
        </x:is>
      </x:c>
      <x:c r="G273" s="2" t="inlineStr">
        <x:is>
          <x:t xml:space="preserve">50</x:t>
        </x:is>
      </x:c>
      <x:c r="H273" s="2" t="inlineStr">
        <x:is>
          <x:t xml:space="preserve">11</x:t>
        </x:is>
      </x:c>
      <x:c r="I273" s="2" t="inlineStr">
        <x:is>
          <x:t xml:space="preserve">18</x:t>
        </x:is>
      </x:c>
      <x:c r="J273" s="2" t="inlineStr">
        <x:is>
          <x:t xml:space="preserve">30 ft., Swim 30 ft.</x:t>
        </x:is>
      </x:c>
      <x:c r="K273" s="2" t="inlineStr">
        <x:is>
          <x:t xml:space="preserve">2</x:t>
        </x:is>
      </x:c>
      <x:c r="L273" s="2" t="inlineStr">
        <x:is>
          <x:t xml:space="preserve">12</x:t>
        </x:is>
      </x:c>
      <x:c r="M273" s="2" t="n"/>
      <x:c r="N273" s="2" t="inlineStr">
        <x:is>
          <x:t xml:space="preserve">3</x:t>
        </x:is>
      </x:c>
      <x:c r="O273" s="2" t="inlineStr">
        <x:is>
          <x:t xml:space="preserve">1</x:t>
        </x:is>
      </x:c>
      <x:c r="P273" s="2" t="inlineStr">
        <x:is>
          <x:t xml:space="preserve">12</x:t>
        </x:is>
      </x:c>
      <x:c r="Q273" s="2" t="inlineStr">
        <x:is>
          <x:t xml:space="preserve">13</x:t>
        </x:is>
      </x:c>
      <x:c r="R273" s="2" t="inlineStr">
        <x:is>
          <x:t xml:space="preserve">11</x:t>
        </x:is>
      </x:c>
      <x:c r="S273" s="2" t="inlineStr">
        <x:is>
          <x:t xml:space="preserve">2</x:t>
        </x:is>
      </x:c>
      <x:c r="T273" s="2" t="inlineStr">
        <x:is>
          <x:t xml:space="preserve">10</x:t>
        </x:is>
      </x:c>
      <x:c r="U273" s="2" t="inlineStr">
        <x:is>
          <x:t xml:space="preserve">3</x:t>
        </x:is>
      </x:c>
      <x:c r="V273" s="2" t="n"/>
      <x:c r="W273" s="2" t="inlineStr">
        <x:is>
          <x:t xml:space="preserve">Perception +2, Stealth +4</x:t>
        </x:is>
      </x:c>
      <x:c r="X273" s="2" t="inlineStr">
        <x:is>
          <x:t xml:space="preserve">Darkvision 30 ft.; Passive Perception 12</x:t>
        </x:is>
      </x:c>
      <x:c r="Y273" s="2" t="inlineStr">
        <x:is>
          <x:t xml:space="preserve">None</x:t>
        </x:is>
      </x:c>
      <x:c r="Z273" s="2" t="inlineStr">
        <x:is>
          <x:t xml:space="preserve">Amphibious. The frog can breathe air and water. Standing Leap. The frog’s Long Jump is up to 20 feet and its High Jump is up to 10 feet with or without a running start.</x:t>
        </x:is>
      </x:c>
      <x:c r="AA273" s="2" t="inlineStr">
        <x:is>
          <x:t xml:space="preserve">Bite. Melee Attack Roll: +3, reach 5 ft. Hit: 5 (1d6 + 2) Piercing damage. If the target is a Medium or smaller creature, it has the Grappled condition (escape DC 11). Swallow. The frog swallows a Small or smaller target it is grappling. While swallowed, the target isn’t Grappled but has the Blinded and Restrained conditions, and it has Total Cover against attacks and other effects outside the frog. While swallowing the target, the frog can’t use Bite, and if the frog dies, the swallowed target is no lon- ger Restrained and can escape from the corpse using 5 feet of movement, exiting with the Prone condition. At the end of the frog’s next turn, the swallowed target takes 5 (2d4) Acid damage. If that damage doesn’t kill it, the frog disgorges it, causing it to exit Prone.</x:t>
        </x:is>
      </x:c>
      <x:c r="AB273" s="2" t="n"/>
      <x:c r="AC273" s="2" t="n"/>
      <x:c r="AD273" s="2" t="n"/>
      <x:c r="AE273" s="2" t="n"/>
      <x:c r="AF273" s="2" t="inlineStr">
        <x:is>
          <x:t xml:space="preserve">Imported from SRD 5.2.1 p. 351 Index of Stat Blocks</x:t>
        </x:is>
      </x:c>
      <x:c r="AG273" s="2" t="inlineStr">
        <x:is>
          <x:t xml:space="preserve">https://www.dndbeyond.com/srd</x:t>
        </x:is>
      </x:c>
    </x:row>
    <x:row r="274" ht="18" customHeight="1">
      <x:c r="A274" s="2" t="inlineStr">
        <x:is>
          <x:t xml:space="preserve">Giant Goat</x:t>
        </x:is>
      </x:c>
      <x:c r="B274" s="2" t="inlineStr">
        <x:is>
          <x:t xml:space="preserve">SRD 5.2.1</x:t>
        </x:is>
      </x:c>
      <x:c r="C274" s="2" t="inlineStr">
        <x:is>
          <x:t xml:space="preserve">Beast</x:t>
        </x:is>
      </x:c>
      <x:c r="D274" s="2" t="inlineStr">
        <x:is>
          <x:t xml:space="preserve">Large</x:t>
        </x:is>
      </x:c>
      <x:c r="E274" s="2" t="inlineStr">
        <x:is>
          <x:t xml:space="preserve">Unaligned</x:t>
        </x:is>
      </x:c>
      <x:c r="F274" s="2" t="inlineStr">
        <x:is>
          <x:t xml:space="preserve">1/2</x:t>
        </x:is>
      </x:c>
      <x:c r="G274" s="2" t="inlineStr">
        <x:is>
          <x:t xml:space="preserve">100</x:t>
        </x:is>
      </x:c>
      <x:c r="H274" s="2" t="inlineStr">
        <x:is>
          <x:t xml:space="preserve">11</x:t>
        </x:is>
      </x:c>
      <x:c r="I274" s="2" t="inlineStr">
        <x:is>
          <x:t xml:space="preserve">19</x:t>
        </x:is>
      </x:c>
      <x:c r="J274" s="2" t="inlineStr">
        <x:is>
          <x:t xml:space="preserve">40 ft., Climb 30 ft.</x:t>
        </x:is>
      </x:c>
      <x:c r="K274" s="2" t="inlineStr">
        <x:is>
          <x:t xml:space="preserve">2</x:t>
        </x:is>
      </x:c>
      <x:c r="L274" s="2" t="inlineStr">
        <x:is>
          <x:t xml:space="preserve">13</x:t>
        </x:is>
      </x:c>
      <x:c r="M274" s="2" t="n"/>
      <x:c r="N274" s="2" t="inlineStr">
        <x:is>
          <x:t xml:space="preserve">5</x:t>
        </x:is>
      </x:c>
      <x:c r="O274" s="2" t="inlineStr">
        <x:is>
          <x:t xml:space="preserve">1</x:t>
        </x:is>
      </x:c>
      <x:c r="P274" s="2" t="inlineStr">
        <x:is>
          <x:t xml:space="preserve">17</x:t>
        </x:is>
      </x:c>
      <x:c r="Q274" s="2" t="inlineStr">
        <x:is>
          <x:t xml:space="preserve">13</x:t>
        </x:is>
      </x:c>
      <x:c r="R274" s="2" t="inlineStr">
        <x:is>
          <x:t xml:space="preserve">12</x:t>
        </x:is>
      </x:c>
      <x:c r="S274" s="2" t="inlineStr">
        <x:is>
          <x:t xml:space="preserve">3</x:t>
        </x:is>
      </x:c>
      <x:c r="T274" s="2" t="inlineStr">
        <x:is>
          <x:t xml:space="preserve">12</x:t>
        </x:is>
      </x:c>
      <x:c r="U274" s="2" t="inlineStr">
        <x:is>
          <x:t xml:space="preserve">6</x:t>
        </x:is>
      </x:c>
      <x:c r="V274" s="2" t="inlineStr">
        <x:is>
          <x:t xml:space="preserve">STR +5</x:t>
        </x:is>
      </x:c>
      <x:c r="W274" s="2" t="inlineStr">
        <x:is>
          <x:t xml:space="preserve">Perception +3</x:t>
        </x:is>
      </x:c>
      <x:c r="X274" s="2" t="inlineStr">
        <x:is>
          <x:t xml:space="preserve">Darkvision 60 ft.; Passive Perception 13</x:t>
        </x:is>
      </x:c>
      <x:c r="Y274" s="2" t="inlineStr">
        <x:is>
          <x:t xml:space="preserve">None</x:t>
        </x:is>
      </x:c>
      <x:c r="Z274" s="2" t="n"/>
      <x:c r="AA274" s="2" t="inlineStr">
        <x:is>
          <x:t xml:space="preserve">Ram. Melee Attack Roll: +5, reach 5 ft. Hit: 6 (1d6 + 3) Bludgeoning damage. If the target is a Large or smaller creature and the goat moved 20+ feet straight toward it immediately before the hit, the target takes an extra 5 (2d4) Bludgeoning damage and has the Prone condition.</x:t>
        </x:is>
      </x:c>
      <x:c r="AB274" s="2" t="n"/>
      <x:c r="AC274" s="2" t="n"/>
      <x:c r="AD274" s="2" t="n"/>
      <x:c r="AE274" s="2" t="n"/>
      <x:c r="AF274" s="2" t="inlineStr">
        <x:is>
          <x:t xml:space="preserve">Imported from SRD 5.2.1 p. 351 Index of Stat Blocks</x:t>
        </x:is>
      </x:c>
      <x:c r="AG274" s="2" t="inlineStr">
        <x:is>
          <x:t xml:space="preserve">https://www.dndbeyond.com/srd</x:t>
        </x:is>
      </x:c>
    </x:row>
    <x:row r="275" ht="18" customHeight="1">
      <x:c r="A275" s="2" t="inlineStr">
        <x:is>
          <x:t xml:space="preserve">Giant Hyena</x:t>
        </x:is>
      </x:c>
      <x:c r="B275" s="2" t="inlineStr">
        <x:is>
          <x:t xml:space="preserve">SRD 5.2.1</x:t>
        </x:is>
      </x:c>
      <x:c r="C275" s="2" t="inlineStr">
        <x:is>
          <x:t xml:space="preserve">Beast</x:t>
        </x:is>
      </x:c>
      <x:c r="D275" s="2" t="inlineStr">
        <x:is>
          <x:t xml:space="preserve">Large</x:t>
        </x:is>
      </x:c>
      <x:c r="E275" s="2" t="inlineStr">
        <x:is>
          <x:t xml:space="preserve">Unaligned</x:t>
        </x:is>
      </x:c>
      <x:c r="F275" s="2" t="inlineStr">
        <x:is>
          <x:t xml:space="preserve">1</x:t>
        </x:is>
      </x:c>
      <x:c r="G275" s="2" t="inlineStr">
        <x:is>
          <x:t xml:space="preserve">200</x:t>
        </x:is>
      </x:c>
      <x:c r="H275" s="2" t="inlineStr">
        <x:is>
          <x:t xml:space="preserve">12</x:t>
        </x:is>
      </x:c>
      <x:c r="I275" s="2" t="inlineStr">
        <x:is>
          <x:t xml:space="preserve">45</x:t>
        </x:is>
      </x:c>
      <x:c r="J275" s="2" t="inlineStr">
        <x:is>
          <x:t xml:space="preserve">50 ft.</x:t>
        </x:is>
      </x:c>
      <x:c r="K275" s="2" t="inlineStr">
        <x:is>
          <x:t xml:space="preserve">2</x:t>
        </x:is>
      </x:c>
      <x:c r="L275" s="2" t="inlineStr">
        <x:is>
          <x:t xml:space="preserve">13</x:t>
        </x:is>
      </x:c>
      <x:c r="M275" s="2" t="n"/>
      <x:c r="N275" s="2" t="inlineStr">
        <x:is>
          <x:t xml:space="preserve">5</x:t>
        </x:is>
      </x:c>
      <x:c r="O275" s="2" t="inlineStr">
        <x:is>
          <x:t xml:space="preserve">2</x:t>
        </x:is>
      </x:c>
      <x:c r="P275" s="2" t="inlineStr">
        <x:is>
          <x:t xml:space="preserve">16</x:t>
        </x:is>
      </x:c>
      <x:c r="Q275" s="2" t="inlineStr">
        <x:is>
          <x:t xml:space="preserve">14</x:t>
        </x:is>
      </x:c>
      <x:c r="R275" s="2" t="inlineStr">
        <x:is>
          <x:t xml:space="preserve">14</x:t>
        </x:is>
      </x:c>
      <x:c r="S275" s="2" t="inlineStr">
        <x:is>
          <x:t xml:space="preserve">2</x:t>
        </x:is>
      </x:c>
      <x:c r="T275" s="2" t="inlineStr">
        <x:is>
          <x:t xml:space="preserve">12</x:t>
        </x:is>
      </x:c>
      <x:c r="U275" s="2" t="inlineStr">
        <x:is>
          <x:t xml:space="preserve">7</x:t>
        </x:is>
      </x:c>
      <x:c r="V275" s="2" t="n"/>
      <x:c r="W275" s="2" t="inlineStr">
        <x:is>
          <x:t xml:space="preserve">Perception +3</x:t>
        </x:is>
      </x:c>
      <x:c r="X275" s="2" t="inlineStr">
        <x:is>
          <x:t xml:space="preserve">Darkvision 60 ft.; Passive Perception 13</x:t>
        </x:is>
      </x:c>
      <x:c r="Y275" s="2" t="inlineStr">
        <x:is>
          <x:t xml:space="preserve">None</x:t>
        </x:is>
      </x:c>
      <x:c r="Z275" s="2" t="n"/>
      <x:c r="AA275" s="2" t="inlineStr">
        <x:is>
          <x:t xml:space="preserve">Bite. Melee Attack Roll: +5, reach 5 ft. Hit: 10 (2d6 + 3) Piercing damage.</x:t>
        </x:is>
      </x:c>
      <x:c r="AB275" s="2" t="inlineStr">
        <x:is>
          <x:t xml:space="preserve">Rampage (1/Day). Immediately after dealing damage to a creature that was already Bloodied, the hyena can move up to half its Speed, and it makes one Bite attack.</x:t>
        </x:is>
      </x:c>
      <x:c r="AC275" s="2" t="n"/>
      <x:c r="AD275" s="2" t="n"/>
      <x:c r="AE275" s="2" t="n"/>
      <x:c r="AF275" s="2" t="inlineStr">
        <x:is>
          <x:t xml:space="preserve">Imported from SRD 5.2.1 p. 352 Index of Stat Blocks</x:t>
        </x:is>
      </x:c>
      <x:c r="AG275" s="2" t="inlineStr">
        <x:is>
          <x:t xml:space="preserve">https://www.dndbeyond.com/srd</x:t>
        </x:is>
      </x:c>
    </x:row>
    <x:row r="276" ht="18" customHeight="1">
      <x:c r="A276" s="2" t="inlineStr">
        <x:is>
          <x:t xml:space="preserve">Giant Lizard</x:t>
        </x:is>
      </x:c>
      <x:c r="B276" s="2" t="inlineStr">
        <x:is>
          <x:t xml:space="preserve">SRD 5.2.1</x:t>
        </x:is>
      </x:c>
      <x:c r="C276" s="2" t="inlineStr">
        <x:is>
          <x:t xml:space="preserve">Beast</x:t>
        </x:is>
      </x:c>
      <x:c r="D276" s="2" t="inlineStr">
        <x:is>
          <x:t xml:space="preserve">Large</x:t>
        </x:is>
      </x:c>
      <x:c r="E276" s="2" t="inlineStr">
        <x:is>
          <x:t xml:space="preserve">Unaligned</x:t>
        </x:is>
      </x:c>
      <x:c r="F276" s="2" t="inlineStr">
        <x:is>
          <x:t xml:space="preserve">1/4</x:t>
        </x:is>
      </x:c>
      <x:c r="G276" s="2" t="inlineStr">
        <x:is>
          <x:t xml:space="preserve">50</x:t>
        </x:is>
      </x:c>
      <x:c r="H276" s="2" t="inlineStr">
        <x:is>
          <x:t xml:space="preserve">12</x:t>
        </x:is>
      </x:c>
      <x:c r="I276" s="2" t="inlineStr">
        <x:is>
          <x:t xml:space="preserve">19</x:t>
        </x:is>
      </x:c>
      <x:c r="J276" s="2" t="inlineStr">
        <x:is>
          <x:t xml:space="preserve">40 ft., Climb 40 ft.</x:t>
        </x:is>
      </x:c>
      <x:c r="K276" s="2" t="inlineStr">
        <x:is>
          <x:t xml:space="preserve">2</x:t>
        </x:is>
      </x:c>
      <x:c r="L276" s="2" t="inlineStr">
        <x:is>
          <x:t xml:space="preserve">10</x:t>
        </x:is>
      </x:c>
      <x:c r="M276" s="2" t="n"/>
      <x:c r="N276" s="2" t="inlineStr">
        <x:is>
          <x:t xml:space="preserve">4</x:t>
        </x:is>
      </x:c>
      <x:c r="O276" s="2" t="inlineStr">
        <x:is>
          <x:t xml:space="preserve">1</x:t>
        </x:is>
      </x:c>
      <x:c r="P276" s="2" t="inlineStr">
        <x:is>
          <x:t xml:space="preserve">15</x:t>
        </x:is>
      </x:c>
      <x:c r="Q276" s="2" t="inlineStr">
        <x:is>
          <x:t xml:space="preserve">12</x:t>
        </x:is>
      </x:c>
      <x:c r="R276" s="2" t="inlineStr">
        <x:is>
          <x:t xml:space="preserve">13</x:t>
        </x:is>
      </x:c>
      <x:c r="S276" s="2" t="inlineStr">
        <x:is>
          <x:t xml:space="preserve">2</x:t>
        </x:is>
      </x:c>
      <x:c r="T276" s="2" t="inlineStr">
        <x:is>
          <x:t xml:space="preserve">10</x:t>
        </x:is>
      </x:c>
      <x:c r="U276" s="2" t="inlineStr">
        <x:is>
          <x:t xml:space="preserve">5</x:t>
        </x:is>
      </x:c>
      <x:c r="V276" s="2" t="inlineStr">
        <x:is>
          <x:t xml:space="preserve">DEX +3</x:t>
        </x:is>
      </x:c>
      <x:c r="W276" s="2" t="n"/>
      <x:c r="X276" s="2" t="inlineStr">
        <x:is>
          <x:t xml:space="preserve">Darkvision 60 ft.; Passive Perception 10</x:t>
        </x:is>
      </x:c>
      <x:c r="Y276" s="2" t="inlineStr">
        <x:is>
          <x:t xml:space="preserve">None</x:t>
        </x:is>
      </x:c>
      <x:c r="Z276" s="2" t="inlineStr">
        <x:is>
          <x:t xml:space="preserve">Spider Climb. The lizard can climb difficult surfaces, including along ceilings, without needing to make an ability check.</x:t>
        </x:is>
      </x:c>
      <x:c r="AA276" s="2" t="inlineStr">
        <x:is>
          <x:t xml:space="preserve">Bite. Melee Attack Roll: +4, reach 5 ft. Hit: 6 (1d8 + 2) Piercing damage.</x:t>
        </x:is>
      </x:c>
      <x:c r="AB276" s="2" t="n"/>
      <x:c r="AC276" s="2" t="n"/>
      <x:c r="AD276" s="2" t="n"/>
      <x:c r="AE276" s="2" t="n"/>
      <x:c r="AF276" s="2" t="inlineStr">
        <x:is>
          <x:t xml:space="preserve">Imported from SRD 5.2.1 p. 352 Index of Stat Blocks</x:t>
        </x:is>
      </x:c>
      <x:c r="AG276" s="2" t="inlineStr">
        <x:is>
          <x:t xml:space="preserve">https://www.dndbeyond.com/srd</x:t>
        </x:is>
      </x:c>
    </x:row>
    <x:row r="277" ht="18" customHeight="1">
      <x:c r="A277" s="2" t="inlineStr">
        <x:is>
          <x:t xml:space="preserve">Giant Octopus</x:t>
        </x:is>
      </x:c>
      <x:c r="B277" s="2" t="inlineStr">
        <x:is>
          <x:t xml:space="preserve">SRD 5.2.1</x:t>
        </x:is>
      </x:c>
      <x:c r="C277" s="2" t="inlineStr">
        <x:is>
          <x:t xml:space="preserve">Beast</x:t>
        </x:is>
      </x:c>
      <x:c r="D277" s="2" t="inlineStr">
        <x:is>
          <x:t xml:space="preserve">Large</x:t>
        </x:is>
      </x:c>
      <x:c r="E277" s="2" t="inlineStr">
        <x:is>
          <x:t xml:space="preserve">Unaligned</x:t>
        </x:is>
      </x:c>
      <x:c r="F277" s="2" t="inlineStr">
        <x:is>
          <x:t xml:space="preserve">1</x:t>
        </x:is>
      </x:c>
      <x:c r="G277" s="2" t="inlineStr">
        <x:is>
          <x:t xml:space="preserve">200</x:t>
        </x:is>
      </x:c>
      <x:c r="H277" s="2" t="inlineStr">
        <x:is>
          <x:t xml:space="preserve">11</x:t>
        </x:is>
      </x:c>
      <x:c r="I277" s="2" t="inlineStr">
        <x:is>
          <x:t xml:space="preserve">45</x:t>
        </x:is>
      </x:c>
      <x:c r="J277" s="2" t="inlineStr">
        <x:is>
          <x:t xml:space="preserve">10 ft., Swim 60 ft.</x:t>
        </x:is>
      </x:c>
      <x:c r="K277" s="2" t="inlineStr">
        <x:is>
          <x:t xml:space="preserve">2</x:t>
        </x:is>
      </x:c>
      <x:c r="L277" s="2" t="inlineStr">
        <x:is>
          <x:t xml:space="preserve">14</x:t>
        </x:is>
      </x:c>
      <x:c r="M277" s="2" t="n"/>
      <x:c r="N277" s="2" t="inlineStr">
        <x:is>
          <x:t xml:space="preserve">5</x:t>
        </x:is>
      </x:c>
      <x:c r="O277" s="2" t="inlineStr">
        <x:is>
          <x:t xml:space="preserve">1</x:t>
        </x:is>
      </x:c>
      <x:c r="P277" s="2" t="inlineStr">
        <x:is>
          <x:t xml:space="preserve">17</x:t>
        </x:is>
      </x:c>
      <x:c r="Q277" s="2" t="inlineStr">
        <x:is>
          <x:t xml:space="preserve">13</x:t>
        </x:is>
      </x:c>
      <x:c r="R277" s="2" t="inlineStr">
        <x:is>
          <x:t xml:space="preserve">13</x:t>
        </x:is>
      </x:c>
      <x:c r="S277" s="2" t="inlineStr">
        <x:is>
          <x:t xml:space="preserve">5</x:t>
        </x:is>
      </x:c>
      <x:c r="T277" s="2" t="inlineStr">
        <x:is>
          <x:t xml:space="preserve">10</x:t>
        </x:is>
      </x:c>
      <x:c r="U277" s="2" t="inlineStr">
        <x:is>
          <x:t xml:space="preserve">4</x:t>
        </x:is>
      </x:c>
      <x:c r="V277" s="2" t="n"/>
      <x:c r="W277" s="2" t="inlineStr">
        <x:is>
          <x:t xml:space="preserve">Perception +4, Stealth +5</x:t>
        </x:is>
      </x:c>
      <x:c r="X277" s="2" t="inlineStr">
        <x:is>
          <x:t xml:space="preserve">Darkvision 60 ft.; Passive Perception 14</x:t>
        </x:is>
      </x:c>
      <x:c r="Y277" s="2" t="inlineStr">
        <x:is>
          <x:t xml:space="preserve">None</x:t>
        </x:is>
      </x:c>
      <x:c r="Z277" s="2" t="inlineStr">
        <x:is>
          <x:t xml:space="preserve">Water Breathing. The octopus can breathe only under- water. It can hold its breath for 1 hour outside water.</x:t>
        </x:is>
      </x:c>
      <x:c r="AA277" s="2" t="inlineStr">
        <x:is>
          <x:t xml:space="preserve">Tentacles. Melee Attack Roll: +5, reach 10 ft. Hit: 10 (2d6 + 3) Bludgeoning damage. If the target is a Me- dium or smaller creature, it has the Grappled condition (escape DC 13) from all eight tentacles. While Grap- pled, the target has the Restrained condition.</x:t>
        </x:is>
      </x:c>
      <x:c r="AB277" s="2" t="n"/>
      <x:c r="AC277" s="2" t="inlineStr">
        <x:is>
          <x:t xml:space="preserve">Ink Cloud (1/Day). Trigger: The octopus takes damage while underwater. Response: The octopus releases ink that fills a 10-foot Cube centered on itself, and the oc- topus moves up to its Swim Speed. The Cube is Heavily Obscured for 1 minute or until a strong current or simi- lar effect disperses the ink.</x:t>
        </x:is>
      </x:c>
      <x:c r="AD277" s="2" t="n"/>
      <x:c r="AE277" s="2" t="n"/>
      <x:c r="AF277" s="2" t="inlineStr">
        <x:is>
          <x:t xml:space="preserve">Imported from SRD 5.2.1 p. 352 Index of Stat Blocks</x:t>
        </x:is>
      </x:c>
      <x:c r="AG277" s="2" t="inlineStr">
        <x:is>
          <x:t xml:space="preserve">https://www.dndbeyond.com/srd</x:t>
        </x:is>
      </x:c>
    </x:row>
    <x:row r="278" ht="18" customHeight="1">
      <x:c r="A278" s="2" t="inlineStr">
        <x:is>
          <x:t xml:space="preserve">Giant Owl</x:t>
        </x:is>
      </x:c>
      <x:c r="B278" s="2" t="inlineStr">
        <x:is>
          <x:t xml:space="preserve">SRD 5.2.1</x:t>
        </x:is>
      </x:c>
      <x:c r="C278" s="2" t="inlineStr">
        <x:is>
          <x:t xml:space="preserve">Celestial</x:t>
        </x:is>
      </x:c>
      <x:c r="D278" s="2" t="inlineStr">
        <x:is>
          <x:t xml:space="preserve">Large</x:t>
        </x:is>
      </x:c>
      <x:c r="E278" s="2" t="inlineStr">
        <x:is>
          <x:t xml:space="preserve">Neutral</x:t>
        </x:is>
      </x:c>
      <x:c r="F278" s="2" t="inlineStr">
        <x:is>
          <x:t xml:space="preserve">1/4</x:t>
        </x:is>
      </x:c>
      <x:c r="G278" s="2" t="inlineStr">
        <x:is>
          <x:t xml:space="preserve">50</x:t>
        </x:is>
      </x:c>
      <x:c r="H278" s="2" t="inlineStr">
        <x:is>
          <x:t xml:space="preserve">12</x:t>
        </x:is>
      </x:c>
      <x:c r="I278" s="2" t="inlineStr">
        <x:is>
          <x:t xml:space="preserve">19</x:t>
        </x:is>
      </x:c>
      <x:c r="J278" s="2" t="inlineStr">
        <x:is>
          <x:t xml:space="preserve">5 ft., Fly 60 ft.</x:t>
        </x:is>
      </x:c>
      <x:c r="K278" s="2" t="inlineStr">
        <x:is>
          <x:t xml:space="preserve">2</x:t>
        </x:is>
      </x:c>
      <x:c r="L278" s="2" t="inlineStr">
        <x:is>
          <x:t xml:space="preserve">16</x:t>
        </x:is>
      </x:c>
      <x:c r="M278" s="2" t="n"/>
      <x:c r="N278" s="2" t="inlineStr">
        <x:is>
          <x:t xml:space="preserve">4</x:t>
        </x:is>
      </x:c>
      <x:c r="O278" s="2" t="inlineStr">
        <x:is>
          <x:t xml:space="preserve">2</x:t>
        </x:is>
      </x:c>
      <x:c r="P278" s="2" t="inlineStr">
        <x:is>
          <x:t xml:space="preserve">13</x:t>
        </x:is>
      </x:c>
      <x:c r="Q278" s="2" t="inlineStr">
        <x:is>
          <x:t xml:space="preserve">15</x:t>
        </x:is>
      </x:c>
      <x:c r="R278" s="2" t="inlineStr">
        <x:is>
          <x:t xml:space="preserve">12</x:t>
        </x:is>
      </x:c>
      <x:c r="S278" s="2" t="inlineStr">
        <x:is>
          <x:t xml:space="preserve">10</x:t>
        </x:is>
      </x:c>
      <x:c r="T278" s="2" t="inlineStr">
        <x:is>
          <x:t xml:space="preserve">14</x:t>
        </x:is>
      </x:c>
      <x:c r="U278" s="2" t="inlineStr">
        <x:is>
          <x:t xml:space="preserve">10</x:t>
        </x:is>
      </x:c>
      <x:c r="V278" s="2" t="inlineStr">
        <x:is>
          <x:t xml:space="preserve">WIS +4</x:t>
        </x:is>
      </x:c>
      <x:c r="W278" s="2" t="inlineStr">
        <x:is>
          <x:t xml:space="preserve">Perception +6, Stealth +6</x:t>
        </x:is>
      </x:c>
      <x:c r="X278" s="2" t="inlineStr">
        <x:is>
          <x:t xml:space="preserve">Darkvision 120 ft.; Passive Perception 16</x:t>
        </x:is>
      </x:c>
      <x:c r="Y278" s="2" t="inlineStr">
        <x:is>
          <x:t xml:space="preserve">Celestial; understands Common, Elvish, and Sylvan but can’t speak them</x:t>
        </x:is>
      </x:c>
      <x:c r="Z278" s="2" t="inlineStr">
        <x:is>
          <x:t xml:space="preserve">Flyby. The owl doesn’t provoke an Opportunity Attack when it flies out of an enemy’s reach.</x:t>
        </x:is>
      </x:c>
      <x:c r="AA278" s="2" t="inlineStr">
        <x:is>
          <x:t xml:space="preserve">Talons. Melee Attack Roll: +4, reach 5 ft. Hit: 7 (1d10 + 2) Slashing damage. Spellcasting. The owl casts one of the following spells, requiring no spell components and using Wisdom as the spellcasting ability: At Will: Detect Evil and Good, Detect Magic 1/Day: Clairvoyance</x:t>
        </x:is>
      </x:c>
      <x:c r="AB278" s="2" t="n"/>
      <x:c r="AC278" s="2" t="n"/>
      <x:c r="AD278" s="2" t="n"/>
      <x:c r="AE278" s="2" t="inlineStr">
        <x:is>
          <x:t xml:space="preserve">Includes Spellcasting; see Traits/Actions text</x:t>
        </x:is>
      </x:c>
      <x:c r="AF278" s="2" t="inlineStr">
        <x:is>
          <x:t xml:space="preserve">Imported from SRD 5.2.1 p. 352 Index of Stat Blocks</x:t>
        </x:is>
      </x:c>
      <x:c r="AG278" s="2" t="inlineStr">
        <x:is>
          <x:t xml:space="preserve">https://www.dndbeyond.com/srd</x:t>
        </x:is>
      </x:c>
    </x:row>
    <x:row r="279" ht="18" customHeight="1">
      <x:c r="A279" s="2" t="inlineStr">
        <x:is>
          <x:t xml:space="preserve">Giant Rat</x:t>
        </x:is>
      </x:c>
      <x:c r="B279" s="2" t="inlineStr">
        <x:is>
          <x:t xml:space="preserve">SRD 5.2.1</x:t>
        </x:is>
      </x:c>
      <x:c r="C279" s="2" t="inlineStr">
        <x:is>
          <x:t xml:space="preserve">Beast</x:t>
        </x:is>
      </x:c>
      <x:c r="D279" s="2" t="inlineStr">
        <x:is>
          <x:t xml:space="preserve">Small</x:t>
        </x:is>
      </x:c>
      <x:c r="E279" s="2" t="inlineStr">
        <x:is>
          <x:t xml:space="preserve">Unaligned</x:t>
        </x:is>
      </x:c>
      <x:c r="F279" s="2" t="inlineStr">
        <x:is>
          <x:t xml:space="preserve">1/8</x:t>
        </x:is>
      </x:c>
      <x:c r="G279" s="2" t="inlineStr">
        <x:is>
          <x:t xml:space="preserve">25</x:t>
        </x:is>
      </x:c>
      <x:c r="H279" s="2" t="inlineStr">
        <x:is>
          <x:t xml:space="preserve">13</x:t>
        </x:is>
      </x:c>
      <x:c r="I279" s="2" t="inlineStr">
        <x:is>
          <x:t xml:space="preserve">7</x:t>
        </x:is>
      </x:c>
      <x:c r="J279" s="2" t="inlineStr">
        <x:is>
          <x:t xml:space="preserve">30 ft., Climb 30 ft.</x:t>
        </x:is>
      </x:c>
      <x:c r="K279" s="2" t="inlineStr">
        <x:is>
          <x:t xml:space="preserve">2</x:t>
        </x:is>
      </x:c>
      <x:c r="L279" s="2" t="inlineStr">
        <x:is>
          <x:t xml:space="preserve">12</x:t>
        </x:is>
      </x:c>
      <x:c r="M279" s="2" t="n"/>
      <x:c r="N279" s="2" t="inlineStr">
        <x:is>
          <x:t xml:space="preserve">5</x:t>
        </x:is>
      </x:c>
      <x:c r="O279" s="2" t="inlineStr">
        <x:is>
          <x:t xml:space="preserve">3</x:t>
        </x:is>
      </x:c>
      <x:c r="P279" s="2" t="inlineStr">
        <x:is>
          <x:t xml:space="preserve">7</x:t>
        </x:is>
      </x:c>
      <x:c r="Q279" s="2" t="inlineStr">
        <x:is>
          <x:t xml:space="preserve">16</x:t>
        </x:is>
      </x:c>
      <x:c r="R279" s="2" t="inlineStr">
        <x:is>
          <x:t xml:space="preserve">11</x:t>
        </x:is>
      </x:c>
      <x:c r="S279" s="2" t="inlineStr">
        <x:is>
          <x:t xml:space="preserve">2</x:t>
        </x:is>
      </x:c>
      <x:c r="T279" s="2" t="inlineStr">
        <x:is>
          <x:t xml:space="preserve">10</x:t>
        </x:is>
      </x:c>
      <x:c r="U279" s="2" t="inlineStr">
        <x:is>
          <x:t xml:space="preserve">4</x:t>
        </x:is>
      </x:c>
      <x:c r="V279" s="2" t="inlineStr">
        <x:is>
          <x:t xml:space="preserve">DEX +5</x:t>
        </x:is>
      </x:c>
      <x:c r="W279" s="2" t="inlineStr">
        <x:is>
          <x:t xml:space="preserve">Perception +2</x:t>
        </x:is>
      </x:c>
      <x:c r="X279" s="2" t="inlineStr">
        <x:is>
          <x:t xml:space="preserve">Darkvision 60 ft.; Passive Perception 12</x:t>
        </x:is>
      </x:c>
      <x:c r="Y279" s="2" t="inlineStr">
        <x:is>
          <x:t xml:space="preserve">None</x:t>
        </x:is>
      </x:c>
      <x:c r="Z279" s="2" t="inlineStr">
        <x:is>
          <x:t xml:space="preserve">Pack Tactics. The rat has Advantage on an attack roll against a creature if at least one of the rat’s allies is within 5 feet of the creature and the ally doesn’t have the Incapacitated condition.</x:t>
        </x:is>
      </x:c>
      <x:c r="AA279" s="2" t="inlineStr">
        <x:is>
          <x:t xml:space="preserve">Bite. Melee Attack Roll: +5, reach 5 feet. Hit: 5 (1d4 + 3) Piercing damage.</x:t>
        </x:is>
      </x:c>
      <x:c r="AB279" s="2" t="n"/>
      <x:c r="AC279" s="2" t="n"/>
      <x:c r="AD279" s="2" t="n"/>
      <x:c r="AE279" s="2" t="n"/>
      <x:c r="AF279" s="2" t="inlineStr">
        <x:is>
          <x:t xml:space="preserve">Imported from SRD 5.2.1 p. 353 Index of Stat Blocks</x:t>
        </x:is>
      </x:c>
      <x:c r="AG279" s="2" t="inlineStr">
        <x:is>
          <x:t xml:space="preserve">https://www.dndbeyond.com/srd</x:t>
        </x:is>
      </x:c>
    </x:row>
    <x:row r="280" ht="18" customHeight="1">
      <x:c r="A280" s="2" t="inlineStr">
        <x:is>
          <x:t xml:space="preserve">Giant Scorpion</x:t>
        </x:is>
      </x:c>
      <x:c r="B280" s="2" t="inlineStr">
        <x:is>
          <x:t xml:space="preserve">SRD 5.2.1</x:t>
        </x:is>
      </x:c>
      <x:c r="C280" s="2" t="inlineStr">
        <x:is>
          <x:t xml:space="preserve">Beast</x:t>
        </x:is>
      </x:c>
      <x:c r="D280" s="2" t="inlineStr">
        <x:is>
          <x:t xml:space="preserve">Large</x:t>
        </x:is>
      </x:c>
      <x:c r="E280" s="2" t="inlineStr">
        <x:is>
          <x:t xml:space="preserve">Unaligned</x:t>
        </x:is>
      </x:c>
      <x:c r="F280" s="2" t="inlineStr">
        <x:is>
          <x:t xml:space="preserve">3</x:t>
        </x:is>
      </x:c>
      <x:c r="G280" s="2" t="inlineStr">
        <x:is>
          <x:t xml:space="preserve">700</x:t>
        </x:is>
      </x:c>
      <x:c r="H280" s="2" t="inlineStr">
        <x:is>
          <x:t xml:space="preserve">15</x:t>
        </x:is>
      </x:c>
      <x:c r="I280" s="2" t="inlineStr">
        <x:is>
          <x:t xml:space="preserve">52</x:t>
        </x:is>
      </x:c>
      <x:c r="J280" s="2" t="inlineStr">
        <x:is>
          <x:t xml:space="preserve">40 ft.</x:t>
        </x:is>
      </x:c>
      <x:c r="K280" s="2" t="inlineStr">
        <x:is>
          <x:t xml:space="preserve">2</x:t>
        </x:is>
      </x:c>
      <x:c r="L280" s="2" t="inlineStr">
        <x:is>
          <x:t xml:space="preserve">9</x:t>
        </x:is>
      </x:c>
      <x:c r="M280" s="2" t="n"/>
      <x:c r="N280" s="2" t="inlineStr">
        <x:is>
          <x:t xml:space="preserve">5</x:t>
        </x:is>
      </x:c>
      <x:c r="O280" s="2" t="inlineStr">
        <x:is>
          <x:t xml:space="preserve">1</x:t>
        </x:is>
      </x:c>
      <x:c r="P280" s="2" t="inlineStr">
        <x:is>
          <x:t xml:space="preserve">16</x:t>
        </x:is>
      </x:c>
      <x:c r="Q280" s="2" t="inlineStr">
        <x:is>
          <x:t xml:space="preserve">13</x:t>
        </x:is>
      </x:c>
      <x:c r="R280" s="2" t="inlineStr">
        <x:is>
          <x:t xml:space="preserve">15</x:t>
        </x:is>
      </x:c>
      <x:c r="S280" s="2" t="inlineStr">
        <x:is>
          <x:t xml:space="preserve">1</x:t>
        </x:is>
      </x:c>
      <x:c r="T280" s="2" t="inlineStr">
        <x:is>
          <x:t xml:space="preserve">9</x:t>
        </x:is>
      </x:c>
      <x:c r="U280" s="2" t="inlineStr">
        <x:is>
          <x:t xml:space="preserve">3</x:t>
        </x:is>
      </x:c>
      <x:c r="V280" s="2" t="n"/>
      <x:c r="W280" s="2" t="n"/>
      <x:c r="X280" s="2" t="inlineStr">
        <x:is>
          <x:t xml:space="preserve">Blindsight 60 ft.; Passive Perception 9</x:t>
        </x:is>
      </x:c>
      <x:c r="Y280" s="2" t="inlineStr">
        <x:is>
          <x:t xml:space="preserve">None</x:t>
        </x:is>
      </x:c>
      <x:c r="Z280" s="2" t="n"/>
      <x:c r="AA280" s="2" t="inlineStr">
        <x:is>
          <x:t xml:space="preserve">Multiattack. The scorpion makes two Claw attacks and one Sting attack. Claw. Melee Attack Roll: +5, reach 5 ft. Hit: 6 (1d6 + 3) Bludgeoning damage. If the target is a Large or smaller creature, it has the Grappled condition (escape DC 13) from one of two claws. Sting. Melee Attack Roll: +5, reach 5 ft. Hit: 7 (1d8 + 3) Piercing damage plus 11 (2d10) Poison damage.</x:t>
        </x:is>
      </x:c>
      <x:c r="AB280" s="2" t="n"/>
      <x:c r="AC280" s="2" t="n"/>
      <x:c r="AD280" s="2" t="n"/>
      <x:c r="AE280" s="2" t="n"/>
      <x:c r="AF280" s="2" t="inlineStr">
        <x:is>
          <x:t xml:space="preserve">Imported from SRD 5.2.1 p. 353 Index of Stat Blocks</x:t>
        </x:is>
      </x:c>
      <x:c r="AG280" s="2" t="inlineStr">
        <x:is>
          <x:t xml:space="preserve">https://www.dndbeyond.com/srd</x:t>
        </x:is>
      </x:c>
    </x:row>
    <x:row r="281" ht="18" customHeight="1">
      <x:c r="A281" s="2" t="inlineStr">
        <x:is>
          <x:t xml:space="preserve">Giant Seahorse</x:t>
        </x:is>
      </x:c>
      <x:c r="B281" s="2" t="inlineStr">
        <x:is>
          <x:t xml:space="preserve">SRD 5.2.1</x:t>
        </x:is>
      </x:c>
      <x:c r="C281" s="2" t="inlineStr">
        <x:is>
          <x:t xml:space="preserve">Beast</x:t>
        </x:is>
      </x:c>
      <x:c r="D281" s="2" t="inlineStr">
        <x:is>
          <x:t xml:space="preserve">Large</x:t>
        </x:is>
      </x:c>
      <x:c r="E281" s="2" t="inlineStr">
        <x:is>
          <x:t xml:space="preserve">Unaligned</x:t>
        </x:is>
      </x:c>
      <x:c r="F281" s="2" t="inlineStr">
        <x:is>
          <x:t xml:space="preserve">1/2</x:t>
        </x:is>
      </x:c>
      <x:c r="G281" s="2" t="inlineStr">
        <x:is>
          <x:t xml:space="preserve">100</x:t>
        </x:is>
      </x:c>
      <x:c r="H281" s="2" t="inlineStr">
        <x:is>
          <x:t xml:space="preserve">14</x:t>
        </x:is>
      </x:c>
      <x:c r="I281" s="2" t="inlineStr">
        <x:is>
          <x:t xml:space="preserve">16</x:t>
        </x:is>
      </x:c>
      <x:c r="J281" s="2" t="inlineStr">
        <x:is>
          <x:t xml:space="preserve">5 ft., Swim 40 ft.</x:t>
        </x:is>
      </x:c>
      <x:c r="K281" s="2" t="inlineStr">
        <x:is>
          <x:t xml:space="preserve">2</x:t>
        </x:is>
      </x:c>
      <x:c r="L281" s="2" t="inlineStr">
        <x:is>
          <x:t xml:space="preserve">11</x:t>
        </x:is>
      </x:c>
      <x:c r="M281" s="2" t="n"/>
      <x:c r="N281" s="2" t="inlineStr">
        <x:is>
          <x:t xml:space="preserve">4</x:t>
        </x:is>
      </x:c>
      <x:c r="O281" s="2" t="inlineStr">
        <x:is>
          <x:t xml:space="preserve">1</x:t>
        </x:is>
      </x:c>
      <x:c r="P281" s="2" t="inlineStr">
        <x:is>
          <x:t xml:space="preserve">15</x:t>
        </x:is>
      </x:c>
      <x:c r="Q281" s="2" t="inlineStr">
        <x:is>
          <x:t xml:space="preserve">12</x:t>
        </x:is>
      </x:c>
      <x:c r="R281" s="2" t="inlineStr">
        <x:is>
          <x:t xml:space="preserve">11</x:t>
        </x:is>
      </x:c>
      <x:c r="S281" s="2" t="inlineStr">
        <x:is>
          <x:t xml:space="preserve">2</x:t>
        </x:is>
      </x:c>
      <x:c r="T281" s="2" t="inlineStr">
        <x:is>
          <x:t xml:space="preserve">12</x:t>
        </x:is>
      </x:c>
      <x:c r="U281" s="2" t="inlineStr">
        <x:is>
          <x:t xml:space="preserve">5</x:t>
        </x:is>
      </x:c>
      <x:c r="V281" s="2" t="n"/>
      <x:c r="W281" s="2" t="n"/>
      <x:c r="X281" s="2" t="inlineStr">
        <x:is>
          <x:t xml:space="preserve">Passive Perception 11</x:t>
        </x:is>
      </x:c>
      <x:c r="Y281" s="2" t="inlineStr">
        <x:is>
          <x:t xml:space="preserve">None</x:t>
        </x:is>
      </x:c>
      <x:c r="Z281" s="2" t="inlineStr">
        <x:is>
          <x:t xml:space="preserve">Water Breathing. The seahorse can breathe only underwater.</x:t>
        </x:is>
      </x:c>
      <x:c r="AA281" s="2" t="inlineStr">
        <x:is>
          <x:t xml:space="preserve">Ram. Melee Attack Roll: +4, reach 5 ft. Hit: 9 (2d6 + 2) Bludgeoning damage, or 11 (2d8 + 2) Bludgeoning damage if the seahorse moved 20+ feet straight toward the target immediately before the hit.</x:t>
        </x:is>
      </x:c>
      <x:c r="AB281" s="2" t="inlineStr">
        <x:is>
          <x:t xml:space="preserve">Bubble Dash. While underwater, the seahorse moves up to half its Swim Speed without provoking Opportu- nity Attacks.</x:t>
        </x:is>
      </x:c>
      <x:c r="AC281" s="2" t="n"/>
      <x:c r="AD281" s="2" t="n"/>
      <x:c r="AE281" s="2" t="n"/>
      <x:c r="AF281" s="2" t="inlineStr">
        <x:is>
          <x:t xml:space="preserve">Imported from SRD 5.2.1 p. 353 Index of Stat Blocks</x:t>
        </x:is>
      </x:c>
      <x:c r="AG281" s="2" t="inlineStr">
        <x:is>
          <x:t xml:space="preserve">https://www.dndbeyond.com/srd</x:t>
        </x:is>
      </x:c>
    </x:row>
    <x:row r="282" ht="18" customHeight="1">
      <x:c r="A282" s="2" t="inlineStr">
        <x:is>
          <x:t xml:space="preserve">Giant Shark</x:t>
        </x:is>
      </x:c>
      <x:c r="B282" s="2" t="inlineStr">
        <x:is>
          <x:t xml:space="preserve">SRD 5.2.1</x:t>
        </x:is>
      </x:c>
      <x:c r="C282" s="2" t="inlineStr">
        <x:is>
          <x:t xml:space="preserve">Beast</x:t>
        </x:is>
      </x:c>
      <x:c r="D282" s="2" t="inlineStr">
        <x:is>
          <x:t xml:space="preserve">Huge</x:t>
        </x:is>
      </x:c>
      <x:c r="E282" s="2" t="inlineStr">
        <x:is>
          <x:t xml:space="preserve">Unaligned</x:t>
        </x:is>
      </x:c>
      <x:c r="F282" s="2" t="inlineStr">
        <x:is>
          <x:t xml:space="preserve">5</x:t>
        </x:is>
      </x:c>
      <x:c r="G282" s="2" t="inlineStr">
        <x:is>
          <x:t xml:space="preserve">1800</x:t>
        </x:is>
      </x:c>
      <x:c r="H282" s="2" t="inlineStr">
        <x:is>
          <x:t xml:space="preserve">13</x:t>
        </x:is>
      </x:c>
      <x:c r="I282" s="2" t="inlineStr">
        <x:is>
          <x:t xml:space="preserve">92</x:t>
        </x:is>
      </x:c>
      <x:c r="J282" s="2" t="inlineStr">
        <x:is>
          <x:t xml:space="preserve">5 ft., Swim 60 ft.</x:t>
        </x:is>
      </x:c>
      <x:c r="K282" s="2" t="inlineStr">
        <x:is>
          <x:t xml:space="preserve">3</x:t>
        </x:is>
      </x:c>
      <x:c r="L282" s="2" t="inlineStr">
        <x:is>
          <x:t xml:space="preserve">13</x:t>
        </x:is>
      </x:c>
      <x:c r="M282" s="2" t="n"/>
      <x:c r="N282" s="2" t="inlineStr">
        <x:is>
          <x:t xml:space="preserve">9</x:t>
        </x:is>
      </x:c>
      <x:c r="O282" s="2" t="inlineStr">
        <x:is>
          <x:t xml:space="preserve">3</x:t>
        </x:is>
      </x:c>
      <x:c r="P282" s="2" t="inlineStr">
        <x:is>
          <x:t xml:space="preserve">23</x:t>
        </x:is>
      </x:c>
      <x:c r="Q282" s="2" t="inlineStr">
        <x:is>
          <x:t xml:space="preserve">11</x:t>
        </x:is>
      </x:c>
      <x:c r="R282" s="2" t="inlineStr">
        <x:is>
          <x:t xml:space="preserve">21</x:t>
        </x:is>
      </x:c>
      <x:c r="S282" s="2" t="inlineStr">
        <x:is>
          <x:t xml:space="preserve">1</x:t>
        </x:is>
      </x:c>
      <x:c r="T282" s="2" t="inlineStr">
        <x:is>
          <x:t xml:space="preserve">10</x:t>
        </x:is>
      </x:c>
      <x:c r="U282" s="2" t="inlineStr">
        <x:is>
          <x:t xml:space="preserve">5</x:t>
        </x:is>
      </x:c>
      <x:c r="V282" s="2" t="n"/>
      <x:c r="W282" s="2" t="inlineStr">
        <x:is>
          <x:t xml:space="preserve">Perception +3</x:t>
        </x:is>
      </x:c>
      <x:c r="X282" s="2" t="inlineStr">
        <x:is>
          <x:t xml:space="preserve">Blindsight 60 ft.; Passive Perception 13</x:t>
        </x:is>
      </x:c>
      <x:c r="Y282" s="2" t="inlineStr">
        <x:is>
          <x:t xml:space="preserve">None</x:t>
        </x:is>
      </x:c>
      <x:c r="Z282" s="2" t="inlineStr">
        <x:is>
          <x:t xml:space="preserve">Water Breathing. The shark can breathe only underwater.</x:t>
        </x:is>
      </x:c>
      <x:c r="AA282" s="2" t="inlineStr">
        <x:is>
          <x:t xml:space="preserve">Multiattack. The shark makes two Bite attacks. Bite. Melee Attack Roll: +9 (with Advantage if the target doesn’t have all its Hit Points), reach 5 ft. Hit: 22 (3d10 + 6) Piercing damage.</x:t>
        </x:is>
      </x:c>
      <x:c r="AB282" s="2" t="n"/>
      <x:c r="AC282" s="2" t="n"/>
      <x:c r="AD282" s="2" t="n"/>
      <x:c r="AE282" s="2" t="n"/>
      <x:c r="AF282" s="2" t="inlineStr">
        <x:is>
          <x:t xml:space="preserve">Imported from SRD 5.2.1 p. 353 Index of Stat Blocks</x:t>
        </x:is>
      </x:c>
      <x:c r="AG282" s="2" t="inlineStr">
        <x:is>
          <x:t xml:space="preserve">https://www.dndbeyond.com/srd</x:t>
        </x:is>
      </x:c>
    </x:row>
    <x:row r="283" ht="18" customHeight="1">
      <x:c r="A283" s="2" t="inlineStr">
        <x:is>
          <x:t xml:space="preserve">Giant Spider</x:t>
        </x:is>
      </x:c>
      <x:c r="B283" s="2" t="inlineStr">
        <x:is>
          <x:t xml:space="preserve">SRD 5.2.1</x:t>
        </x:is>
      </x:c>
      <x:c r="C283" s="2" t="inlineStr">
        <x:is>
          <x:t xml:space="preserve">Beast</x:t>
        </x:is>
      </x:c>
      <x:c r="D283" s="2" t="inlineStr">
        <x:is>
          <x:t xml:space="preserve">Large</x:t>
        </x:is>
      </x:c>
      <x:c r="E283" s="2" t="inlineStr">
        <x:is>
          <x:t xml:space="preserve">Unaligned</x:t>
        </x:is>
      </x:c>
      <x:c r="F283" s="2" t="inlineStr">
        <x:is>
          <x:t xml:space="preserve">1</x:t>
        </x:is>
      </x:c>
      <x:c r="G283" s="2" t="inlineStr">
        <x:is>
          <x:t xml:space="preserve">200</x:t>
        </x:is>
      </x:c>
      <x:c r="H283" s="2" t="inlineStr">
        <x:is>
          <x:t xml:space="preserve">14</x:t>
        </x:is>
      </x:c>
      <x:c r="I283" s="2" t="inlineStr">
        <x:is>
          <x:t xml:space="preserve">26</x:t>
        </x:is>
      </x:c>
      <x:c r="J283" s="2" t="inlineStr">
        <x:is>
          <x:t xml:space="preserve">30 ft., Climb 30 ft.</x:t>
        </x:is>
      </x:c>
      <x:c r="K283" s="2" t="inlineStr">
        <x:is>
          <x:t xml:space="preserve">2</x:t>
        </x:is>
      </x:c>
      <x:c r="L283" s="2" t="inlineStr">
        <x:is>
          <x:t xml:space="preserve">14</x:t>
        </x:is>
      </x:c>
      <x:c r="M283" s="2" t="inlineStr">
        <x:is>
          <x:t xml:space="preserve">13</x:t>
        </x:is>
      </x:c>
      <x:c r="N283" s="2" t="inlineStr">
        <x:is>
          <x:t xml:space="preserve">5</x:t>
        </x:is>
      </x:c>
      <x:c r="O283" s="2" t="inlineStr">
        <x:is>
          <x:t xml:space="preserve">3</x:t>
        </x:is>
      </x:c>
      <x:c r="P283" s="2" t="inlineStr">
        <x:is>
          <x:t xml:space="preserve">14</x:t>
        </x:is>
      </x:c>
      <x:c r="Q283" s="2" t="inlineStr">
        <x:is>
          <x:t xml:space="preserve">16</x:t>
        </x:is>
      </x:c>
      <x:c r="R283" s="2" t="inlineStr">
        <x:is>
          <x:t xml:space="preserve">12</x:t>
        </x:is>
      </x:c>
      <x:c r="S283" s="2" t="inlineStr">
        <x:is>
          <x:t xml:space="preserve">2</x:t>
        </x:is>
      </x:c>
      <x:c r="T283" s="2" t="inlineStr">
        <x:is>
          <x:t xml:space="preserve">11</x:t>
        </x:is>
      </x:c>
      <x:c r="U283" s="2" t="inlineStr">
        <x:is>
          <x:t xml:space="preserve">4</x:t>
        </x:is>
      </x:c>
      <x:c r="V283" s="2" t="n"/>
      <x:c r="W283" s="2" t="inlineStr">
        <x:is>
          <x:t xml:space="preserve">Perception +4, Stealth +7</x:t>
        </x:is>
      </x:c>
      <x:c r="X283" s="2" t="inlineStr">
        <x:is>
          <x:t xml:space="preserve">Darkvision 60 ft.; Passive Perception 14</x:t>
        </x:is>
      </x:c>
      <x:c r="Y283" s="2" t="inlineStr">
        <x:is>
          <x:t xml:space="preserve">None</x:t>
        </x:is>
      </x:c>
      <x:c r="Z283" s="2" t="inlineStr">
        <x:is>
          <x:t xml:space="preserve">Spider Climb. The spider can climb difficult surfaces, including along ceilings, without needing to make an ability check. Web Walker. The spider ignores movement restrictions caused by webs, and it knows the location of any other creature in contact with the same web.</x:t>
        </x:is>
      </x:c>
      <x:c r="AA283" s="2" t="inlineStr">
        <x:is>
          <x:t xml:space="preserve">Bite. Melee Attack Roll: +5, reach 5 ft. Hit: 7 (1d8 + 3) Piercing damage plus 7 (2d6) Poison damage. Web (Recharge 5-6). Dexterity Saving Throw: DC 13, one creature the spider can see within 60 feet. Failure: The target has the Restrained condition until the web is destroyed (AC 10; HP 5; Vulnerability to Fire damage; Immunity to Poison and Psychic damage).</x:t>
        </x:is>
      </x:c>
      <x:c r="AB283" s="2" t="n"/>
      <x:c r="AC283" s="2" t="n"/>
      <x:c r="AD283" s="2" t="n"/>
      <x:c r="AE283" s="2" t="n"/>
      <x:c r="AF283" s="2" t="inlineStr">
        <x:is>
          <x:t xml:space="preserve">Imported from SRD 5.2.1 p. 353 Index of Stat Blocks</x:t>
        </x:is>
      </x:c>
      <x:c r="AG283" s="2" t="inlineStr">
        <x:is>
          <x:t xml:space="preserve">https://www.dndbeyond.com/srd</x:t>
        </x:is>
      </x:c>
    </x:row>
    <x:row r="284" ht="18" customHeight="1">
      <x:c r="A284" s="2" t="inlineStr">
        <x:is>
          <x:t xml:space="preserve">Giant Toad</x:t>
        </x:is>
      </x:c>
      <x:c r="B284" s="2" t="inlineStr">
        <x:is>
          <x:t xml:space="preserve">SRD 5.2.1</x:t>
        </x:is>
      </x:c>
      <x:c r="C284" s="2" t="inlineStr">
        <x:is>
          <x:t xml:space="preserve">Beast</x:t>
        </x:is>
      </x:c>
      <x:c r="D284" s="2" t="inlineStr">
        <x:is>
          <x:t xml:space="preserve">Large</x:t>
        </x:is>
      </x:c>
      <x:c r="E284" s="2" t="inlineStr">
        <x:is>
          <x:t xml:space="preserve">Unaligned</x:t>
        </x:is>
      </x:c>
      <x:c r="F284" s="2" t="inlineStr">
        <x:is>
          <x:t xml:space="preserve">1</x:t>
        </x:is>
      </x:c>
      <x:c r="G284" s="2" t="inlineStr">
        <x:is>
          <x:t xml:space="preserve">200</x:t>
        </x:is>
      </x:c>
      <x:c r="H284" s="2" t="inlineStr">
        <x:is>
          <x:t xml:space="preserve">11</x:t>
        </x:is>
      </x:c>
      <x:c r="I284" s="2" t="inlineStr">
        <x:is>
          <x:t xml:space="preserve">39</x:t>
        </x:is>
      </x:c>
      <x:c r="J284" s="2" t="inlineStr">
        <x:is>
          <x:t xml:space="preserve">30 ft., Swim 30 ft.</x:t>
        </x:is>
      </x:c>
      <x:c r="K284" s="2" t="inlineStr">
        <x:is>
          <x:t xml:space="preserve">2</x:t>
        </x:is>
      </x:c>
      <x:c r="L284" s="2" t="inlineStr">
        <x:is>
          <x:t xml:space="preserve">10</x:t>
        </x:is>
      </x:c>
      <x:c r="M284" s="2" t="n"/>
      <x:c r="N284" s="2" t="inlineStr">
        <x:is>
          <x:t xml:space="preserve">4</x:t>
        </x:is>
      </x:c>
      <x:c r="O284" s="2" t="inlineStr">
        <x:is>
          <x:t xml:space="preserve">1</x:t>
        </x:is>
      </x:c>
      <x:c r="P284" s="2" t="inlineStr">
        <x:is>
          <x:t xml:space="preserve">15</x:t>
        </x:is>
      </x:c>
      <x:c r="Q284" s="2" t="inlineStr">
        <x:is>
          <x:t xml:space="preserve">13</x:t>
        </x:is>
      </x:c>
      <x:c r="R284" s="2" t="inlineStr">
        <x:is>
          <x:t xml:space="preserve">13</x:t>
        </x:is>
      </x:c>
      <x:c r="S284" s="2" t="inlineStr">
        <x:is>
          <x:t xml:space="preserve">2</x:t>
        </x:is>
      </x:c>
      <x:c r="T284" s="2" t="inlineStr">
        <x:is>
          <x:t xml:space="preserve">10</x:t>
        </x:is>
      </x:c>
      <x:c r="U284" s="2" t="inlineStr">
        <x:is>
          <x:t xml:space="preserve">3</x:t>
        </x:is>
      </x:c>
      <x:c r="V284" s="2" t="n"/>
      <x:c r="W284" s="2" t="n"/>
      <x:c r="X284" s="2" t="inlineStr">
        <x:is>
          <x:t xml:space="preserve">Darkvision 60 ft.; Passive Perception 10</x:t>
        </x:is>
      </x:c>
      <x:c r="Y284" s="2" t="inlineStr">
        <x:is>
          <x:t xml:space="preserve">None</x:t>
        </x:is>
      </x:c>
      <x:c r="Z284" s="2" t="inlineStr">
        <x:is>
          <x:t xml:space="preserve">Amphibious. The toad can breathe air and water. Standing Leap. The toad’s Long Jump is up to 20 feet and its High Jump is up to 10 feet with or without a running start.</x:t>
        </x:is>
      </x:c>
      <x:c r="AA284" s="2" t="inlineStr">
        <x:is>
          <x:t xml:space="preserve">Bite. Melee Attack Roll: +4, reach 5 ft. Hit: 5 (1d6 + 2) Piercing damage plus 5 (2d4) Poison damage. If the tar- get is a Medium or smaller creature, it has the Grappled condition (escape DC 12). Swallow. The toad swallows a Medium or smaller target it is grappling. While swallowed, the target isn’t Grap- pled but has the Blinded and Restrained conditions, and it has Total Cover against attacks and other effects outside the toad. In addition, the target takes 10 (3d6) Acid damage at the end of each of the toad’s turns. The toad can have only one target swallowed at a time, and it can’t use Bite while it has a swallowed target. If the toad dies, a swallowed creature is no longer Restrained and can escape from the corpse using 5 feet of move- ment, exiting with the Prone condition.</x:t>
        </x:is>
      </x:c>
      <x:c r="AB284" s="2" t="n"/>
      <x:c r="AC284" s="2" t="n"/>
      <x:c r="AD284" s="2" t="n"/>
      <x:c r="AE284" s="2" t="n"/>
      <x:c r="AF284" s="2" t="inlineStr">
        <x:is>
          <x:t xml:space="preserve">Imported from SRD 5.2.1 p. 354 Index of Stat Blocks</x:t>
        </x:is>
      </x:c>
      <x:c r="AG284" s="2" t="inlineStr">
        <x:is>
          <x:t xml:space="preserve">https://www.dndbeyond.com/srd</x:t>
        </x:is>
      </x:c>
    </x:row>
    <x:row r="285" ht="18" customHeight="1">
      <x:c r="A285" s="2" t="inlineStr">
        <x:is>
          <x:t xml:space="preserve">Giant Venomous Snake</x:t>
        </x:is>
      </x:c>
      <x:c r="B285" s="2" t="inlineStr">
        <x:is>
          <x:t xml:space="preserve">SRD 5.2.1</x:t>
        </x:is>
      </x:c>
      <x:c r="C285" s="2" t="inlineStr">
        <x:is>
          <x:t xml:space="preserve">Beast</x:t>
        </x:is>
      </x:c>
      <x:c r="D285" s="2" t="inlineStr">
        <x:is>
          <x:t xml:space="preserve">Medium</x:t>
        </x:is>
      </x:c>
      <x:c r="E285" s="2" t="inlineStr">
        <x:is>
          <x:t xml:space="preserve">Unaligned</x:t>
        </x:is>
      </x:c>
      <x:c r="F285" s="2" t="inlineStr">
        <x:is>
          <x:t xml:space="preserve">1/4</x:t>
        </x:is>
      </x:c>
      <x:c r="G285" s="2" t="inlineStr">
        <x:is>
          <x:t xml:space="preserve">50</x:t>
        </x:is>
      </x:c>
      <x:c r="H285" s="2" t="inlineStr">
        <x:is>
          <x:t xml:space="preserve">14</x:t>
        </x:is>
      </x:c>
      <x:c r="I285" s="2" t="inlineStr">
        <x:is>
          <x:t xml:space="preserve">11</x:t>
        </x:is>
      </x:c>
      <x:c r="J285" s="2" t="inlineStr">
        <x:is>
          <x:t xml:space="preserve">40 ft., Swim 40 ft.</x:t>
        </x:is>
      </x:c>
      <x:c r="K285" s="2" t="inlineStr">
        <x:is>
          <x:t xml:space="preserve">2</x:t>
        </x:is>
      </x:c>
      <x:c r="L285" s="2" t="inlineStr">
        <x:is>
          <x:t xml:space="preserve">12</x:t>
        </x:is>
      </x:c>
      <x:c r="M285" s="2" t="n"/>
      <x:c r="N285" s="2" t="inlineStr">
        <x:is>
          <x:t xml:space="preserve">6</x:t>
        </x:is>
      </x:c>
      <x:c r="O285" s="2" t="inlineStr">
        <x:is>
          <x:t xml:space="preserve">4</x:t>
        </x:is>
      </x:c>
      <x:c r="P285" s="2" t="inlineStr">
        <x:is>
          <x:t xml:space="preserve">10</x:t>
        </x:is>
      </x:c>
      <x:c r="Q285" s="2" t="inlineStr">
        <x:is>
          <x:t xml:space="preserve">18</x:t>
        </x:is>
      </x:c>
      <x:c r="R285" s="2" t="inlineStr">
        <x:is>
          <x:t xml:space="preserve">13</x:t>
        </x:is>
      </x:c>
      <x:c r="S285" s="2" t="inlineStr">
        <x:is>
          <x:t xml:space="preserve">2</x:t>
        </x:is>
      </x:c>
      <x:c r="T285" s="2" t="inlineStr">
        <x:is>
          <x:t xml:space="preserve">10</x:t>
        </x:is>
      </x:c>
      <x:c r="U285" s="2" t="inlineStr">
        <x:is>
          <x:t xml:space="preserve">3</x:t>
        </x:is>
      </x:c>
      <x:c r="V285" s="2" t="n"/>
      <x:c r="W285" s="2" t="inlineStr">
        <x:is>
          <x:t xml:space="preserve">Perception +2</x:t>
        </x:is>
      </x:c>
      <x:c r="X285" s="2" t="inlineStr">
        <x:is>
          <x:t xml:space="preserve">Blindsight 10 ft.; Passive Perception 12</x:t>
        </x:is>
      </x:c>
      <x:c r="Y285" s="2" t="inlineStr">
        <x:is>
          <x:t xml:space="preserve">None</x:t>
        </x:is>
      </x:c>
      <x:c r="Z285" s="2" t="n"/>
      <x:c r="AA285" s="2" t="inlineStr">
        <x:is>
          <x:t xml:space="preserve">Bite. Melee Attack Roll: +6, reach 10 ft. Hit: 6 (1d4 + 4) Piercing damage plus 4 (1d8) Poison damage.</x:t>
        </x:is>
      </x:c>
      <x:c r="AB285" s="2" t="n"/>
      <x:c r="AC285" s="2" t="n"/>
      <x:c r="AD285" s="2" t="n"/>
      <x:c r="AE285" s="2" t="n"/>
      <x:c r="AF285" s="2" t="inlineStr">
        <x:is>
          <x:t xml:space="preserve">Imported from SRD 5.2.1 p. 354 Index of Stat Blocks</x:t>
        </x:is>
      </x:c>
      <x:c r="AG285" s="2" t="inlineStr">
        <x:is>
          <x:t xml:space="preserve">https://www.dndbeyond.com/srd</x:t>
        </x:is>
      </x:c>
    </x:row>
    <x:row r="286" ht="18" customHeight="1">
      <x:c r="A286" s="2" t="inlineStr">
        <x:is>
          <x:t xml:space="preserve">Giant Vulture</x:t>
        </x:is>
      </x:c>
      <x:c r="B286" s="2" t="inlineStr">
        <x:is>
          <x:t xml:space="preserve">SRD 5.2.1</x:t>
        </x:is>
      </x:c>
      <x:c r="C286" s="2" t="inlineStr">
        <x:is>
          <x:t xml:space="preserve">Monstrosity</x:t>
        </x:is>
      </x:c>
      <x:c r="D286" s="2" t="inlineStr">
        <x:is>
          <x:t xml:space="preserve">Large</x:t>
        </x:is>
      </x:c>
      <x:c r="E286" s="2" t="inlineStr">
        <x:is>
          <x:t xml:space="preserve">Neutral Evil</x:t>
        </x:is>
      </x:c>
      <x:c r="F286" s="2" t="inlineStr">
        <x:is>
          <x:t xml:space="preserve">1</x:t>
        </x:is>
      </x:c>
      <x:c r="G286" s="2" t="inlineStr">
        <x:is>
          <x:t xml:space="preserve">200</x:t>
        </x:is>
      </x:c>
      <x:c r="H286" s="2" t="inlineStr">
        <x:is>
          <x:t xml:space="preserve">10</x:t>
        </x:is>
      </x:c>
      <x:c r="I286" s="2" t="inlineStr">
        <x:is>
          <x:t xml:space="preserve">25</x:t>
        </x:is>
      </x:c>
      <x:c r="J286" s="2" t="inlineStr">
        <x:is>
          <x:t xml:space="preserve">10 ft., Fly 60 ft.</x:t>
        </x:is>
      </x:c>
      <x:c r="K286" s="2" t="inlineStr">
        <x:is>
          <x:t xml:space="preserve">2</x:t>
        </x:is>
      </x:c>
      <x:c r="L286" s="2" t="inlineStr">
        <x:is>
          <x:t xml:space="preserve">13</x:t>
        </x:is>
      </x:c>
      <x:c r="M286" s="2" t="n"/>
      <x:c r="N286" s="2" t="inlineStr">
        <x:is>
          <x:t xml:space="preserve">4</x:t>
        </x:is>
      </x:c>
      <x:c r="O286" s="2" t="inlineStr">
        <x:is>
          <x:t xml:space="preserve">0</x:t>
        </x:is>
      </x:c>
      <x:c r="P286" s="2" t="inlineStr">
        <x:is>
          <x:t xml:space="preserve">15</x:t>
        </x:is>
      </x:c>
      <x:c r="Q286" s="2" t="inlineStr">
        <x:is>
          <x:t xml:space="preserve">10</x:t>
        </x:is>
      </x:c>
      <x:c r="R286" s="2" t="inlineStr">
        <x:is>
          <x:t xml:space="preserve">16</x:t>
        </x:is>
      </x:c>
      <x:c r="S286" s="2" t="inlineStr">
        <x:is>
          <x:t xml:space="preserve">6</x:t>
        </x:is>
      </x:c>
      <x:c r="T286" s="2" t="inlineStr">
        <x:is>
          <x:t xml:space="preserve">12</x:t>
        </x:is>
      </x:c>
      <x:c r="U286" s="2" t="inlineStr">
        <x:is>
          <x:t xml:space="preserve">7</x:t>
        </x:is>
      </x:c>
      <x:c r="V286" s="2" t="n"/>
      <x:c r="W286" s="2" t="inlineStr">
        <x:is>
          <x:t xml:space="preserve">Perception +3</x:t>
        </x:is>
      </x:c>
      <x:c r="X286" s="2" t="inlineStr">
        <x:is>
          <x:t xml:space="preserve">Darkvision 60 ft.; Passive Perception 13</x:t>
        </x:is>
      </x:c>
      <x:c r="Y286" s="2" t="inlineStr">
        <x:is>
          <x:t xml:space="preserve">Understands Common but can’t speak</x:t>
        </x:is>
      </x:c>
      <x:c r="Z286" s="2" t="inlineStr">
        <x:is>
          <x:t xml:space="preserve">Pack Tactics. The vulture has Advantage on an attack roll against a creature if at least one of the vulture’s al- lies is within 5 feet of the creature and the ally doesn’t have the Incapacitated condition.</x:t>
        </x:is>
      </x:c>
      <x:c r="AA286" s="2" t="inlineStr">
        <x:is>
          <x:t xml:space="preserve">Gouge. Melee Attack Roll: +4, reach 5 ft. Hit: 9 (2d6 + 2) Piercing damage, and the target has the Poisoned condition until the end of its next turn.</x:t>
        </x:is>
      </x:c>
      <x:c r="AB286" s="2" t="n"/>
      <x:c r="AC286" s="2" t="n"/>
      <x:c r="AD286" s="2" t="n"/>
      <x:c r="AE286" s="2" t="n"/>
      <x:c r="AF286" s="2" t="inlineStr">
        <x:is>
          <x:t xml:space="preserve">Imported from SRD 5.2.1 p. 354 Index of Stat Blocks</x:t>
        </x:is>
      </x:c>
      <x:c r="AG286" s="2" t="inlineStr">
        <x:is>
          <x:t xml:space="preserve">https://www.dndbeyond.com/srd</x:t>
        </x:is>
      </x:c>
    </x:row>
    <x:row r="287" ht="18" customHeight="1">
      <x:c r="A287" s="2" t="inlineStr">
        <x:is>
          <x:t xml:space="preserve">Giant Wasp</x:t>
        </x:is>
      </x:c>
      <x:c r="B287" s="2" t="inlineStr">
        <x:is>
          <x:t xml:space="preserve">SRD 5.2.1</x:t>
        </x:is>
      </x:c>
      <x:c r="C287" s="2" t="inlineStr">
        <x:is>
          <x:t xml:space="preserve">Beast</x:t>
        </x:is>
      </x:c>
      <x:c r="D287" s="2" t="inlineStr">
        <x:is>
          <x:t xml:space="preserve">Medium</x:t>
        </x:is>
      </x:c>
      <x:c r="E287" s="2" t="inlineStr">
        <x:is>
          <x:t xml:space="preserve">Unaligned</x:t>
        </x:is>
      </x:c>
      <x:c r="F287" s="2" t="inlineStr">
        <x:is>
          <x:t xml:space="preserve">1/2</x:t>
        </x:is>
      </x:c>
      <x:c r="G287" s="2" t="inlineStr">
        <x:is>
          <x:t xml:space="preserve">100</x:t>
        </x:is>
      </x:c>
      <x:c r="H287" s="2" t="inlineStr">
        <x:is>
          <x:t xml:space="preserve">13</x:t>
        </x:is>
      </x:c>
      <x:c r="I287" s="2" t="inlineStr">
        <x:is>
          <x:t xml:space="preserve">22</x:t>
        </x:is>
      </x:c>
      <x:c r="J287" s="2" t="inlineStr">
        <x:is>
          <x:t xml:space="preserve">10 ft., Fly 50 ft.</x:t>
        </x:is>
      </x:c>
      <x:c r="K287" s="2" t="inlineStr">
        <x:is>
          <x:t xml:space="preserve">2</x:t>
        </x:is>
      </x:c>
      <x:c r="L287" s="2" t="inlineStr">
        <x:is>
          <x:t xml:space="preserve">10</x:t>
        </x:is>
      </x:c>
      <x:c r="M287" s="2" t="n"/>
      <x:c r="N287" s="2" t="inlineStr">
        <x:is>
          <x:t xml:space="preserve">4</x:t>
        </x:is>
      </x:c>
      <x:c r="O287" s="2" t="inlineStr">
        <x:is>
          <x:t xml:space="preserve">2</x:t>
        </x:is>
      </x:c>
      <x:c r="P287" s="2" t="inlineStr">
        <x:is>
          <x:t xml:space="preserve">10</x:t>
        </x:is>
      </x:c>
      <x:c r="Q287" s="2" t="inlineStr">
        <x:is>
          <x:t xml:space="preserve">14</x:t>
        </x:is>
      </x:c>
      <x:c r="R287" s="2" t="inlineStr">
        <x:is>
          <x:t xml:space="preserve">10</x:t>
        </x:is>
      </x:c>
      <x:c r="S287" s="2" t="inlineStr">
        <x:is>
          <x:t xml:space="preserve">1</x:t>
        </x:is>
      </x:c>
      <x:c r="T287" s="2" t="inlineStr">
        <x:is>
          <x:t xml:space="preserve">10</x:t>
        </x:is>
      </x:c>
      <x:c r="U287" s="2" t="inlineStr">
        <x:is>
          <x:t xml:space="preserve">3</x:t>
        </x:is>
      </x:c>
      <x:c r="V287" s="2" t="n"/>
      <x:c r="W287" s="2" t="n"/>
      <x:c r="X287" s="2" t="inlineStr">
        <x:is>
          <x:t xml:space="preserve">Passive Perception 10</x:t>
        </x:is>
      </x:c>
      <x:c r="Y287" s="2" t="inlineStr">
        <x:is>
          <x:t xml:space="preserve">None</x:t>
        </x:is>
      </x:c>
      <x:c r="Z287" s="2" t="inlineStr">
        <x:is>
          <x:t xml:space="preserve">Flyby. The wasp doesn’t provoke an Opportunity At- tack when it flies out of an enemy’s reach.</x:t>
        </x:is>
      </x:c>
      <x:c r="AA287" s="2" t="inlineStr">
        <x:is>
          <x:t xml:space="preserve">Sting. Melee Attack Roll: +4, reach 5 ft. Hit: 5 (1d6 + 2) Piercing damage plus 5 (2d4) Poison damage.</x:t>
        </x:is>
      </x:c>
      <x:c r="AB287" s="2" t="n"/>
      <x:c r="AC287" s="2" t="n"/>
      <x:c r="AD287" s="2" t="n"/>
      <x:c r="AE287" s="2" t="n"/>
      <x:c r="AF287" s="2" t="inlineStr">
        <x:is>
          <x:t xml:space="preserve">Imported from SRD 5.2.1 p. 354 Index of Stat Blocks</x:t>
        </x:is>
      </x:c>
      <x:c r="AG287" s="2" t="inlineStr">
        <x:is>
          <x:t xml:space="preserve">https://www.dndbeyond.com/srd</x:t>
        </x:is>
      </x:c>
    </x:row>
    <x:row r="288" ht="18" customHeight="1">
      <x:c r="A288" s="2" t="inlineStr">
        <x:is>
          <x:t xml:space="preserve">Giant Weasel</x:t>
        </x:is>
      </x:c>
      <x:c r="B288" s="2" t="inlineStr">
        <x:is>
          <x:t xml:space="preserve">SRD 5.2.1</x:t>
        </x:is>
      </x:c>
      <x:c r="C288" s="2" t="inlineStr">
        <x:is>
          <x:t xml:space="preserve">Beast</x:t>
        </x:is>
      </x:c>
      <x:c r="D288" s="2" t="inlineStr">
        <x:is>
          <x:t xml:space="preserve">Medium</x:t>
        </x:is>
      </x:c>
      <x:c r="E288" s="2" t="inlineStr">
        <x:is>
          <x:t xml:space="preserve">Unaligned</x:t>
        </x:is>
      </x:c>
      <x:c r="F288" s="2" t="inlineStr">
        <x:is>
          <x:t xml:space="preserve">1/8</x:t>
        </x:is>
      </x:c>
      <x:c r="G288" s="2" t="inlineStr">
        <x:is>
          <x:t xml:space="preserve">25</x:t>
        </x:is>
      </x:c>
      <x:c r="H288" s="2" t="inlineStr">
        <x:is>
          <x:t xml:space="preserve">13</x:t>
        </x:is>
      </x:c>
      <x:c r="I288" s="2" t="inlineStr">
        <x:is>
          <x:t xml:space="preserve">9</x:t>
        </x:is>
      </x:c>
      <x:c r="J288" s="2" t="inlineStr">
        <x:is>
          <x:t xml:space="preserve">40 ft., Climb 30 ft.</x:t>
        </x:is>
      </x:c>
      <x:c r="K288" s="2" t="inlineStr">
        <x:is>
          <x:t xml:space="preserve">2</x:t>
        </x:is>
      </x:c>
      <x:c r="L288" s="2" t="inlineStr">
        <x:is>
          <x:t xml:space="preserve">13</x:t>
        </x:is>
      </x:c>
      <x:c r="M288" s="2" t="n"/>
      <x:c r="N288" s="2" t="inlineStr">
        <x:is>
          <x:t xml:space="preserve">5</x:t>
        </x:is>
      </x:c>
      <x:c r="O288" s="2" t="inlineStr">
        <x:is>
          <x:t xml:space="preserve">3</x:t>
        </x:is>
      </x:c>
      <x:c r="P288" s="2" t="inlineStr">
        <x:is>
          <x:t xml:space="preserve">11</x:t>
        </x:is>
      </x:c>
      <x:c r="Q288" s="2" t="inlineStr">
        <x:is>
          <x:t xml:space="preserve">17</x:t>
        </x:is>
      </x:c>
      <x:c r="R288" s="2" t="inlineStr">
        <x:is>
          <x:t xml:space="preserve">10</x:t>
        </x:is>
      </x:c>
      <x:c r="S288" s="2" t="inlineStr">
        <x:is>
          <x:t xml:space="preserve">4</x:t>
        </x:is>
      </x:c>
      <x:c r="T288" s="2" t="inlineStr">
        <x:is>
          <x:t xml:space="preserve">12</x:t>
        </x:is>
      </x:c>
      <x:c r="U288" s="2" t="inlineStr">
        <x:is>
          <x:t xml:space="preserve">5</x:t>
        </x:is>
      </x:c>
      <x:c r="V288" s="2" t="n"/>
      <x:c r="W288" s="2" t="inlineStr">
        <x:is>
          <x:t xml:space="preserve">Acrobatics +5, Perception +3, Stealth +5</x:t>
        </x:is>
      </x:c>
      <x:c r="X288" s="2" t="inlineStr">
        <x:is>
          <x:t xml:space="preserve">Darkvision 60 ft.; Passive Perception 13</x:t>
        </x:is>
      </x:c>
      <x:c r="Y288" s="2" t="inlineStr">
        <x:is>
          <x:t xml:space="preserve">None</x:t>
        </x:is>
      </x:c>
      <x:c r="Z288" s="2" t="n"/>
      <x:c r="AA288" s="2" t="inlineStr">
        <x:is>
          <x:t xml:space="preserve">Bite. Melee Attack Roll: +5, reach 5 ft. Hit: 5 (1d4 + 3) Piercing damage.</x:t>
        </x:is>
      </x:c>
      <x:c r="AB288" s="2" t="n"/>
      <x:c r="AC288" s="2" t="n"/>
      <x:c r="AD288" s="2" t="n"/>
      <x:c r="AE288" s="2" t="n"/>
      <x:c r="AF288" s="2" t="inlineStr">
        <x:is>
          <x:t xml:space="preserve">Imported from SRD 5.2.1 p. 355 Index of Stat Blocks</x:t>
        </x:is>
      </x:c>
      <x:c r="AG288" s="2" t="inlineStr">
        <x:is>
          <x:t xml:space="preserve">https://www.dndbeyond.com/srd</x:t>
        </x:is>
      </x:c>
    </x:row>
    <x:row r="289" ht="18" customHeight="1">
      <x:c r="A289" s="2" t="inlineStr">
        <x:is>
          <x:t xml:space="preserve">Giant Wolf Spider</x:t>
        </x:is>
      </x:c>
      <x:c r="B289" s="2" t="inlineStr">
        <x:is>
          <x:t xml:space="preserve">SRD 5.2.1</x:t>
        </x:is>
      </x:c>
      <x:c r="C289" s="2" t="inlineStr">
        <x:is>
          <x:t xml:space="preserve">Beast</x:t>
        </x:is>
      </x:c>
      <x:c r="D289" s="2" t="inlineStr">
        <x:is>
          <x:t xml:space="preserve">Medium</x:t>
        </x:is>
      </x:c>
      <x:c r="E289" s="2" t="inlineStr">
        <x:is>
          <x:t xml:space="preserve">Unaligned</x:t>
        </x:is>
      </x:c>
      <x:c r="F289" s="2" t="inlineStr">
        <x:is>
          <x:t xml:space="preserve">1/4</x:t>
        </x:is>
      </x:c>
      <x:c r="G289" s="2" t="inlineStr">
        <x:is>
          <x:t xml:space="preserve">50</x:t>
        </x:is>
      </x:c>
      <x:c r="H289" s="2" t="inlineStr">
        <x:is>
          <x:t xml:space="preserve">13</x:t>
        </x:is>
      </x:c>
      <x:c r="I289" s="2" t="inlineStr">
        <x:is>
          <x:t xml:space="preserve">11</x:t>
        </x:is>
      </x:c>
      <x:c r="J289" s="2" t="inlineStr">
        <x:is>
          <x:t xml:space="preserve">40 ft., Climb 40 ft.</x:t>
        </x:is>
      </x:c>
      <x:c r="K289" s="2" t="inlineStr">
        <x:is>
          <x:t xml:space="preserve">2</x:t>
        </x:is>
      </x:c>
      <x:c r="L289" s="2" t="inlineStr">
        <x:is>
          <x:t xml:space="preserve">13</x:t>
        </x:is>
      </x:c>
      <x:c r="M289" s="2" t="n"/>
      <x:c r="N289" s="2" t="inlineStr">
        <x:is>
          <x:t xml:space="preserve">5</x:t>
        </x:is>
      </x:c>
      <x:c r="O289" s="2" t="inlineStr">
        <x:is>
          <x:t xml:space="preserve">3</x:t>
        </x:is>
      </x:c>
      <x:c r="P289" s="2" t="inlineStr">
        <x:is>
          <x:t xml:space="preserve">12</x:t>
        </x:is>
      </x:c>
      <x:c r="Q289" s="2" t="inlineStr">
        <x:is>
          <x:t xml:space="preserve">16</x:t>
        </x:is>
      </x:c>
      <x:c r="R289" s="2" t="inlineStr">
        <x:is>
          <x:t xml:space="preserve">13</x:t>
        </x:is>
      </x:c>
      <x:c r="S289" s="2" t="inlineStr">
        <x:is>
          <x:t xml:space="preserve">3</x:t>
        </x:is>
      </x:c>
      <x:c r="T289" s="2" t="inlineStr">
        <x:is>
          <x:t xml:space="preserve">12</x:t>
        </x:is>
      </x:c>
      <x:c r="U289" s="2" t="inlineStr">
        <x:is>
          <x:t xml:space="preserve">4</x:t>
        </x:is>
      </x:c>
      <x:c r="V289" s="2" t="n"/>
      <x:c r="W289" s="2" t="inlineStr">
        <x:is>
          <x:t xml:space="preserve">Perception +3, Stealth +7</x:t>
        </x:is>
      </x:c>
      <x:c r="X289" s="2" t="inlineStr">
        <x:is>
          <x:t xml:space="preserve">Blindsight 10 ft., Darkvision 60 ft.; Passive Perception 13</x:t>
        </x:is>
      </x:c>
      <x:c r="Y289" s="2" t="inlineStr">
        <x:is>
          <x:t xml:space="preserve">None</x:t>
        </x:is>
      </x:c>
      <x:c r="Z289" s="2" t="inlineStr">
        <x:is>
          <x:t xml:space="preserve">Spider Climb. The spider can climb difficult surfaces, including along ceilings, without needing to make an ability check.</x:t>
        </x:is>
      </x:c>
      <x:c r="AA289" s="2" t="inlineStr">
        <x:is>
          <x:t xml:space="preserve">Bite. Melee Attack Roll: +5, reach 5 ft. Hit: 5 (1d4 + 3) Piercing damage plus 5 (2d4) Poison damage.</x:t>
        </x:is>
      </x:c>
      <x:c r="AB289" s="2" t="n"/>
      <x:c r="AC289" s="2" t="n"/>
      <x:c r="AD289" s="2" t="n"/>
      <x:c r="AE289" s="2" t="n"/>
      <x:c r="AF289" s="2" t="inlineStr">
        <x:is>
          <x:t xml:space="preserve">Imported from SRD 5.2.1 p. 355 Index of Stat Blocks</x:t>
        </x:is>
      </x:c>
      <x:c r="AG289" s="2" t="inlineStr">
        <x:is>
          <x:t xml:space="preserve">https://www.dndbeyond.com/srd</x:t>
        </x:is>
      </x:c>
    </x:row>
    <x:row r="290" ht="18" customHeight="1">
      <x:c r="A290" s="2" t="inlineStr">
        <x:is>
          <x:t xml:space="preserve">Goat</x:t>
        </x:is>
      </x:c>
      <x:c r="B290" s="2" t="inlineStr">
        <x:is>
          <x:t xml:space="preserve">SRD 5.2.1</x:t>
        </x:is>
      </x:c>
      <x:c r="C290" s="2" t="inlineStr">
        <x:is>
          <x:t xml:space="preserve">Beast</x:t>
        </x:is>
      </x:c>
      <x:c r="D290" s="2" t="inlineStr">
        <x:is>
          <x:t xml:space="preserve">Medium</x:t>
        </x:is>
      </x:c>
      <x:c r="E290" s="2" t="inlineStr">
        <x:is>
          <x:t xml:space="preserve">Unaligned</x:t>
        </x:is>
      </x:c>
      <x:c r="F290" s="2" t="inlineStr">
        <x:is>
          <x:t xml:space="preserve">0</x:t>
        </x:is>
      </x:c>
      <x:c r="G290" s="2" t="inlineStr">
        <x:is>
          <x:t xml:space="preserve">10</x:t>
        </x:is>
      </x:c>
      <x:c r="H290" s="2" t="inlineStr">
        <x:is>
          <x:t xml:space="preserve">10</x:t>
        </x:is>
      </x:c>
      <x:c r="I290" s="2" t="inlineStr">
        <x:is>
          <x:t xml:space="preserve">4</x:t>
        </x:is>
      </x:c>
      <x:c r="J290" s="2" t="inlineStr">
        <x:is>
          <x:t xml:space="preserve">40 ft., Climb 30 ft.</x:t>
        </x:is>
      </x:c>
      <x:c r="K290" s="2" t="inlineStr">
        <x:is>
          <x:t xml:space="preserve">2</x:t>
        </x:is>
      </x:c>
      <x:c r="L290" s="2" t="inlineStr">
        <x:is>
          <x:t xml:space="preserve">12</x:t>
        </x:is>
      </x:c>
      <x:c r="M290" s="2" t="n"/>
      <x:c r="N290" s="2" t="inlineStr">
        <x:is>
          <x:t xml:space="preserve">2</x:t>
        </x:is>
      </x:c>
      <x:c r="O290" s="2" t="inlineStr">
        <x:is>
          <x:t xml:space="preserve">0</x:t>
        </x:is>
      </x:c>
      <x:c r="P290" s="2" t="inlineStr">
        <x:is>
          <x:t xml:space="preserve">11</x:t>
        </x:is>
      </x:c>
      <x:c r="Q290" s="2" t="inlineStr">
        <x:is>
          <x:t xml:space="preserve">10</x:t>
        </x:is>
      </x:c>
      <x:c r="R290" s="2" t="inlineStr">
        <x:is>
          <x:t xml:space="preserve">11</x:t>
        </x:is>
      </x:c>
      <x:c r="S290" s="2" t="inlineStr">
        <x:is>
          <x:t xml:space="preserve">2</x:t>
        </x:is>
      </x:c>
      <x:c r="T290" s="2" t="inlineStr">
        <x:is>
          <x:t xml:space="preserve">10</x:t>
        </x:is>
      </x:c>
      <x:c r="U290" s="2" t="inlineStr">
        <x:is>
          <x:t xml:space="preserve">5</x:t>
        </x:is>
      </x:c>
      <x:c r="V290" s="2" t="inlineStr">
        <x:is>
          <x:t xml:space="preserve">STR +2</x:t>
        </x:is>
      </x:c>
      <x:c r="W290" s="2" t="inlineStr">
        <x:is>
          <x:t xml:space="preserve">Perception +2</x:t>
        </x:is>
      </x:c>
      <x:c r="X290" s="2" t="inlineStr">
        <x:is>
          <x:t xml:space="preserve">Darkvision 60 ft.; Passive Perception 12</x:t>
        </x:is>
      </x:c>
      <x:c r="Y290" s="2" t="inlineStr">
        <x:is>
          <x:t xml:space="preserve">None</x:t>
        </x:is>
      </x:c>
      <x:c r="Z290" s="2" t="n"/>
      <x:c r="AA290" s="2" t="inlineStr">
        <x:is>
          <x:t xml:space="preserve">Ram. Melee Attack Roll: +2, reach 5 ft. Hit: 1 Blud- geoning damage, or 2 (1d4) Bludgeoning damage if the goat moved 20+ feet straight toward the target immedi- ately before the hit.</x:t>
        </x:is>
      </x:c>
      <x:c r="AB290" s="2" t="n"/>
      <x:c r="AC290" s="2" t="n"/>
      <x:c r="AD290" s="2" t="n"/>
      <x:c r="AE290" s="2" t="n"/>
      <x:c r="AF290" s="2" t="inlineStr">
        <x:is>
          <x:t xml:space="preserve">Imported from SRD 5.2.1 p. 355 Index of Stat Blocks</x:t>
        </x:is>
      </x:c>
      <x:c r="AG290" s="2" t="inlineStr">
        <x:is>
          <x:t xml:space="preserve">https://www.dndbeyond.com/srd</x:t>
        </x:is>
      </x:c>
    </x:row>
    <x:row r="291" ht="18" customHeight="1">
      <x:c r="A291" s="2" t="inlineStr">
        <x:is>
          <x:t xml:space="preserve">Hawk</x:t>
        </x:is>
      </x:c>
      <x:c r="B291" s="2" t="inlineStr">
        <x:is>
          <x:t xml:space="preserve">SRD 5.2.1</x:t>
        </x:is>
      </x:c>
      <x:c r="C291" s="2" t="inlineStr">
        <x:is>
          <x:t xml:space="preserve">Beast</x:t>
        </x:is>
      </x:c>
      <x:c r="D291" s="2" t="inlineStr">
        <x:is>
          <x:t xml:space="preserve">Tiny</x:t>
        </x:is>
      </x:c>
      <x:c r="E291" s="2" t="inlineStr">
        <x:is>
          <x:t xml:space="preserve">Unaligned</x:t>
        </x:is>
      </x:c>
      <x:c r="F291" s="2" t="inlineStr">
        <x:is>
          <x:t xml:space="preserve">0</x:t>
        </x:is>
      </x:c>
      <x:c r="G291" s="2" t="inlineStr">
        <x:is>
          <x:t xml:space="preserve">10</x:t>
        </x:is>
      </x:c>
      <x:c r="H291" s="2" t="inlineStr">
        <x:is>
          <x:t xml:space="preserve">13</x:t>
        </x:is>
      </x:c>
      <x:c r="I291" s="2" t="inlineStr">
        <x:is>
          <x:t xml:space="preserve">1</x:t>
        </x:is>
      </x:c>
      <x:c r="J291" s="2" t="inlineStr">
        <x:is>
          <x:t xml:space="preserve">10 ft., Fly 60 ft.</x:t>
        </x:is>
      </x:c>
      <x:c r="K291" s="2" t="inlineStr">
        <x:is>
          <x:t xml:space="preserve">2</x:t>
        </x:is>
      </x:c>
      <x:c r="L291" s="2" t="inlineStr">
        <x:is>
          <x:t xml:space="preserve">16</x:t>
        </x:is>
      </x:c>
      <x:c r="M291" s="2" t="n"/>
      <x:c r="N291" s="2" t="inlineStr">
        <x:is>
          <x:t xml:space="preserve">5</x:t>
        </x:is>
      </x:c>
      <x:c r="O291" s="2" t="inlineStr">
        <x:is>
          <x:t xml:space="preserve">3</x:t>
        </x:is>
      </x:c>
      <x:c r="P291" s="2" t="inlineStr">
        <x:is>
          <x:t xml:space="preserve">5</x:t>
        </x:is>
      </x:c>
      <x:c r="Q291" s="2" t="inlineStr">
        <x:is>
          <x:t xml:space="preserve">16</x:t>
        </x:is>
      </x:c>
      <x:c r="R291" s="2" t="inlineStr">
        <x:is>
          <x:t xml:space="preserve">8</x:t>
        </x:is>
      </x:c>
      <x:c r="S291" s="2" t="inlineStr">
        <x:is>
          <x:t xml:space="preserve">2</x:t>
        </x:is>
      </x:c>
      <x:c r="T291" s="2" t="inlineStr">
        <x:is>
          <x:t xml:space="preserve">14</x:t>
        </x:is>
      </x:c>
      <x:c r="U291" s="2" t="inlineStr">
        <x:is>
          <x:t xml:space="preserve">6</x:t>
        </x:is>
      </x:c>
      <x:c r="V291" s="2" t="n"/>
      <x:c r="W291" s="2" t="inlineStr">
        <x:is>
          <x:t xml:space="preserve">Perception +6</x:t>
        </x:is>
      </x:c>
      <x:c r="X291" s="2" t="inlineStr">
        <x:is>
          <x:t xml:space="preserve">Passive Perception 16</x:t>
        </x:is>
      </x:c>
      <x:c r="Y291" s="2" t="inlineStr">
        <x:is>
          <x:t xml:space="preserve">None</x:t>
        </x:is>
      </x:c>
      <x:c r="Z291" s="2" t="n"/>
      <x:c r="AA291" s="2" t="inlineStr">
        <x:is>
          <x:t xml:space="preserve">Talons. Melee Attack Roll: +5, reach 5 ft. Hit: 1 Slash- ing damage.</x:t>
        </x:is>
      </x:c>
      <x:c r="AB291" s="2" t="n"/>
      <x:c r="AC291" s="2" t="n"/>
      <x:c r="AD291" s="2" t="n"/>
      <x:c r="AE291" s="2" t="n"/>
      <x:c r="AF291" s="2" t="inlineStr">
        <x:is>
          <x:t xml:space="preserve">Imported from SRD 5.2.1 p. 355 Index of Stat Blocks</x:t>
        </x:is>
      </x:c>
      <x:c r="AG291" s="2" t="inlineStr">
        <x:is>
          <x:t xml:space="preserve">https://www.dndbeyond.com/srd</x:t>
        </x:is>
      </x:c>
    </x:row>
    <x:row r="292" ht="18" customHeight="1">
      <x:c r="A292" s="2" t="inlineStr">
        <x:is>
          <x:t xml:space="preserve">Hippopotamus</x:t>
        </x:is>
      </x:c>
      <x:c r="B292" s="2" t="inlineStr">
        <x:is>
          <x:t xml:space="preserve">SRD 5.2.1</x:t>
        </x:is>
      </x:c>
      <x:c r="C292" s="2" t="inlineStr">
        <x:is>
          <x:t xml:space="preserve">Beast</x:t>
        </x:is>
      </x:c>
      <x:c r="D292" s="2" t="inlineStr">
        <x:is>
          <x:t xml:space="preserve">Large</x:t>
        </x:is>
      </x:c>
      <x:c r="E292" s="2" t="inlineStr">
        <x:is>
          <x:t xml:space="preserve">Unaligned</x:t>
        </x:is>
      </x:c>
      <x:c r="F292" s="2" t="inlineStr">
        <x:is>
          <x:t xml:space="preserve">4</x:t>
        </x:is>
      </x:c>
      <x:c r="G292" s="2" t="inlineStr">
        <x:is>
          <x:t xml:space="preserve">1100</x:t>
        </x:is>
      </x:c>
      <x:c r="H292" s="2" t="inlineStr">
        <x:is>
          <x:t xml:space="preserve">14</x:t>
        </x:is>
      </x:c>
      <x:c r="I292" s="2" t="inlineStr">
        <x:is>
          <x:t xml:space="preserve">82</x:t>
        </x:is>
      </x:c>
      <x:c r="J292" s="2" t="inlineStr">
        <x:is>
          <x:t xml:space="preserve">30 ft., Swim 30 ft.</x:t>
        </x:is>
      </x:c>
      <x:c r="K292" s="2" t="inlineStr">
        <x:is>
          <x:t xml:space="preserve">2</x:t>
        </x:is>
      </x:c>
      <x:c r="L292" s="2" t="inlineStr">
        <x:is>
          <x:t xml:space="preserve">13</x:t>
        </x:is>
      </x:c>
      <x:c r="M292" s="2" t="n"/>
      <x:c r="N292" s="2" t="inlineStr">
        <x:is>
          <x:t xml:space="preserve">7</x:t>
        </x:is>
      </x:c>
      <x:c r="O292" s="2" t="inlineStr">
        <x:is>
          <x:t xml:space="preserve">-2</x:t>
        </x:is>
      </x:c>
      <x:c r="P292" s="2" t="inlineStr">
        <x:is>
          <x:t xml:space="preserve">21</x:t>
        </x:is>
      </x:c>
      <x:c r="Q292" s="2" t="inlineStr">
        <x:is>
          <x:t xml:space="preserve">7</x:t>
        </x:is>
      </x:c>
      <x:c r="R292" s="2" t="inlineStr">
        <x:is>
          <x:t xml:space="preserve">15</x:t>
        </x:is>
      </x:c>
      <x:c r="S292" s="2" t="inlineStr">
        <x:is>
          <x:t xml:space="preserve">2</x:t>
        </x:is>
      </x:c>
      <x:c r="T292" s="2" t="inlineStr">
        <x:is>
          <x:t xml:space="preserve">12</x:t>
        </x:is>
      </x:c>
      <x:c r="U292" s="2" t="inlineStr">
        <x:is>
          <x:t xml:space="preserve">4</x:t>
        </x:is>
      </x:c>
      <x:c r="V292" s="2" t="inlineStr">
        <x:is>
          <x:t xml:space="preserve">STR +7</x:t>
        </x:is>
      </x:c>
      <x:c r="W292" s="2" t="inlineStr">
        <x:is>
          <x:t xml:space="preserve">Perception +3</x:t>
        </x:is>
      </x:c>
      <x:c r="X292" s="2" t="inlineStr">
        <x:is>
          <x:t xml:space="preserve">Passive Perception 13</x:t>
        </x:is>
      </x:c>
      <x:c r="Y292" s="2" t="inlineStr">
        <x:is>
          <x:t xml:space="preserve">None</x:t>
        </x:is>
      </x:c>
      <x:c r="Z292" s="2" t="inlineStr">
        <x:is>
          <x:t xml:space="preserve">Hold Breath. The hippopotamus can hold its breath for 10 minutes.</x:t>
        </x:is>
      </x:c>
      <x:c r="AA292" s="2" t="inlineStr">
        <x:is>
          <x:t xml:space="preserve">Multiattack. The hippopotamus makes two Bite attacks. Bite. Melee Attack Roll: +7, reach 5 ft. Hit: 16 (2d10 + 5) Piercing damage.</x:t>
        </x:is>
      </x:c>
      <x:c r="AB292" s="2" t="n"/>
      <x:c r="AC292" s="2" t="n"/>
      <x:c r="AD292" s="2" t="n"/>
      <x:c r="AE292" s="2" t="n"/>
      <x:c r="AF292" s="2" t="inlineStr">
        <x:is>
          <x:t xml:space="preserve">Imported from SRD 5.2.1 p. 355 Index of Stat Blocks</x:t>
        </x:is>
      </x:c>
      <x:c r="AG292" s="2" t="inlineStr">
        <x:is>
          <x:t xml:space="preserve">https://www.dndbeyond.com/srd</x:t>
        </x:is>
      </x:c>
    </x:row>
    <x:row r="293" ht="18" customHeight="1">
      <x:c r="A293" s="2" t="inlineStr">
        <x:is>
          <x:t xml:space="preserve">Hunter Shark</x:t>
        </x:is>
      </x:c>
      <x:c r="B293" s="2" t="inlineStr">
        <x:is>
          <x:t xml:space="preserve">SRD 5.2.1</x:t>
        </x:is>
      </x:c>
      <x:c r="C293" s="2" t="inlineStr">
        <x:is>
          <x:t xml:space="preserve">Beast</x:t>
        </x:is>
      </x:c>
      <x:c r="D293" s="2" t="inlineStr">
        <x:is>
          <x:t xml:space="preserve">Large</x:t>
        </x:is>
      </x:c>
      <x:c r="E293" s="2" t="inlineStr">
        <x:is>
          <x:t xml:space="preserve">Unaligned</x:t>
        </x:is>
      </x:c>
      <x:c r="F293" s="2" t="inlineStr">
        <x:is>
          <x:t xml:space="preserve">2</x:t>
        </x:is>
      </x:c>
      <x:c r="G293" s="2" t="inlineStr">
        <x:is>
          <x:t xml:space="preserve">450</x:t>
        </x:is>
      </x:c>
      <x:c r="H293" s="2" t="inlineStr">
        <x:is>
          <x:t xml:space="preserve">12</x:t>
        </x:is>
      </x:c>
      <x:c r="I293" s="2" t="inlineStr">
        <x:is>
          <x:t xml:space="preserve">45</x:t>
        </x:is>
      </x:c>
      <x:c r="J293" s="2" t="inlineStr">
        <x:is>
          <x:t xml:space="preserve">5 ft., Swim 40 ft.</x:t>
        </x:is>
      </x:c>
      <x:c r="K293" s="2" t="inlineStr">
        <x:is>
          <x:t xml:space="preserve">2</x:t>
        </x:is>
      </x:c>
      <x:c r="L293" s="2" t="inlineStr">
        <x:is>
          <x:t xml:space="preserve">12</x:t>
        </x:is>
      </x:c>
      <x:c r="M293" s="2" t="n"/>
      <x:c r="N293" s="2" t="inlineStr">
        <x:is>
          <x:t xml:space="preserve">6</x:t>
        </x:is>
      </x:c>
      <x:c r="O293" s="2" t="inlineStr">
        <x:is>
          <x:t xml:space="preserve">2</x:t>
        </x:is>
      </x:c>
      <x:c r="P293" s="2" t="inlineStr">
        <x:is>
          <x:t xml:space="preserve">18</x:t>
        </x:is>
      </x:c>
      <x:c r="Q293" s="2" t="inlineStr">
        <x:is>
          <x:t xml:space="preserve">14</x:t>
        </x:is>
      </x:c>
      <x:c r="R293" s="2" t="inlineStr">
        <x:is>
          <x:t xml:space="preserve">15</x:t>
        </x:is>
      </x:c>
      <x:c r="S293" s="2" t="inlineStr">
        <x:is>
          <x:t xml:space="preserve">1</x:t>
        </x:is>
      </x:c>
      <x:c r="T293" s="2" t="inlineStr">
        <x:is>
          <x:t xml:space="preserve">10</x:t>
        </x:is>
      </x:c>
      <x:c r="U293" s="2" t="inlineStr">
        <x:is>
          <x:t xml:space="preserve">4</x:t>
        </x:is>
      </x:c>
      <x:c r="V293" s="2" t="n"/>
      <x:c r="W293" s="2" t="inlineStr">
        <x:is>
          <x:t xml:space="preserve">Perception +2</x:t>
        </x:is>
      </x:c>
      <x:c r="X293" s="2" t="inlineStr">
        <x:is>
          <x:t xml:space="preserve">Blindsight 60 ft.; Passive Perception 12</x:t>
        </x:is>
      </x:c>
      <x:c r="Y293" s="2" t="inlineStr">
        <x:is>
          <x:t xml:space="preserve">None</x:t>
        </x:is>
      </x:c>
      <x:c r="Z293" s="2" t="inlineStr">
        <x:is>
          <x:t xml:space="preserve">Water Breathing. The shark can breathe only underwater.</x:t>
        </x:is>
      </x:c>
      <x:c r="AA293" s="2" t="inlineStr">
        <x:is>
          <x:t xml:space="preserve">Bite. Melee Attack Roll: +6 (with Advantage if the tar- get doesn’t have all its Hit Points), reach 5 ft. Hit: 14 (3d6 + 4) Piercing damage.</x:t>
        </x:is>
      </x:c>
      <x:c r="AB293" s="2" t="n"/>
      <x:c r="AC293" s="2" t="n"/>
      <x:c r="AD293" s="2" t="n"/>
      <x:c r="AE293" s="2" t="n"/>
      <x:c r="AF293" s="2" t="inlineStr">
        <x:is>
          <x:t xml:space="preserve">Imported from SRD 5.2.1 p. 356 Index of Stat Blocks</x:t>
        </x:is>
      </x:c>
      <x:c r="AG293" s="2" t="inlineStr">
        <x:is>
          <x:t xml:space="preserve">https://www.dndbeyond.com/srd</x:t>
        </x:is>
      </x:c>
    </x:row>
    <x:row r="294" ht="18" customHeight="1">
      <x:c r="A294" s="2" t="inlineStr">
        <x:is>
          <x:t xml:space="preserve">Hyena</x:t>
        </x:is>
      </x:c>
      <x:c r="B294" s="2" t="inlineStr">
        <x:is>
          <x:t xml:space="preserve">SRD 5.2.1</x:t>
        </x:is>
      </x:c>
      <x:c r="C294" s="2" t="inlineStr">
        <x:is>
          <x:t xml:space="preserve">Beast</x:t>
        </x:is>
      </x:c>
      <x:c r="D294" s="2" t="inlineStr">
        <x:is>
          <x:t xml:space="preserve">Medium</x:t>
        </x:is>
      </x:c>
      <x:c r="E294" s="2" t="inlineStr">
        <x:is>
          <x:t xml:space="preserve">Unaligned</x:t>
        </x:is>
      </x:c>
      <x:c r="F294" s="2" t="inlineStr">
        <x:is>
          <x:t xml:space="preserve">0</x:t>
        </x:is>
      </x:c>
      <x:c r="G294" s="2" t="inlineStr">
        <x:is>
          <x:t xml:space="preserve">10</x:t>
        </x:is>
      </x:c>
      <x:c r="H294" s="2" t="inlineStr">
        <x:is>
          <x:t xml:space="preserve">11</x:t>
        </x:is>
      </x:c>
      <x:c r="I294" s="2" t="inlineStr">
        <x:is>
          <x:t xml:space="preserve">5</x:t>
        </x:is>
      </x:c>
      <x:c r="J294" s="2" t="inlineStr">
        <x:is>
          <x:t xml:space="preserve">50 ft.</x:t>
        </x:is>
      </x:c>
      <x:c r="K294" s="2" t="inlineStr">
        <x:is>
          <x:t xml:space="preserve">2</x:t>
        </x:is>
      </x:c>
      <x:c r="L294" s="2" t="inlineStr">
        <x:is>
          <x:t xml:space="preserve">13</x:t>
        </x:is>
      </x:c>
      <x:c r="M294" s="2" t="n"/>
      <x:c r="N294" s="2" t="inlineStr">
        <x:is>
          <x:t xml:space="preserve">2</x:t>
        </x:is>
      </x:c>
      <x:c r="O294" s="2" t="inlineStr">
        <x:is>
          <x:t xml:space="preserve">1</x:t>
        </x:is>
      </x:c>
      <x:c r="P294" s="2" t="inlineStr">
        <x:is>
          <x:t xml:space="preserve">11</x:t>
        </x:is>
      </x:c>
      <x:c r="Q294" s="2" t="inlineStr">
        <x:is>
          <x:t xml:space="preserve">13</x:t>
        </x:is>
      </x:c>
      <x:c r="R294" s="2" t="inlineStr">
        <x:is>
          <x:t xml:space="preserve">12</x:t>
        </x:is>
      </x:c>
      <x:c r="S294" s="2" t="inlineStr">
        <x:is>
          <x:t xml:space="preserve">2</x:t>
        </x:is>
      </x:c>
      <x:c r="T294" s="2" t="inlineStr">
        <x:is>
          <x:t xml:space="preserve">12</x:t>
        </x:is>
      </x:c>
      <x:c r="U294" s="2" t="inlineStr">
        <x:is>
          <x:t xml:space="preserve">5</x:t>
        </x:is>
      </x:c>
      <x:c r="V294" s="2" t="n"/>
      <x:c r="W294" s="2" t="inlineStr">
        <x:is>
          <x:t xml:space="preserve">Perception +3</x:t>
        </x:is>
      </x:c>
      <x:c r="X294" s="2" t="inlineStr">
        <x:is>
          <x:t xml:space="preserve">Darkvision 60 ft.; Passive Perception 13</x:t>
        </x:is>
      </x:c>
      <x:c r="Y294" s="2" t="inlineStr">
        <x:is>
          <x:t xml:space="preserve">None</x:t>
        </x:is>
      </x:c>
      <x:c r="Z294" s="2" t="inlineStr">
        <x:is>
          <x:t xml:space="preserve">Pack Tactics. The hyena has Advantage on an attack roll against a creature if at least one of the hyena’s allies is within 5 feet of the creature and the ally doesn’t have the Incapacitated condition.</x:t>
        </x:is>
      </x:c>
      <x:c r="AA294" s="2" t="inlineStr">
        <x:is>
          <x:t xml:space="preserve">Bite. Melee Attack Roll: +2, reach 5 ft. Hit: 3 (1d6) Piercing damage.</x:t>
        </x:is>
      </x:c>
      <x:c r="AB294" s="2" t="n"/>
      <x:c r="AC294" s="2" t="n"/>
      <x:c r="AD294" s="2" t="n"/>
      <x:c r="AE294" s="2" t="n"/>
      <x:c r="AF294" s="2" t="inlineStr">
        <x:is>
          <x:t xml:space="preserve">Imported from SRD 5.2.1 p. 356 Index of Stat Blocks</x:t>
        </x:is>
      </x:c>
      <x:c r="AG294" s="2" t="inlineStr">
        <x:is>
          <x:t xml:space="preserve">https://www.dndbeyond.com/srd</x:t>
        </x:is>
      </x:c>
    </x:row>
    <x:row r="295" ht="18" customHeight="1">
      <x:c r="A295" s="2" t="inlineStr">
        <x:is>
          <x:t xml:space="preserve">Jackal</x:t>
        </x:is>
      </x:c>
      <x:c r="B295" s="2" t="inlineStr">
        <x:is>
          <x:t xml:space="preserve">SRD 5.2.1</x:t>
        </x:is>
      </x:c>
      <x:c r="C295" s="2" t="inlineStr">
        <x:is>
          <x:t xml:space="preserve">Beast</x:t>
        </x:is>
      </x:c>
      <x:c r="D295" s="2" t="inlineStr">
        <x:is>
          <x:t xml:space="preserve">Small</x:t>
        </x:is>
      </x:c>
      <x:c r="E295" s="2" t="inlineStr">
        <x:is>
          <x:t xml:space="preserve">Unaligned</x:t>
        </x:is>
      </x:c>
      <x:c r="F295" s="2" t="inlineStr">
        <x:is>
          <x:t xml:space="preserve">0</x:t>
        </x:is>
      </x:c>
      <x:c r="G295" s="2" t="inlineStr">
        <x:is>
          <x:t xml:space="preserve">10</x:t>
        </x:is>
      </x:c>
      <x:c r="H295" s="2" t="inlineStr">
        <x:is>
          <x:t xml:space="preserve">12</x:t>
        </x:is>
      </x:c>
      <x:c r="I295" s="2" t="inlineStr">
        <x:is>
          <x:t xml:space="preserve">3</x:t>
        </x:is>
      </x:c>
      <x:c r="J295" s="2" t="inlineStr">
        <x:is>
          <x:t xml:space="preserve">40 ft.</x:t>
        </x:is>
      </x:c>
      <x:c r="K295" s="2" t="inlineStr">
        <x:is>
          <x:t xml:space="preserve">2</x:t>
        </x:is>
      </x:c>
      <x:c r="L295" s="2" t="inlineStr">
        <x:is>
          <x:t xml:space="preserve">15</x:t>
        </x:is>
      </x:c>
      <x:c r="M295" s="2" t="n"/>
      <x:c r="N295" s="2" t="inlineStr">
        <x:is>
          <x:t xml:space="preserve">1</x:t>
        </x:is>
      </x:c>
      <x:c r="O295" s="2" t="inlineStr">
        <x:is>
          <x:t xml:space="preserve">2</x:t>
        </x:is>
      </x:c>
      <x:c r="P295" s="2" t="inlineStr">
        <x:is>
          <x:t xml:space="preserve">8</x:t>
        </x:is>
      </x:c>
      <x:c r="Q295" s="2" t="inlineStr">
        <x:is>
          <x:t xml:space="preserve">15</x:t>
        </x:is>
      </x:c>
      <x:c r="R295" s="2" t="inlineStr">
        <x:is>
          <x:t xml:space="preserve">11</x:t>
        </x:is>
      </x:c>
      <x:c r="S295" s="2" t="inlineStr">
        <x:is>
          <x:t xml:space="preserve">3</x:t>
        </x:is>
      </x:c>
      <x:c r="T295" s="2" t="inlineStr">
        <x:is>
          <x:t xml:space="preserve">12</x:t>
        </x:is>
      </x:c>
      <x:c r="U295" s="2" t="inlineStr">
        <x:is>
          <x:t xml:space="preserve">6</x:t>
        </x:is>
      </x:c>
      <x:c r="V295" s="2" t="n"/>
      <x:c r="W295" s="2" t="inlineStr">
        <x:is>
          <x:t xml:space="preserve">Perception +5, Stealth +4</x:t>
        </x:is>
      </x:c>
      <x:c r="X295" s="2" t="inlineStr">
        <x:is>
          <x:t xml:space="preserve">Darkvision 90 ft.; Passive Perception 15</x:t>
        </x:is>
      </x:c>
      <x:c r="Y295" s="2" t="inlineStr">
        <x:is>
          <x:t xml:space="preserve">None</x:t>
        </x:is>
      </x:c>
      <x:c r="Z295" s="2" t="n"/>
      <x:c r="AA295" s="2" t="inlineStr">
        <x:is>
          <x:t xml:space="preserve">Bite. Melee Attack Roll: +1, reach 5 ft. Hit: 1 (1d4 - 1) Piercing damage.</x:t>
        </x:is>
      </x:c>
      <x:c r="AB295" s="2" t="n"/>
      <x:c r="AC295" s="2" t="n"/>
      <x:c r="AD295" s="2" t="n"/>
      <x:c r="AE295" s="2" t="n"/>
      <x:c r="AF295" s="2" t="inlineStr">
        <x:is>
          <x:t xml:space="preserve">Imported from SRD 5.2.1 p. 356 Index of Stat Blocks</x:t>
        </x:is>
      </x:c>
      <x:c r="AG295" s="2" t="inlineStr">
        <x:is>
          <x:t xml:space="preserve">https://www.dndbeyond.com/srd</x:t>
        </x:is>
      </x:c>
    </x:row>
    <x:row r="296" ht="18" customHeight="1">
      <x:c r="A296" s="2" t="inlineStr">
        <x:is>
          <x:t xml:space="preserve">Killer Whale</x:t>
        </x:is>
      </x:c>
      <x:c r="B296" s="2" t="inlineStr">
        <x:is>
          <x:t xml:space="preserve">SRD 5.2.1</x:t>
        </x:is>
      </x:c>
      <x:c r="C296" s="2" t="inlineStr">
        <x:is>
          <x:t xml:space="preserve">Beast</x:t>
        </x:is>
      </x:c>
      <x:c r="D296" s="2" t="inlineStr">
        <x:is>
          <x:t xml:space="preserve">Huge</x:t>
        </x:is>
      </x:c>
      <x:c r="E296" s="2" t="inlineStr">
        <x:is>
          <x:t xml:space="preserve">Unaligned</x:t>
        </x:is>
      </x:c>
      <x:c r="F296" s="2" t="inlineStr">
        <x:is>
          <x:t xml:space="preserve">3</x:t>
        </x:is>
      </x:c>
      <x:c r="G296" s="2" t="inlineStr">
        <x:is>
          <x:t xml:space="preserve">700</x:t>
        </x:is>
      </x:c>
      <x:c r="H296" s="2" t="inlineStr">
        <x:is>
          <x:t xml:space="preserve">12</x:t>
        </x:is>
      </x:c>
      <x:c r="I296" s="2" t="inlineStr">
        <x:is>
          <x:t xml:space="preserve">90</x:t>
        </x:is>
      </x:c>
      <x:c r="J296" s="2" t="inlineStr">
        <x:is>
          <x:t xml:space="preserve">5 ft., Swim 60 ft.</x:t>
        </x:is>
      </x:c>
      <x:c r="K296" s="2" t="inlineStr">
        <x:is>
          <x:t xml:space="preserve">2</x:t>
        </x:is>
      </x:c>
      <x:c r="L296" s="2" t="inlineStr">
        <x:is>
          <x:t xml:space="preserve">13</x:t>
        </x:is>
      </x:c>
      <x:c r="M296" s="2" t="n"/>
      <x:c r="N296" s="2" t="inlineStr">
        <x:is>
          <x:t xml:space="preserve">6</x:t>
        </x:is>
      </x:c>
      <x:c r="O296" s="2" t="inlineStr">
        <x:is>
          <x:t xml:space="preserve">2</x:t>
        </x:is>
      </x:c>
      <x:c r="P296" s="2" t="inlineStr">
        <x:is>
          <x:t xml:space="preserve">19</x:t>
        </x:is>
      </x:c>
      <x:c r="Q296" s="2" t="inlineStr">
        <x:is>
          <x:t xml:space="preserve">14</x:t>
        </x:is>
      </x:c>
      <x:c r="R296" s="2" t="inlineStr">
        <x:is>
          <x:t xml:space="preserve">13</x:t>
        </x:is>
      </x:c>
      <x:c r="S296" s="2" t="inlineStr">
        <x:is>
          <x:t xml:space="preserve">3</x:t>
        </x:is>
      </x:c>
      <x:c r="T296" s="2" t="inlineStr">
        <x:is>
          <x:t xml:space="preserve">12</x:t>
        </x:is>
      </x:c>
      <x:c r="U296" s="2" t="inlineStr">
        <x:is>
          <x:t xml:space="preserve">7</x:t>
        </x:is>
      </x:c>
      <x:c r="V296" s="2" t="n"/>
      <x:c r="W296" s="2" t="inlineStr">
        <x:is>
          <x:t xml:space="preserve">Perception +3, Stealth +4</x:t>
        </x:is>
      </x:c>
      <x:c r="X296" s="2" t="inlineStr">
        <x:is>
          <x:t xml:space="preserve">Blindsight 120 ft.; Passive Perception 13</x:t>
        </x:is>
      </x:c>
      <x:c r="Y296" s="2" t="inlineStr">
        <x:is>
          <x:t xml:space="preserve">None</x:t>
        </x:is>
      </x:c>
      <x:c r="Z296" s="2" t="inlineStr">
        <x:is>
          <x:t xml:space="preserve">Hold Breath. The whale can hold its breath for 30 minutes.</x:t>
        </x:is>
      </x:c>
      <x:c r="AA296" s="2" t="inlineStr">
        <x:is>
          <x:t xml:space="preserve">Bite. Melee Attack Roll: +6, reach 5 ft. Hit: 21 (5d6 + 4) Piercing damage.</x:t>
        </x:is>
      </x:c>
      <x:c r="AB296" s="2" t="n"/>
      <x:c r="AC296" s="2" t="n"/>
      <x:c r="AD296" s="2" t="n"/>
      <x:c r="AE296" s="2" t="n"/>
      <x:c r="AF296" s="2" t="inlineStr">
        <x:is>
          <x:t xml:space="preserve">Imported from SRD 5.2.1 p. 356 Index of Stat Blocks</x:t>
        </x:is>
      </x:c>
      <x:c r="AG296" s="2" t="inlineStr">
        <x:is>
          <x:t xml:space="preserve">https://www.dndbeyond.com/srd</x:t>
        </x:is>
      </x:c>
    </x:row>
    <x:row r="297" ht="18" customHeight="1">
      <x:c r="A297" s="2" t="inlineStr">
        <x:is>
          <x:t xml:space="preserve">Lion</x:t>
        </x:is>
      </x:c>
      <x:c r="B297" s="2" t="inlineStr">
        <x:is>
          <x:t xml:space="preserve">SRD 5.2.1</x:t>
        </x:is>
      </x:c>
      <x:c r="C297" s="2" t="inlineStr">
        <x:is>
          <x:t xml:space="preserve">Beast</x:t>
        </x:is>
      </x:c>
      <x:c r="D297" s="2" t="inlineStr">
        <x:is>
          <x:t xml:space="preserve">Large</x:t>
        </x:is>
      </x:c>
      <x:c r="E297" s="2" t="inlineStr">
        <x:is>
          <x:t xml:space="preserve">Unaligned</x:t>
        </x:is>
      </x:c>
      <x:c r="F297" s="2" t="inlineStr">
        <x:is>
          <x:t xml:space="preserve">1</x:t>
        </x:is>
      </x:c>
      <x:c r="G297" s="2" t="inlineStr">
        <x:is>
          <x:t xml:space="preserve">200</x:t>
        </x:is>
      </x:c>
      <x:c r="H297" s="2" t="inlineStr">
        <x:is>
          <x:t xml:space="preserve">12</x:t>
        </x:is>
      </x:c>
      <x:c r="I297" s="2" t="inlineStr">
        <x:is>
          <x:t xml:space="preserve">22</x:t>
        </x:is>
      </x:c>
      <x:c r="J297" s="2" t="inlineStr">
        <x:is>
          <x:t xml:space="preserve">50 ft.</x:t>
        </x:is>
      </x:c>
      <x:c r="K297" s="2" t="inlineStr">
        <x:is>
          <x:t xml:space="preserve">2</x:t>
        </x:is>
      </x:c>
      <x:c r="L297" s="2" t="inlineStr">
        <x:is>
          <x:t xml:space="preserve">13</x:t>
        </x:is>
      </x:c>
      <x:c r="M297" s="2" t="inlineStr">
        <x:is>
          <x:t xml:space="preserve">11</x:t>
        </x:is>
      </x:c>
      <x:c r="N297" s="2" t="inlineStr">
        <x:is>
          <x:t xml:space="preserve">5</x:t>
        </x:is>
      </x:c>
      <x:c r="O297" s="2" t="inlineStr">
        <x:is>
          <x:t xml:space="preserve">2</x:t>
        </x:is>
      </x:c>
      <x:c r="P297" s="2" t="inlineStr">
        <x:is>
          <x:t xml:space="preserve">17</x:t>
        </x:is>
      </x:c>
      <x:c r="Q297" s="2" t="inlineStr">
        <x:is>
          <x:t xml:space="preserve">15</x:t>
        </x:is>
      </x:c>
      <x:c r="R297" s="2" t="inlineStr">
        <x:is>
          <x:t xml:space="preserve">11</x:t>
        </x:is>
      </x:c>
      <x:c r="S297" s="2" t="inlineStr">
        <x:is>
          <x:t xml:space="preserve">3</x:t>
        </x:is>
      </x:c>
      <x:c r="T297" s="2" t="inlineStr">
        <x:is>
          <x:t xml:space="preserve">12</x:t>
        </x:is>
      </x:c>
      <x:c r="U297" s="2" t="inlineStr">
        <x:is>
          <x:t xml:space="preserve">8</x:t>
        </x:is>
      </x:c>
      <x:c r="V297" s="2" t="n"/>
      <x:c r="W297" s="2" t="inlineStr">
        <x:is>
          <x:t xml:space="preserve">Perception +3, Stealth +4</x:t>
        </x:is>
      </x:c>
      <x:c r="X297" s="2" t="inlineStr">
        <x:is>
          <x:t xml:space="preserve">Darkvision 60 ft.; Passive Perception 13</x:t>
        </x:is>
      </x:c>
      <x:c r="Y297" s="2" t="inlineStr">
        <x:is>
          <x:t xml:space="preserve">None</x:t>
        </x:is>
      </x:c>
      <x:c r="Z297" s="2" t="inlineStr">
        <x:is>
          <x:t xml:space="preserve">Pack Tactics. The lion has Advantage on an attack roll against a creature if at least one of the lion’s allies is within 5 feet of the creature and the ally doesn’t have the Incapacitated condition. Running Leap. With a 10-foot running start, the lion can Long Jump up to 25 feet.</x:t>
        </x:is>
      </x:c>
      <x:c r="AA297" s="2" t="inlineStr">
        <x:is>
          <x:t xml:space="preserve">Multiattack. The lion makes two Rend attacks. It can replace one attack with a use of Roar. Rend. Melee Attack Roll: +5, reach 5 ft. Hit: 7 (1d8 + 3) Slashing damage. Roar. Wisdom Saving Throw: DC 11, one creature within 15 feet. Failure: The target has the Frightened condition until the start of the lion’s next turn.</x:t>
        </x:is>
      </x:c>
      <x:c r="AB297" s="2" t="n"/>
      <x:c r="AC297" s="2" t="n"/>
      <x:c r="AD297" s="2" t="n"/>
      <x:c r="AE297" s="2" t="n"/>
      <x:c r="AF297" s="2" t="inlineStr">
        <x:is>
          <x:t xml:space="preserve">Imported from SRD 5.2.1 p. 356 Index of Stat Blocks</x:t>
        </x:is>
      </x:c>
      <x:c r="AG297" s="2" t="inlineStr">
        <x:is>
          <x:t xml:space="preserve">https://www.dndbeyond.com/srd</x:t>
        </x:is>
      </x:c>
    </x:row>
    <x:row r="298" ht="18" customHeight="1">
      <x:c r="A298" s="2" t="inlineStr">
        <x:is>
          <x:t xml:space="preserve">Lizard</x:t>
        </x:is>
      </x:c>
      <x:c r="B298" s="2" t="inlineStr">
        <x:is>
          <x:t xml:space="preserve">SRD 5.2.1</x:t>
        </x:is>
      </x:c>
      <x:c r="C298" s="2" t="inlineStr">
        <x:is>
          <x:t xml:space="preserve">Beast</x:t>
        </x:is>
      </x:c>
      <x:c r="D298" s="2" t="inlineStr">
        <x:is>
          <x:t xml:space="preserve">Tiny</x:t>
        </x:is>
      </x:c>
      <x:c r="E298" s="2" t="inlineStr">
        <x:is>
          <x:t xml:space="preserve">Unaligned</x:t>
        </x:is>
      </x:c>
      <x:c r="F298" s="2" t="inlineStr">
        <x:is>
          <x:t xml:space="preserve">0</x:t>
        </x:is>
      </x:c>
      <x:c r="G298" s="2" t="inlineStr">
        <x:is>
          <x:t xml:space="preserve">10</x:t>
        </x:is>
      </x:c>
      <x:c r="H298" s="2" t="inlineStr">
        <x:is>
          <x:t xml:space="preserve">10</x:t>
        </x:is>
      </x:c>
      <x:c r="I298" s="2" t="inlineStr">
        <x:is>
          <x:t xml:space="preserve">2</x:t>
        </x:is>
      </x:c>
      <x:c r="J298" s="2" t="inlineStr">
        <x:is>
          <x:t xml:space="preserve">20 ft., Climb 20 ft.</x:t>
        </x:is>
      </x:c>
      <x:c r="K298" s="2" t="inlineStr">
        <x:is>
          <x:t xml:space="preserve">2</x:t>
        </x:is>
      </x:c>
      <x:c r="L298" s="2" t="inlineStr">
        <x:is>
          <x:t xml:space="preserve">9</x:t>
        </x:is>
      </x:c>
      <x:c r="M298" s="2" t="n"/>
      <x:c r="N298" s="2" t="inlineStr">
        <x:is>
          <x:t xml:space="preserve">2</x:t>
        </x:is>
      </x:c>
      <x:c r="O298" s="2" t="inlineStr">
        <x:is>
          <x:t xml:space="preserve">0</x:t>
        </x:is>
      </x:c>
      <x:c r="P298" s="2" t="inlineStr">
        <x:is>
          <x:t xml:space="preserve">2</x:t>
        </x:is>
      </x:c>
      <x:c r="Q298" s="2" t="inlineStr">
        <x:is>
          <x:t xml:space="preserve">11</x:t>
        </x:is>
      </x:c>
      <x:c r="R298" s="2" t="inlineStr">
        <x:is>
          <x:t xml:space="preserve">10</x:t>
        </x:is>
      </x:c>
      <x:c r="S298" s="2" t="inlineStr">
        <x:is>
          <x:t xml:space="preserve">1</x:t>
        </x:is>
      </x:c>
      <x:c r="T298" s="2" t="inlineStr">
        <x:is>
          <x:t xml:space="preserve">8</x:t>
        </x:is>
      </x:c>
      <x:c r="U298" s="2" t="inlineStr">
        <x:is>
          <x:t xml:space="preserve">3</x:t>
        </x:is>
      </x:c>
      <x:c r="V298" s="2" t="n"/>
      <x:c r="W298" s="2" t="n"/>
      <x:c r="X298" s="2" t="inlineStr">
        <x:is>
          <x:t xml:space="preserve">Darkvision 30 ft.; Passive Perception 9</x:t>
        </x:is>
      </x:c>
      <x:c r="Y298" s="2" t="inlineStr">
        <x:is>
          <x:t xml:space="preserve">None</x:t>
        </x:is>
      </x:c>
      <x:c r="Z298" s="2" t="inlineStr">
        <x:is>
          <x:t xml:space="preserve">Spider Climb. The lizard can climb difficult surfaces, including along ceilings, without needing to make an ability check.</x:t>
        </x:is>
      </x:c>
      <x:c r="AA298" s="2" t="inlineStr">
        <x:is>
          <x:t xml:space="preserve">Bite. Melee Attack Roll: +2, reach 5 ft. Hit: 1 Piercing damage.</x:t>
        </x:is>
      </x:c>
      <x:c r="AB298" s="2" t="n"/>
      <x:c r="AC298" s="2" t="n"/>
      <x:c r="AD298" s="2" t="n"/>
      <x:c r="AE298" s="2" t="n"/>
      <x:c r="AF298" s="2" t="inlineStr">
        <x:is>
          <x:t xml:space="preserve">Imported from SRD 5.2.1 p. 357 Index of Stat Blocks</x:t>
        </x:is>
      </x:c>
      <x:c r="AG298" s="2" t="inlineStr">
        <x:is>
          <x:t xml:space="preserve">https://www.dndbeyond.com/srd</x:t>
        </x:is>
      </x:c>
    </x:row>
    <x:row r="299" ht="18" customHeight="1">
      <x:c r="A299" s="2" t="inlineStr">
        <x:is>
          <x:t xml:space="preserve">Mammoth</x:t>
        </x:is>
      </x:c>
      <x:c r="B299" s="2" t="inlineStr">
        <x:is>
          <x:t xml:space="preserve">SRD 5.2.1</x:t>
        </x:is>
      </x:c>
      <x:c r="C299" s="2" t="inlineStr">
        <x:is>
          <x:t xml:space="preserve">Beast</x:t>
        </x:is>
      </x:c>
      <x:c r="D299" s="2" t="inlineStr">
        <x:is>
          <x:t xml:space="preserve">Huge</x:t>
        </x:is>
      </x:c>
      <x:c r="E299" s="2" t="inlineStr">
        <x:is>
          <x:t xml:space="preserve">Unaligned</x:t>
        </x:is>
      </x:c>
      <x:c r="F299" s="2" t="inlineStr">
        <x:is>
          <x:t xml:space="preserve">6</x:t>
        </x:is>
      </x:c>
      <x:c r="G299" s="2" t="inlineStr">
        <x:is>
          <x:t xml:space="preserve">2300</x:t>
        </x:is>
      </x:c>
      <x:c r="H299" s="2" t="inlineStr">
        <x:is>
          <x:t xml:space="preserve">13</x:t>
        </x:is>
      </x:c>
      <x:c r="I299" s="2" t="inlineStr">
        <x:is>
          <x:t xml:space="preserve">126</x:t>
        </x:is>
      </x:c>
      <x:c r="J299" s="2" t="inlineStr">
        <x:is>
          <x:t xml:space="preserve">50 ft.</x:t>
        </x:is>
      </x:c>
      <x:c r="K299" s="2" t="inlineStr">
        <x:is>
          <x:t xml:space="preserve">3</x:t>
        </x:is>
      </x:c>
      <x:c r="L299" s="2" t="inlineStr">
        <x:is>
          <x:t xml:space="preserve">10</x:t>
        </x:is>
      </x:c>
      <x:c r="M299" s="2" t="inlineStr">
        <x:is>
          <x:t xml:space="preserve">18</x:t>
        </x:is>
      </x:c>
      <x:c r="N299" s="2" t="inlineStr">
        <x:is>
          <x:t xml:space="preserve">10</x:t>
        </x:is>
      </x:c>
      <x:c r="O299" s="2" t="inlineStr">
        <x:is>
          <x:t xml:space="preserve">2</x:t>
        </x:is>
      </x:c>
      <x:c r="P299" s="2" t="inlineStr">
        <x:is>
          <x:t xml:space="preserve">24</x:t>
        </x:is>
      </x:c>
      <x:c r="Q299" s="2" t="inlineStr">
        <x:is>
          <x:t xml:space="preserve">9</x:t>
        </x:is>
      </x:c>
      <x:c r="R299" s="2" t="inlineStr">
        <x:is>
          <x:t xml:space="preserve">21</x:t>
        </x:is>
      </x:c>
      <x:c r="S299" s="2" t="inlineStr">
        <x:is>
          <x:t xml:space="preserve">3</x:t>
        </x:is>
      </x:c>
      <x:c r="T299" s="2" t="inlineStr">
        <x:is>
          <x:t xml:space="preserve">11</x:t>
        </x:is>
      </x:c>
      <x:c r="U299" s="2" t="inlineStr">
        <x:is>
          <x:t xml:space="preserve">6</x:t>
        </x:is>
      </x:c>
      <x:c r="V299" s="2" t="inlineStr">
        <x:is>
          <x:t xml:space="preserve">STR +10, CON +8</x:t>
        </x:is>
      </x:c>
      <x:c r="W299" s="2" t="n"/>
      <x:c r="X299" s="2" t="inlineStr">
        <x:is>
          <x:t xml:space="preserve">Passive Perception 10</x:t>
        </x:is>
      </x:c>
      <x:c r="Y299" s="2" t="inlineStr">
        <x:is>
          <x:t xml:space="preserve">None</x:t>
        </x:is>
      </x:c>
      <x:c r="Z299" s="2" t="n"/>
      <x:c r="AA299" s="2" t="inlineStr">
        <x:is>
          <x:t xml:space="preserve">Multiattack. The mammoth makes two Gore attacks. Gore. Melee Attack Roll: +10, reach 10 ft. Hit: 18 (2d10 + 7) Piercing damage. If the target is a Huge or smaller creature and the mammoth moved 20+ feet straight toward it immediately before the hit, the target has the Prone condition.</x:t>
        </x:is>
      </x:c>
      <x:c r="AB299" s="2" t="inlineStr">
        <x:is>
          <x:t xml:space="preserve">Trample. Dexterity Saving Throw: DC 18, one creature within 5 feet that has the Prone condition. Failure: 29 (4d10 + 7) Bludgeoning damage. Success: Half damage.</x:t>
        </x:is>
      </x:c>
      <x:c r="AC299" s="2" t="n"/>
      <x:c r="AD299" s="2" t="n"/>
      <x:c r="AE299" s="2" t="n"/>
      <x:c r="AF299" s="2" t="inlineStr">
        <x:is>
          <x:t xml:space="preserve">Imported from SRD 5.2.1 p. 357 Index of Stat Blocks</x:t>
        </x:is>
      </x:c>
      <x:c r="AG299" s="2" t="inlineStr">
        <x:is>
          <x:t xml:space="preserve">https://www.dndbeyond.com/srd</x:t>
        </x:is>
      </x:c>
    </x:row>
    <x:row r="300" ht="18" customHeight="1">
      <x:c r="A300" s="2" t="inlineStr">
        <x:is>
          <x:t xml:space="preserve">Mastiff</x:t>
        </x:is>
      </x:c>
      <x:c r="B300" s="2" t="inlineStr">
        <x:is>
          <x:t xml:space="preserve">SRD 5.2.1</x:t>
        </x:is>
      </x:c>
      <x:c r="C300" s="2" t="inlineStr">
        <x:is>
          <x:t xml:space="preserve">Beast</x:t>
        </x:is>
      </x:c>
      <x:c r="D300" s="2" t="inlineStr">
        <x:is>
          <x:t xml:space="preserve">Medium</x:t>
        </x:is>
      </x:c>
      <x:c r="E300" s="2" t="inlineStr">
        <x:is>
          <x:t xml:space="preserve">Unaligned</x:t>
        </x:is>
      </x:c>
      <x:c r="F300" s="2" t="inlineStr">
        <x:is>
          <x:t xml:space="preserve">1/8</x:t>
        </x:is>
      </x:c>
      <x:c r="G300" s="2" t="inlineStr">
        <x:is>
          <x:t xml:space="preserve">25</x:t>
        </x:is>
      </x:c>
      <x:c r="H300" s="2" t="inlineStr">
        <x:is>
          <x:t xml:space="preserve">12</x:t>
        </x:is>
      </x:c>
      <x:c r="I300" s="2" t="inlineStr">
        <x:is>
          <x:t xml:space="preserve">5</x:t>
        </x:is>
      </x:c>
      <x:c r="J300" s="2" t="inlineStr">
        <x:is>
          <x:t xml:space="preserve">40 ft.</x:t>
        </x:is>
      </x:c>
      <x:c r="K300" s="2" t="inlineStr">
        <x:is>
          <x:t xml:space="preserve">2</x:t>
        </x:is>
      </x:c>
      <x:c r="L300" s="2" t="inlineStr">
        <x:is>
          <x:t xml:space="preserve">15</x:t>
        </x:is>
      </x:c>
      <x:c r="M300" s="2" t="n"/>
      <x:c r="N300" s="2" t="inlineStr">
        <x:is>
          <x:t xml:space="preserve">3</x:t>
        </x:is>
      </x:c>
      <x:c r="O300" s="2" t="inlineStr">
        <x:is>
          <x:t xml:space="preserve">2</x:t>
        </x:is>
      </x:c>
      <x:c r="P300" s="2" t="inlineStr">
        <x:is>
          <x:t xml:space="preserve">13</x:t>
        </x:is>
      </x:c>
      <x:c r="Q300" s="2" t="inlineStr">
        <x:is>
          <x:t xml:space="preserve">14</x:t>
        </x:is>
      </x:c>
      <x:c r="R300" s="2" t="inlineStr">
        <x:is>
          <x:t xml:space="preserve">12</x:t>
        </x:is>
      </x:c>
      <x:c r="S300" s="2" t="inlineStr">
        <x:is>
          <x:t xml:space="preserve">3</x:t>
        </x:is>
      </x:c>
      <x:c r="T300" s="2" t="inlineStr">
        <x:is>
          <x:t xml:space="preserve">12</x:t>
        </x:is>
      </x:c>
      <x:c r="U300" s="2" t="inlineStr">
        <x:is>
          <x:t xml:space="preserve">7</x:t>
        </x:is>
      </x:c>
      <x:c r="V300" s="2" t="inlineStr">
        <x:is>
          <x:t xml:space="preserve">WIS +3</x:t>
        </x:is>
      </x:c>
      <x:c r="W300" s="2" t="inlineStr">
        <x:is>
          <x:t xml:space="preserve">Perception +5</x:t>
        </x:is>
      </x:c>
      <x:c r="X300" s="2" t="inlineStr">
        <x:is>
          <x:t xml:space="preserve">Darkvision 60 ft.; Passive Perception 15</x:t>
        </x:is>
      </x:c>
      <x:c r="Y300" s="2" t="inlineStr">
        <x:is>
          <x:t xml:space="preserve">None</x:t>
        </x:is>
      </x:c>
      <x:c r="Z300" s="2" t="n"/>
      <x:c r="AA300" s="2" t="inlineStr">
        <x:is>
          <x:t xml:space="preserve">Bite. Melee Attack Roll: +3, reach 5 ft. Hit: 4 (1d6 + 1) Piercing damage. If the target is a Medium or smaller creature, it has the Prone condition.</x:t>
        </x:is>
      </x:c>
      <x:c r="AB300" s="2" t="n"/>
      <x:c r="AC300" s="2" t="n"/>
      <x:c r="AD300" s="2" t="n"/>
      <x:c r="AE300" s="2" t="n"/>
      <x:c r="AF300" s="2" t="inlineStr">
        <x:is>
          <x:t xml:space="preserve">Imported from SRD 5.2.1 p. 357 Index of Stat Blocks</x:t>
        </x:is>
      </x:c>
      <x:c r="AG300" s="2" t="inlineStr">
        <x:is>
          <x:t xml:space="preserve">https://www.dndbeyond.com/srd</x:t>
        </x:is>
      </x:c>
    </x:row>
    <x:row r="301" ht="18" customHeight="1">
      <x:c r="A301" s="2" t="inlineStr">
        <x:is>
          <x:t xml:space="preserve">Mule</x:t>
        </x:is>
      </x:c>
      <x:c r="B301" s="2" t="inlineStr">
        <x:is>
          <x:t xml:space="preserve">SRD 5.2.1</x:t>
        </x:is>
      </x:c>
      <x:c r="C301" s="2" t="inlineStr">
        <x:is>
          <x:t xml:space="preserve">Beast</x:t>
        </x:is>
      </x:c>
      <x:c r="D301" s="2" t="inlineStr">
        <x:is>
          <x:t xml:space="preserve">Medium</x:t>
        </x:is>
      </x:c>
      <x:c r="E301" s="2" t="inlineStr">
        <x:is>
          <x:t xml:space="preserve">Unaligned</x:t>
        </x:is>
      </x:c>
      <x:c r="F301" s="2" t="inlineStr">
        <x:is>
          <x:t xml:space="preserve">1/8</x:t>
        </x:is>
      </x:c>
      <x:c r="G301" s="2" t="inlineStr">
        <x:is>
          <x:t xml:space="preserve">25</x:t>
        </x:is>
      </x:c>
      <x:c r="H301" s="2" t="inlineStr">
        <x:is>
          <x:t xml:space="preserve">10</x:t>
        </x:is>
      </x:c>
      <x:c r="I301" s="2" t="inlineStr">
        <x:is>
          <x:t xml:space="preserve">11</x:t>
        </x:is>
      </x:c>
      <x:c r="J301" s="2" t="inlineStr">
        <x:is>
          <x:t xml:space="preserve">40 ft.</x:t>
        </x:is>
      </x:c>
      <x:c r="K301" s="2" t="inlineStr">
        <x:is>
          <x:t xml:space="preserve">2</x:t>
        </x:is>
      </x:c>
      <x:c r="L301" s="2" t="inlineStr">
        <x:is>
          <x:t xml:space="preserve">10</x:t>
        </x:is>
      </x:c>
      <x:c r="M301" s="2" t="n"/>
      <x:c r="N301" s="2" t="inlineStr">
        <x:is>
          <x:t xml:space="preserve">4</x:t>
        </x:is>
      </x:c>
      <x:c r="O301" s="2" t="inlineStr">
        <x:is>
          <x:t xml:space="preserve">0</x:t>
        </x:is>
      </x:c>
      <x:c r="P301" s="2" t="inlineStr">
        <x:is>
          <x:t xml:space="preserve">14</x:t>
        </x:is>
      </x:c>
      <x:c r="Q301" s="2" t="inlineStr">
        <x:is>
          <x:t xml:space="preserve">10</x:t>
        </x:is>
      </x:c>
      <x:c r="R301" s="2" t="inlineStr">
        <x:is>
          <x:t xml:space="preserve">13</x:t>
        </x:is>
      </x:c>
      <x:c r="S301" s="2" t="inlineStr">
        <x:is>
          <x:t xml:space="preserve">2</x:t>
        </x:is>
      </x:c>
      <x:c r="T301" s="2" t="inlineStr">
        <x:is>
          <x:t xml:space="preserve">10</x:t>
        </x:is>
      </x:c>
      <x:c r="U301" s="2" t="inlineStr">
        <x:is>
          <x:t xml:space="preserve">5</x:t>
        </x:is>
      </x:c>
      <x:c r="V301" s="2" t="inlineStr">
        <x:is>
          <x:t xml:space="preserve">STR +4</x:t>
        </x:is>
      </x:c>
      <x:c r="W301" s="2" t="n"/>
      <x:c r="X301" s="2" t="inlineStr">
        <x:is>
          <x:t xml:space="preserve">Passive Perception 10</x:t>
        </x:is>
      </x:c>
      <x:c r="Y301" s="2" t="inlineStr">
        <x:is>
          <x:t xml:space="preserve">None</x:t>
        </x:is>
      </x:c>
      <x:c r="Z301" s="2" t="inlineStr">
        <x:is>
          <x:t xml:space="preserve">Beast of Burden. The mule counts as one size larger for the purpose of determining its carrying capacity.</x:t>
        </x:is>
      </x:c>
      <x:c r="AA301" s="2" t="inlineStr">
        <x:is>
          <x:t xml:space="preserve">Hooves. Melee Attack Roll: +4, reach 5 ft. Hit: 4 (1d4 + 2) Bludgeoning damage.</x:t>
        </x:is>
      </x:c>
      <x:c r="AB301" s="2" t="n"/>
      <x:c r="AC301" s="2" t="n"/>
      <x:c r="AD301" s="2" t="n"/>
      <x:c r="AE301" s="2" t="n"/>
      <x:c r="AF301" s="2" t="inlineStr">
        <x:is>
          <x:t xml:space="preserve">Imported from SRD 5.2.1 p. 357 Index of Stat Blocks</x:t>
        </x:is>
      </x:c>
      <x:c r="AG301" s="2" t="inlineStr">
        <x:is>
          <x:t xml:space="preserve">https://www.dndbeyond.com/srd</x:t>
        </x:is>
      </x:c>
    </x:row>
    <x:row r="302" ht="18" customHeight="1">
      <x:c r="A302" s="2" t="inlineStr">
        <x:is>
          <x:t xml:space="preserve">Octopus</x:t>
        </x:is>
      </x:c>
      <x:c r="B302" s="2" t="inlineStr">
        <x:is>
          <x:t xml:space="preserve">SRD 5.2.1</x:t>
        </x:is>
      </x:c>
      <x:c r="C302" s="2" t="inlineStr">
        <x:is>
          <x:t xml:space="preserve">Beast</x:t>
        </x:is>
      </x:c>
      <x:c r="D302" s="2" t="inlineStr">
        <x:is>
          <x:t xml:space="preserve">Small</x:t>
        </x:is>
      </x:c>
      <x:c r="E302" s="2" t="inlineStr">
        <x:is>
          <x:t xml:space="preserve">Unaligned</x:t>
        </x:is>
      </x:c>
      <x:c r="F302" s="2" t="inlineStr">
        <x:is>
          <x:t xml:space="preserve">0</x:t>
        </x:is>
      </x:c>
      <x:c r="G302" s="2" t="inlineStr">
        <x:is>
          <x:t xml:space="preserve">10</x:t>
        </x:is>
      </x:c>
      <x:c r="H302" s="2" t="inlineStr">
        <x:is>
          <x:t xml:space="preserve">12</x:t>
        </x:is>
      </x:c>
      <x:c r="I302" s="2" t="inlineStr">
        <x:is>
          <x:t xml:space="preserve">3</x:t>
        </x:is>
      </x:c>
      <x:c r="J302" s="2" t="inlineStr">
        <x:is>
          <x:t xml:space="preserve">5 ft., Swim 30 ft.</x:t>
        </x:is>
      </x:c>
      <x:c r="K302" s="2" t="inlineStr">
        <x:is>
          <x:t xml:space="preserve">2</x:t>
        </x:is>
      </x:c>
      <x:c r="L302" s="2" t="inlineStr">
        <x:is>
          <x:t xml:space="preserve">12</x:t>
        </x:is>
      </x:c>
      <x:c r="M302" s="2" t="n"/>
      <x:c r="N302" s="2" t="inlineStr">
        <x:is>
          <x:t xml:space="preserve">4</x:t>
        </x:is>
      </x:c>
      <x:c r="O302" s="2" t="inlineStr">
        <x:is>
          <x:t xml:space="preserve">2</x:t>
        </x:is>
      </x:c>
      <x:c r="P302" s="2" t="inlineStr">
        <x:is>
          <x:t xml:space="preserve">4</x:t>
        </x:is>
      </x:c>
      <x:c r="Q302" s="2" t="inlineStr">
        <x:is>
          <x:t xml:space="preserve">15</x:t>
        </x:is>
      </x:c>
      <x:c r="R302" s="2" t="inlineStr">
        <x:is>
          <x:t xml:space="preserve">11</x:t>
        </x:is>
      </x:c>
      <x:c r="S302" s="2" t="inlineStr">
        <x:is>
          <x:t xml:space="preserve">3</x:t>
        </x:is>
      </x:c>
      <x:c r="T302" s="2" t="inlineStr">
        <x:is>
          <x:t xml:space="preserve">10</x:t>
        </x:is>
      </x:c>
      <x:c r="U302" s="2" t="inlineStr">
        <x:is>
          <x:t xml:space="preserve">4</x:t>
        </x:is>
      </x:c>
      <x:c r="V302" s="2" t="n"/>
      <x:c r="W302" s="2" t="inlineStr">
        <x:is>
          <x:t xml:space="preserve">Perception +2, Stealth +6</x:t>
        </x:is>
      </x:c>
      <x:c r="X302" s="2" t="inlineStr">
        <x:is>
          <x:t xml:space="preserve">Darkvision 30 ft.; Passive Perception 12</x:t>
        </x:is>
      </x:c>
      <x:c r="Y302" s="2" t="inlineStr">
        <x:is>
          <x:t xml:space="preserve">None</x:t>
        </x:is>
      </x:c>
      <x:c r="Z302" s="2" t="inlineStr">
        <x:is>
          <x:t xml:space="preserve">Compression. The octopus can move through a space as narrow as 1 inch without expending extra move- ment to do so. Water Breathing. The octopus can breathe only underwater.</x:t>
        </x:is>
      </x:c>
      <x:c r="AA302" s="2" t="inlineStr">
        <x:is>
          <x:t xml:space="preserve">Tentacles. Melee Attack Roll: +4, reach 5 ft. Hit: 1 Bludgeoning damage.</x:t>
        </x:is>
      </x:c>
      <x:c r="AB302" s="2" t="n"/>
      <x:c r="AC302" s="2" t="inlineStr">
        <x:is>
          <x:t xml:space="preserve">Ink Cloud (1/Day). Trigger: A creature ends its turn within 5 feet of the octopus while underwater. Re- sponse: The octopus releases ink that fills a 5-foot Cube centered on itself, and the octopus moves up to its Swim Speed. The Cube is Heavily Obscured for 1 minute or until a strong current or similar effect dis- perses the ink.</x:t>
        </x:is>
      </x:c>
      <x:c r="AD302" s="2" t="n"/>
      <x:c r="AE302" s="2" t="n"/>
      <x:c r="AF302" s="2" t="inlineStr">
        <x:is>
          <x:t xml:space="preserve">Imported from SRD 5.2.1 p. 357 Index of Stat Blocks</x:t>
        </x:is>
      </x:c>
      <x:c r="AG302" s="2" t="inlineStr">
        <x:is>
          <x:t xml:space="preserve">https://www.dndbeyond.com/srd</x:t>
        </x:is>
      </x:c>
    </x:row>
    <x:row r="303" ht="18" customHeight="1">
      <x:c r="A303" s="2" t="inlineStr">
        <x:is>
          <x:t xml:space="preserve">Owl</x:t>
        </x:is>
      </x:c>
      <x:c r="B303" s="2" t="inlineStr">
        <x:is>
          <x:t xml:space="preserve">SRD 5.2.1</x:t>
        </x:is>
      </x:c>
      <x:c r="C303" s="2" t="inlineStr">
        <x:is>
          <x:t xml:space="preserve">Beast</x:t>
        </x:is>
      </x:c>
      <x:c r="D303" s="2" t="inlineStr">
        <x:is>
          <x:t xml:space="preserve">Tiny</x:t>
        </x:is>
      </x:c>
      <x:c r="E303" s="2" t="inlineStr">
        <x:is>
          <x:t xml:space="preserve">Unaligned</x:t>
        </x:is>
      </x:c>
      <x:c r="F303" s="2" t="inlineStr">
        <x:is>
          <x:t xml:space="preserve">0</x:t>
        </x:is>
      </x:c>
      <x:c r="G303" s="2" t="inlineStr">
        <x:is>
          <x:t xml:space="preserve">10</x:t>
        </x:is>
      </x:c>
      <x:c r="H303" s="2" t="inlineStr">
        <x:is>
          <x:t xml:space="preserve">11</x:t>
        </x:is>
      </x:c>
      <x:c r="I303" s="2" t="inlineStr">
        <x:is>
          <x:t xml:space="preserve">1</x:t>
        </x:is>
      </x:c>
      <x:c r="J303" s="2" t="inlineStr">
        <x:is>
          <x:t xml:space="preserve">5 ft., Fly 60 ft.</x:t>
        </x:is>
      </x:c>
      <x:c r="K303" s="2" t="inlineStr">
        <x:is>
          <x:t xml:space="preserve">2</x:t>
        </x:is>
      </x:c>
      <x:c r="L303" s="2" t="inlineStr">
        <x:is>
          <x:t xml:space="preserve">15</x:t>
        </x:is>
      </x:c>
      <x:c r="M303" s="2" t="n"/>
      <x:c r="N303" s="2" t="inlineStr">
        <x:is>
          <x:t xml:space="preserve">3</x:t>
        </x:is>
      </x:c>
      <x:c r="O303" s="2" t="inlineStr">
        <x:is>
          <x:t xml:space="preserve">1</x:t>
        </x:is>
      </x:c>
      <x:c r="P303" s="2" t="inlineStr">
        <x:is>
          <x:t xml:space="preserve">3</x:t>
        </x:is>
      </x:c>
      <x:c r="Q303" s="2" t="inlineStr">
        <x:is>
          <x:t xml:space="preserve">13</x:t>
        </x:is>
      </x:c>
      <x:c r="R303" s="2" t="inlineStr">
        <x:is>
          <x:t xml:space="preserve">8</x:t>
        </x:is>
      </x:c>
      <x:c r="S303" s="2" t="inlineStr">
        <x:is>
          <x:t xml:space="preserve">2</x:t>
        </x:is>
      </x:c>
      <x:c r="T303" s="2" t="inlineStr">
        <x:is>
          <x:t xml:space="preserve">12</x:t>
        </x:is>
      </x:c>
      <x:c r="U303" s="2" t="inlineStr">
        <x:is>
          <x:t xml:space="preserve">7</x:t>
        </x:is>
      </x:c>
      <x:c r="V303" s="2" t="n"/>
      <x:c r="W303" s="2" t="inlineStr">
        <x:is>
          <x:t xml:space="preserve">Perception +5, Stealth +5</x:t>
        </x:is>
      </x:c>
      <x:c r="X303" s="2" t="inlineStr">
        <x:is>
          <x:t xml:space="preserve">Darkvision 120 ft.; Passive Perception 15</x:t>
        </x:is>
      </x:c>
      <x:c r="Y303" s="2" t="inlineStr">
        <x:is>
          <x:t xml:space="preserve">None</x:t>
        </x:is>
      </x:c>
      <x:c r="Z303" s="2" t="inlineStr">
        <x:is>
          <x:t xml:space="preserve">Flyby. The owl doesn’t provoke an Opportunity Attack when it flies out of an enemy’s reach.</x:t>
        </x:is>
      </x:c>
      <x:c r="AA303" s="2" t="inlineStr">
        <x:is>
          <x:t xml:space="preserve">Talons. Melee Attack Roll: +3, reach 5 ft. Hit: 1 Slash- ing damage.</x:t>
        </x:is>
      </x:c>
      <x:c r="AB303" s="2" t="n"/>
      <x:c r="AC303" s="2" t="n"/>
      <x:c r="AD303" s="2" t="n"/>
      <x:c r="AE303" s="2" t="n"/>
      <x:c r="AF303" s="2" t="inlineStr">
        <x:is>
          <x:t xml:space="preserve">Imported from SRD 5.2.1 p. 358 Index of Stat Blocks</x:t>
        </x:is>
      </x:c>
      <x:c r="AG303" s="2" t="inlineStr">
        <x:is>
          <x:t xml:space="preserve">https://www.dndbeyond.com/srd</x:t>
        </x:is>
      </x:c>
    </x:row>
    <x:row r="304" ht="18" customHeight="1">
      <x:c r="A304" s="2" t="inlineStr">
        <x:is>
          <x:t xml:space="preserve">Panther</x:t>
        </x:is>
      </x:c>
      <x:c r="B304" s="2" t="inlineStr">
        <x:is>
          <x:t xml:space="preserve">SRD 5.2.1</x:t>
        </x:is>
      </x:c>
      <x:c r="C304" s="2" t="inlineStr">
        <x:is>
          <x:t xml:space="preserve">Beast</x:t>
        </x:is>
      </x:c>
      <x:c r="D304" s="2" t="inlineStr">
        <x:is>
          <x:t xml:space="preserve">Medium</x:t>
        </x:is>
      </x:c>
      <x:c r="E304" s="2" t="inlineStr">
        <x:is>
          <x:t xml:space="preserve">Unaligned</x:t>
        </x:is>
      </x:c>
      <x:c r="F304" s="2" t="inlineStr">
        <x:is>
          <x:t xml:space="preserve">1/4</x:t>
        </x:is>
      </x:c>
      <x:c r="G304" s="2" t="inlineStr">
        <x:is>
          <x:t xml:space="preserve">50</x:t>
        </x:is>
      </x:c>
      <x:c r="H304" s="2" t="inlineStr">
        <x:is>
          <x:t xml:space="preserve">13</x:t>
        </x:is>
      </x:c>
      <x:c r="I304" s="2" t="inlineStr">
        <x:is>
          <x:t xml:space="preserve">13</x:t>
        </x:is>
      </x:c>
      <x:c r="J304" s="2" t="inlineStr">
        <x:is>
          <x:t xml:space="preserve">50 ft., Climb 40 ft.</x:t>
        </x:is>
      </x:c>
      <x:c r="K304" s="2" t="inlineStr">
        <x:is>
          <x:t xml:space="preserve">2</x:t>
        </x:is>
      </x:c>
      <x:c r="L304" s="2" t="inlineStr">
        <x:is>
          <x:t xml:space="preserve">14</x:t>
        </x:is>
      </x:c>
      <x:c r="M304" s="2" t="n"/>
      <x:c r="N304" s="2" t="inlineStr">
        <x:is>
          <x:t xml:space="preserve">5</x:t>
        </x:is>
      </x:c>
      <x:c r="O304" s="2" t="inlineStr">
        <x:is>
          <x:t xml:space="preserve">3</x:t>
        </x:is>
      </x:c>
      <x:c r="P304" s="2" t="inlineStr">
        <x:is>
          <x:t xml:space="preserve">14</x:t>
        </x:is>
      </x:c>
      <x:c r="Q304" s="2" t="inlineStr">
        <x:is>
          <x:t xml:space="preserve">16</x:t>
        </x:is>
      </x:c>
      <x:c r="R304" s="2" t="inlineStr">
        <x:is>
          <x:t xml:space="preserve">10</x:t>
        </x:is>
      </x:c>
      <x:c r="S304" s="2" t="inlineStr">
        <x:is>
          <x:t xml:space="preserve">3</x:t>
        </x:is>
      </x:c>
      <x:c r="T304" s="2" t="inlineStr">
        <x:is>
          <x:t xml:space="preserve">14</x:t>
        </x:is>
      </x:c>
      <x:c r="U304" s="2" t="inlineStr">
        <x:is>
          <x:t xml:space="preserve">7</x:t>
        </x:is>
      </x:c>
      <x:c r="V304" s="2" t="n"/>
      <x:c r="W304" s="2" t="inlineStr">
        <x:is>
          <x:t xml:space="preserve">Perception +4, Stealth +7</x:t>
        </x:is>
      </x:c>
      <x:c r="X304" s="2" t="inlineStr">
        <x:is>
          <x:t xml:space="preserve">Darkvision 60 ft.; Passive Perception 14</x:t>
        </x:is>
      </x:c>
      <x:c r="Y304" s="2" t="inlineStr">
        <x:is>
          <x:t xml:space="preserve">None</x:t>
        </x:is>
      </x:c>
      <x:c r="Z304" s="2" t="n"/>
      <x:c r="AA304" s="2" t="inlineStr">
        <x:is>
          <x:t xml:space="preserve">Rend. Melee Attack Roll: +5, reach 5 ft. Hit: 6 (1d6 + 3) Slashing damage.</x:t>
        </x:is>
      </x:c>
      <x:c r="AB304" s="2" t="inlineStr">
        <x:is>
          <x:t xml:space="preserve">Nimble Escape. The panther takes the Disengage or Hide action.</x:t>
        </x:is>
      </x:c>
      <x:c r="AC304" s="2" t="n"/>
      <x:c r="AD304" s="2" t="n"/>
      <x:c r="AE304" s="2" t="n"/>
      <x:c r="AF304" s="2" t="inlineStr">
        <x:is>
          <x:t xml:space="preserve">Imported from SRD 5.2.1 p. 358 Index of Stat Blocks</x:t>
        </x:is>
      </x:c>
      <x:c r="AG304" s="2" t="inlineStr">
        <x:is>
          <x:t xml:space="preserve">https://www.dndbeyond.com/srd</x:t>
        </x:is>
      </x:c>
    </x:row>
    <x:row r="305" ht="18" customHeight="1">
      <x:c r="A305" s="2" t="inlineStr">
        <x:is>
          <x:t xml:space="preserve">Piranha</x:t>
        </x:is>
      </x:c>
      <x:c r="B305" s="2" t="inlineStr">
        <x:is>
          <x:t xml:space="preserve">SRD 5.2.1</x:t>
        </x:is>
      </x:c>
      <x:c r="C305" s="2" t="inlineStr">
        <x:is>
          <x:t xml:space="preserve">Beast</x:t>
        </x:is>
      </x:c>
      <x:c r="D305" s="2" t="inlineStr">
        <x:is>
          <x:t xml:space="preserve">Tiny</x:t>
        </x:is>
      </x:c>
      <x:c r="E305" s="2" t="inlineStr">
        <x:is>
          <x:t xml:space="preserve">Unaligned</x:t>
        </x:is>
      </x:c>
      <x:c r="F305" s="2" t="inlineStr">
        <x:is>
          <x:t xml:space="preserve">0</x:t>
        </x:is>
      </x:c>
      <x:c r="G305" s="2" t="inlineStr">
        <x:is>
          <x:t xml:space="preserve">10</x:t>
        </x:is>
      </x:c>
      <x:c r="H305" s="2" t="inlineStr">
        <x:is>
          <x:t xml:space="preserve">13</x:t>
        </x:is>
      </x:c>
      <x:c r="I305" s="2" t="inlineStr">
        <x:is>
          <x:t xml:space="preserve">1</x:t>
        </x:is>
      </x:c>
      <x:c r="J305" s="2" t="inlineStr">
        <x:is>
          <x:t xml:space="preserve">5 ft., Swim 40 ft.</x:t>
        </x:is>
      </x:c>
      <x:c r="K305" s="2" t="inlineStr">
        <x:is>
          <x:t xml:space="preserve">2</x:t>
        </x:is>
      </x:c>
      <x:c r="L305" s="2" t="inlineStr">
        <x:is>
          <x:t xml:space="preserve">8</x:t>
        </x:is>
      </x:c>
      <x:c r="M305" s="2" t="n"/>
      <x:c r="N305" s="2" t="inlineStr">
        <x:is>
          <x:t xml:space="preserve">5</x:t>
        </x:is>
      </x:c>
      <x:c r="O305" s="2" t="inlineStr">
        <x:is>
          <x:t xml:space="preserve">3</x:t>
        </x:is>
      </x:c>
      <x:c r="P305" s="2" t="inlineStr">
        <x:is>
          <x:t xml:space="preserve">2</x:t>
        </x:is>
      </x:c>
      <x:c r="Q305" s="2" t="inlineStr">
        <x:is>
          <x:t xml:space="preserve">16</x:t>
        </x:is>
      </x:c>
      <x:c r="R305" s="2" t="inlineStr">
        <x:is>
          <x:t xml:space="preserve">9</x:t>
        </x:is>
      </x:c>
      <x:c r="S305" s="2" t="inlineStr">
        <x:is>
          <x:t xml:space="preserve">1</x:t>
        </x:is>
      </x:c>
      <x:c r="T305" s="2" t="inlineStr">
        <x:is>
          <x:t xml:space="preserve">7</x:t>
        </x:is>
      </x:c>
      <x:c r="U305" s="2" t="inlineStr">
        <x:is>
          <x:t xml:space="preserve">2</x:t>
        </x:is>
      </x:c>
      <x:c r="V305" s="2" t="n"/>
      <x:c r="W305" s="2" t="n"/>
      <x:c r="X305" s="2" t="inlineStr">
        <x:is>
          <x:t xml:space="preserve">Darkvision 60 ft.; Passive Perception 8</x:t>
        </x:is>
      </x:c>
      <x:c r="Y305" s="2" t="inlineStr">
        <x:is>
          <x:t xml:space="preserve">None</x:t>
        </x:is>
      </x:c>
      <x:c r="Z305" s="2" t="inlineStr">
        <x:is>
          <x:t xml:space="preserve">Water Breathing. The piranha can breathe only underwater.</x:t>
        </x:is>
      </x:c>
      <x:c r="AA305" s="2" t="inlineStr">
        <x:is>
          <x:t xml:space="preserve">Bite. Melee Attack Roll: +5 (with Advantage if the target doesn’t have all its Hit Points), reach 5 ft. Hit: 1 Pierc- ing damage.</x:t>
        </x:is>
      </x:c>
      <x:c r="AB305" s="2" t="n"/>
      <x:c r="AC305" s="2" t="n"/>
      <x:c r="AD305" s="2" t="n"/>
      <x:c r="AE305" s="2" t="n"/>
      <x:c r="AF305" s="2" t="inlineStr">
        <x:is>
          <x:t xml:space="preserve">Imported from SRD 5.2.1 p. 358 Index of Stat Blocks</x:t>
        </x:is>
      </x:c>
      <x:c r="AG305" s="2" t="inlineStr">
        <x:is>
          <x:t xml:space="preserve">https://www.dndbeyond.com/srd</x:t>
        </x:is>
      </x:c>
    </x:row>
    <x:row r="306" ht="18" customHeight="1">
      <x:c r="A306" s="2" t="inlineStr">
        <x:is>
          <x:t xml:space="preserve">Plesiosaurus</x:t>
        </x:is>
      </x:c>
      <x:c r="B306" s="2" t="inlineStr">
        <x:is>
          <x:t xml:space="preserve">SRD 5.2.1</x:t>
        </x:is>
      </x:c>
      <x:c r="C306" s="2" t="inlineStr">
        <x:is>
          <x:t xml:space="preserve">Beast (Dinosaur)</x:t>
        </x:is>
      </x:c>
      <x:c r="D306" s="2" t="inlineStr">
        <x:is>
          <x:t xml:space="preserve">Large</x:t>
        </x:is>
      </x:c>
      <x:c r="E306" s="2" t="inlineStr">
        <x:is>
          <x:t xml:space="preserve">Unaligned</x:t>
        </x:is>
      </x:c>
      <x:c r="F306" s="2" t="inlineStr">
        <x:is>
          <x:t xml:space="preserve">2</x:t>
        </x:is>
      </x:c>
      <x:c r="G306" s="2" t="inlineStr">
        <x:is>
          <x:t xml:space="preserve">450</x:t>
        </x:is>
      </x:c>
      <x:c r="H306" s="2" t="inlineStr">
        <x:is>
          <x:t xml:space="preserve">13</x:t>
        </x:is>
      </x:c>
      <x:c r="I306" s="2" t="inlineStr">
        <x:is>
          <x:t xml:space="preserve">68</x:t>
        </x:is>
      </x:c>
      <x:c r="J306" s="2" t="inlineStr">
        <x:is>
          <x:t xml:space="preserve">20 ft., Swim 40 ft.</x:t>
        </x:is>
      </x:c>
      <x:c r="K306" s="2" t="inlineStr">
        <x:is>
          <x:t xml:space="preserve">2</x:t>
        </x:is>
      </x:c>
      <x:c r="L306" s="2" t="inlineStr">
        <x:is>
          <x:t xml:space="preserve">13</x:t>
        </x:is>
      </x:c>
      <x:c r="M306" s="2" t="n"/>
      <x:c r="N306" s="2" t="inlineStr">
        <x:is>
          <x:t xml:space="preserve">6</x:t>
        </x:is>
      </x:c>
      <x:c r="O306" s="2" t="inlineStr">
        <x:is>
          <x:t xml:space="preserve">2</x:t>
        </x:is>
      </x:c>
      <x:c r="P306" s="2" t="inlineStr">
        <x:is>
          <x:t xml:space="preserve">18</x:t>
        </x:is>
      </x:c>
      <x:c r="Q306" s="2" t="inlineStr">
        <x:is>
          <x:t xml:space="preserve">15</x:t>
        </x:is>
      </x:c>
      <x:c r="R306" s="2" t="inlineStr">
        <x:is>
          <x:t xml:space="preserve">16</x:t>
        </x:is>
      </x:c>
      <x:c r="S306" s="2" t="inlineStr">
        <x:is>
          <x:t xml:space="preserve">2</x:t>
        </x:is>
      </x:c>
      <x:c r="T306" s="2" t="inlineStr">
        <x:is>
          <x:t xml:space="preserve">12</x:t>
        </x:is>
      </x:c>
      <x:c r="U306" s="2" t="inlineStr">
        <x:is>
          <x:t xml:space="preserve">5</x:t>
        </x:is>
      </x:c>
      <x:c r="V306" s="2" t="n"/>
      <x:c r="W306" s="2" t="inlineStr">
        <x:is>
          <x:t xml:space="preserve">Perception +3, Stealth +4</x:t>
        </x:is>
      </x:c>
      <x:c r="X306" s="2" t="inlineStr">
        <x:is>
          <x:t xml:space="preserve">Passive Perception 13</x:t>
        </x:is>
      </x:c>
      <x:c r="Y306" s="2" t="inlineStr">
        <x:is>
          <x:t xml:space="preserve">None</x:t>
        </x:is>
      </x:c>
      <x:c r="Z306" s="2" t="inlineStr">
        <x:is>
          <x:t xml:space="preserve">Hold Breath. The plesiosaurus can hold its breath for 1 hour.</x:t>
        </x:is>
      </x:c>
      <x:c r="AA306" s="2" t="inlineStr">
        <x:is>
          <x:t xml:space="preserve">Bite. Melee Attack Roll: +6, reach 10 ft. Hit: 11 (2d6 + 4) Piercing damage.</x:t>
        </x:is>
      </x:c>
      <x:c r="AB306" s="2" t="n"/>
      <x:c r="AC306" s="2" t="n"/>
      <x:c r="AD306" s="2" t="n"/>
      <x:c r="AE306" s="2" t="n"/>
      <x:c r="AF306" s="2" t="inlineStr">
        <x:is>
          <x:t xml:space="preserve">Imported from SRD 5.2.1 p. 358 Index of Stat Blocks</x:t>
        </x:is>
      </x:c>
      <x:c r="AG306" s="2" t="inlineStr">
        <x:is>
          <x:t xml:space="preserve">https://www.dndbeyond.com/srd</x:t>
        </x:is>
      </x:c>
    </x:row>
    <x:row r="307" ht="18" customHeight="1">
      <x:c r="A307" s="2" t="inlineStr">
        <x:is>
          <x:t xml:space="preserve">Polar Bear</x:t>
        </x:is>
      </x:c>
      <x:c r="B307" s="2" t="inlineStr">
        <x:is>
          <x:t xml:space="preserve">SRD 5.2.1</x:t>
        </x:is>
      </x:c>
      <x:c r="C307" s="2" t="inlineStr">
        <x:is>
          <x:t xml:space="preserve">Beast</x:t>
        </x:is>
      </x:c>
      <x:c r="D307" s="2" t="inlineStr">
        <x:is>
          <x:t xml:space="preserve">Large</x:t>
        </x:is>
      </x:c>
      <x:c r="E307" s="2" t="inlineStr">
        <x:is>
          <x:t xml:space="preserve">Unaligned</x:t>
        </x:is>
      </x:c>
      <x:c r="F307" s="2" t="inlineStr">
        <x:is>
          <x:t xml:space="preserve">2</x:t>
        </x:is>
      </x:c>
      <x:c r="G307" s="2" t="inlineStr">
        <x:is>
          <x:t xml:space="preserve">450</x:t>
        </x:is>
      </x:c>
      <x:c r="H307" s="2" t="inlineStr">
        <x:is>
          <x:t xml:space="preserve">12</x:t>
        </x:is>
      </x:c>
      <x:c r="I307" s="2" t="inlineStr">
        <x:is>
          <x:t xml:space="preserve">42</x:t>
        </x:is>
      </x:c>
      <x:c r="J307" s="2" t="inlineStr">
        <x:is>
          <x:t xml:space="preserve">40 ft., Swim 40 ft.</x:t>
        </x:is>
      </x:c>
      <x:c r="K307" s="2" t="inlineStr">
        <x:is>
          <x:t xml:space="preserve">2</x:t>
        </x:is>
      </x:c>
      <x:c r="L307" s="2" t="inlineStr">
        <x:is>
          <x:t xml:space="preserve">15</x:t>
        </x:is>
      </x:c>
      <x:c r="M307" s="2" t="n"/>
      <x:c r="N307" s="2" t="inlineStr">
        <x:is>
          <x:t xml:space="preserve">7</x:t>
        </x:is>
      </x:c>
      <x:c r="O307" s="2" t="inlineStr">
        <x:is>
          <x:t xml:space="preserve">2</x:t>
        </x:is>
      </x:c>
      <x:c r="P307" s="2" t="inlineStr">
        <x:is>
          <x:t xml:space="preserve">20</x:t>
        </x:is>
      </x:c>
      <x:c r="Q307" s="2" t="inlineStr">
        <x:is>
          <x:t xml:space="preserve">14</x:t>
        </x:is>
      </x:c>
      <x:c r="R307" s="2" t="inlineStr">
        <x:is>
          <x:t xml:space="preserve">16</x:t>
        </x:is>
      </x:c>
      <x:c r="S307" s="2" t="inlineStr">
        <x:is>
          <x:t xml:space="preserve">2</x:t>
        </x:is>
      </x:c>
      <x:c r="T307" s="2" t="inlineStr">
        <x:is>
          <x:t xml:space="preserve">13</x:t>
        </x:is>
      </x:c>
      <x:c r="U307" s="2" t="inlineStr">
        <x:is>
          <x:t xml:space="preserve">7</x:t>
        </x:is>
      </x:c>
      <x:c r="V307" s="2" t="n"/>
      <x:c r="W307" s="2" t="inlineStr">
        <x:is>
          <x:t xml:space="preserve">Perception +5, Stealth +4</x:t>
        </x:is>
      </x:c>
      <x:c r="X307" s="2" t="inlineStr">
        <x:is>
          <x:t xml:space="preserve">Darkvision 60 ft.; Passive Perception 15</x:t>
        </x:is>
      </x:c>
      <x:c r="Y307" s="2" t="inlineStr">
        <x:is>
          <x:t xml:space="preserve">None</x:t>
        </x:is>
      </x:c>
      <x:c r="Z307" s="2" t="n"/>
      <x:c r="AA307" s="2" t="inlineStr">
        <x:is>
          <x:t xml:space="preserve">Multiattack. The bear makes two Rend attacks. Rend. Melee Attack Roll: +7, reach 5 ft. Hit: 9 (1d8 + 5) Slashing damage.</x:t>
        </x:is>
      </x:c>
      <x:c r="AB307" s="2" t="n"/>
      <x:c r="AC307" s="2" t="n"/>
      <x:c r="AD307" s="2" t="n"/>
      <x:c r="AE307" s="2" t="n"/>
      <x:c r="AF307" s="2" t="inlineStr">
        <x:is>
          <x:t xml:space="preserve">Imported from SRD 5.2.1 p. 359 Index of Stat Blocks</x:t>
        </x:is>
      </x:c>
      <x:c r="AG307" s="2" t="inlineStr">
        <x:is>
          <x:t xml:space="preserve">https://www.dndbeyond.com/srd</x:t>
        </x:is>
      </x:c>
    </x:row>
    <x:row r="308" ht="18" customHeight="1">
      <x:c r="A308" s="2" t="inlineStr">
        <x:is>
          <x:t xml:space="preserve">Pony</x:t>
        </x:is>
      </x:c>
      <x:c r="B308" s="2" t="inlineStr">
        <x:is>
          <x:t xml:space="preserve">SRD 5.2.1</x:t>
        </x:is>
      </x:c>
      <x:c r="C308" s="2" t="inlineStr">
        <x:is>
          <x:t xml:space="preserve">Beast</x:t>
        </x:is>
      </x:c>
      <x:c r="D308" s="2" t="inlineStr">
        <x:is>
          <x:t xml:space="preserve">Medium</x:t>
        </x:is>
      </x:c>
      <x:c r="E308" s="2" t="inlineStr">
        <x:is>
          <x:t xml:space="preserve">Unaligned</x:t>
        </x:is>
      </x:c>
      <x:c r="F308" s="2" t="inlineStr">
        <x:is>
          <x:t xml:space="preserve">1/8</x:t>
        </x:is>
      </x:c>
      <x:c r="G308" s="2" t="inlineStr">
        <x:is>
          <x:t xml:space="preserve">25</x:t>
        </x:is>
      </x:c>
      <x:c r="H308" s="2" t="inlineStr">
        <x:is>
          <x:t xml:space="preserve">10</x:t>
        </x:is>
      </x:c>
      <x:c r="I308" s="2" t="inlineStr">
        <x:is>
          <x:t xml:space="preserve">11</x:t>
        </x:is>
      </x:c>
      <x:c r="J308" s="2" t="inlineStr">
        <x:is>
          <x:t xml:space="preserve">40 ft.</x:t>
        </x:is>
      </x:c>
      <x:c r="K308" s="2" t="inlineStr">
        <x:is>
          <x:t xml:space="preserve">2</x:t>
        </x:is>
      </x:c>
      <x:c r="L308" s="2" t="inlineStr">
        <x:is>
          <x:t xml:space="preserve">10</x:t>
        </x:is>
      </x:c>
      <x:c r="M308" s="2" t="n"/>
      <x:c r="N308" s="2" t="inlineStr">
        <x:is>
          <x:t xml:space="preserve">4</x:t>
        </x:is>
      </x:c>
      <x:c r="O308" s="2" t="inlineStr">
        <x:is>
          <x:t xml:space="preserve">0</x:t>
        </x:is>
      </x:c>
      <x:c r="P308" s="2" t="inlineStr">
        <x:is>
          <x:t xml:space="preserve">15</x:t>
        </x:is>
      </x:c>
      <x:c r="Q308" s="2" t="inlineStr">
        <x:is>
          <x:t xml:space="preserve">10</x:t>
        </x:is>
      </x:c>
      <x:c r="R308" s="2" t="inlineStr">
        <x:is>
          <x:t xml:space="preserve">13</x:t>
        </x:is>
      </x:c>
      <x:c r="S308" s="2" t="inlineStr">
        <x:is>
          <x:t xml:space="preserve">2</x:t>
        </x:is>
      </x:c>
      <x:c r="T308" s="2" t="inlineStr">
        <x:is>
          <x:t xml:space="preserve">11</x:t>
        </x:is>
      </x:c>
      <x:c r="U308" s="2" t="inlineStr">
        <x:is>
          <x:t xml:space="preserve">7</x:t>
        </x:is>
      </x:c>
      <x:c r="V308" s="2" t="inlineStr">
        <x:is>
          <x:t xml:space="preserve">STR +4</x:t>
        </x:is>
      </x:c>
      <x:c r="W308" s="2" t="n"/>
      <x:c r="X308" s="2" t="inlineStr">
        <x:is>
          <x:t xml:space="preserve">Passive Perception 10</x:t>
        </x:is>
      </x:c>
      <x:c r="Y308" s="2" t="inlineStr">
        <x:is>
          <x:t xml:space="preserve">None</x:t>
        </x:is>
      </x:c>
      <x:c r="Z308" s="2" t="n"/>
      <x:c r="AA308" s="2" t="inlineStr">
        <x:is>
          <x:t xml:space="preserve">Hooves. Melee Attack Roll: +4, reach 5 ft. Hit: 4 (1d4 + 2) Bludgeoning damage.</x:t>
        </x:is>
      </x:c>
      <x:c r="AB308" s="2" t="n"/>
      <x:c r="AC308" s="2" t="n"/>
      <x:c r="AD308" s="2" t="n"/>
      <x:c r="AE308" s="2" t="n"/>
      <x:c r="AF308" s="2" t="inlineStr">
        <x:is>
          <x:t xml:space="preserve">Imported from SRD 5.2.1 p. 359 Index of Stat Blocks</x:t>
        </x:is>
      </x:c>
      <x:c r="AG308" s="2" t="inlineStr">
        <x:is>
          <x:t xml:space="preserve">https://www.dndbeyond.com/srd</x:t>
        </x:is>
      </x:c>
    </x:row>
    <x:row r="309" ht="18" customHeight="1">
      <x:c r="A309" s="2" t="inlineStr">
        <x:is>
          <x:t xml:space="preserve">Pteranodon</x:t>
        </x:is>
      </x:c>
      <x:c r="B309" s="2" t="inlineStr">
        <x:is>
          <x:t xml:space="preserve">SRD 5.2.1</x:t>
        </x:is>
      </x:c>
      <x:c r="C309" s="2" t="inlineStr">
        <x:is>
          <x:t xml:space="preserve">Beast (Dinosaur)</x:t>
        </x:is>
      </x:c>
      <x:c r="D309" s="2" t="inlineStr">
        <x:is>
          <x:t xml:space="preserve">Medium</x:t>
        </x:is>
      </x:c>
      <x:c r="E309" s="2" t="inlineStr">
        <x:is>
          <x:t xml:space="preserve">Unaligned</x:t>
        </x:is>
      </x:c>
      <x:c r="F309" s="2" t="inlineStr">
        <x:is>
          <x:t xml:space="preserve">1/4</x:t>
        </x:is>
      </x:c>
      <x:c r="G309" s="2" t="inlineStr">
        <x:is>
          <x:t xml:space="preserve">50</x:t>
        </x:is>
      </x:c>
      <x:c r="H309" s="2" t="inlineStr">
        <x:is>
          <x:t xml:space="preserve">13</x:t>
        </x:is>
      </x:c>
      <x:c r="I309" s="2" t="inlineStr">
        <x:is>
          <x:t xml:space="preserve">13</x:t>
        </x:is>
      </x:c>
      <x:c r="J309" s="2" t="inlineStr">
        <x:is>
          <x:t xml:space="preserve">10 ft., Fly 60 ft.</x:t>
        </x:is>
      </x:c>
      <x:c r="K309" s="2" t="inlineStr">
        <x:is>
          <x:t xml:space="preserve">2</x:t>
        </x:is>
      </x:c>
      <x:c r="L309" s="2" t="inlineStr">
        <x:is>
          <x:t xml:space="preserve">11</x:t>
        </x:is>
      </x:c>
      <x:c r="M309" s="2" t="n"/>
      <x:c r="N309" s="2" t="inlineStr">
        <x:is>
          <x:t xml:space="preserve">4</x:t>
        </x:is>
      </x:c>
      <x:c r="O309" s="2" t="inlineStr">
        <x:is>
          <x:t xml:space="preserve">2</x:t>
        </x:is>
      </x:c>
      <x:c r="P309" s="2" t="inlineStr">
        <x:is>
          <x:t xml:space="preserve">12</x:t>
        </x:is>
      </x:c>
      <x:c r="Q309" s="2" t="inlineStr">
        <x:is>
          <x:t xml:space="preserve">15</x:t>
        </x:is>
      </x:c>
      <x:c r="R309" s="2" t="inlineStr">
        <x:is>
          <x:t xml:space="preserve">10</x:t>
        </x:is>
      </x:c>
      <x:c r="S309" s="2" t="inlineStr">
        <x:is>
          <x:t xml:space="preserve">2</x:t>
        </x:is>
      </x:c>
      <x:c r="T309" s="2" t="inlineStr">
        <x:is>
          <x:t xml:space="preserve">9</x:t>
        </x:is>
      </x:c>
      <x:c r="U309" s="2" t="inlineStr">
        <x:is>
          <x:t xml:space="preserve">5</x:t>
        </x:is>
      </x:c>
      <x:c r="V309" s="2" t="n"/>
      <x:c r="W309" s="2" t="inlineStr">
        <x:is>
          <x:t xml:space="preserve">Perception +1</x:t>
        </x:is>
      </x:c>
      <x:c r="X309" s="2" t="inlineStr">
        <x:is>
          <x:t xml:space="preserve">Passive Perception 11</x:t>
        </x:is>
      </x:c>
      <x:c r="Y309" s="2" t="inlineStr">
        <x:is>
          <x:t xml:space="preserve">None</x:t>
        </x:is>
      </x:c>
      <x:c r="Z309" s="2" t="inlineStr">
        <x:is>
          <x:t xml:space="preserve">Flyby. The pteranodon doesn’t provoke an Opportunity Attack when it flies out of an enemy’s reach.</x:t>
        </x:is>
      </x:c>
      <x:c r="AA309" s="2" t="inlineStr">
        <x:is>
          <x:t xml:space="preserve">Bite. Melee Attack Roll: +4, reach 5 ft. Hit: 6 (1d8 + 2) Piercing damage.</x:t>
        </x:is>
      </x:c>
      <x:c r="AB309" s="2" t="n"/>
      <x:c r="AC309" s="2" t="n"/>
      <x:c r="AD309" s="2" t="n"/>
      <x:c r="AE309" s="2" t="n"/>
      <x:c r="AF309" s="2" t="inlineStr">
        <x:is>
          <x:t xml:space="preserve">Imported from SRD 5.2.1 p. 359 Index of Stat Blocks</x:t>
        </x:is>
      </x:c>
      <x:c r="AG309" s="2" t="inlineStr">
        <x:is>
          <x:t xml:space="preserve">https://www.dndbeyond.com/srd</x:t>
        </x:is>
      </x:c>
    </x:row>
    <x:row r="310" ht="18" customHeight="1">
      <x:c r="A310" s="2" t="inlineStr">
        <x:is>
          <x:t xml:space="preserve">Rat</x:t>
        </x:is>
      </x:c>
      <x:c r="B310" s="2" t="inlineStr">
        <x:is>
          <x:t xml:space="preserve">SRD 5.2.1</x:t>
        </x:is>
      </x:c>
      <x:c r="C310" s="2" t="inlineStr">
        <x:is>
          <x:t xml:space="preserve">Beast</x:t>
        </x:is>
      </x:c>
      <x:c r="D310" s="2" t="inlineStr">
        <x:is>
          <x:t xml:space="preserve">Tiny</x:t>
        </x:is>
      </x:c>
      <x:c r="E310" s="2" t="inlineStr">
        <x:is>
          <x:t xml:space="preserve">Unaligned</x:t>
        </x:is>
      </x:c>
      <x:c r="F310" s="2" t="inlineStr">
        <x:is>
          <x:t xml:space="preserve">0</x:t>
        </x:is>
      </x:c>
      <x:c r="G310" s="2" t="inlineStr">
        <x:is>
          <x:t xml:space="preserve">10</x:t>
        </x:is>
      </x:c>
      <x:c r="H310" s="2" t="inlineStr">
        <x:is>
          <x:t xml:space="preserve">10</x:t>
        </x:is>
      </x:c>
      <x:c r="I310" s="2" t="inlineStr">
        <x:is>
          <x:t xml:space="preserve">1</x:t>
        </x:is>
      </x:c>
      <x:c r="J310" s="2" t="inlineStr">
        <x:is>
          <x:t xml:space="preserve">20 ft., Climb 20 ft.</x:t>
        </x:is>
      </x:c>
      <x:c r="K310" s="2" t="inlineStr">
        <x:is>
          <x:t xml:space="preserve">2</x:t>
        </x:is>
      </x:c>
      <x:c r="L310" s="2" t="inlineStr">
        <x:is>
          <x:t xml:space="preserve">12</x:t>
        </x:is>
      </x:c>
      <x:c r="M310" s="2" t="n"/>
      <x:c r="N310" s="2" t="inlineStr">
        <x:is>
          <x:t xml:space="preserve">2</x:t>
        </x:is>
      </x:c>
      <x:c r="O310" s="2" t="inlineStr">
        <x:is>
          <x:t xml:space="preserve">0</x:t>
        </x:is>
      </x:c>
      <x:c r="P310" s="2" t="inlineStr">
        <x:is>
          <x:t xml:space="preserve">2</x:t>
        </x:is>
      </x:c>
      <x:c r="Q310" s="2" t="inlineStr">
        <x:is>
          <x:t xml:space="preserve">11</x:t>
        </x:is>
      </x:c>
      <x:c r="R310" s="2" t="inlineStr">
        <x:is>
          <x:t xml:space="preserve">9</x:t>
        </x:is>
      </x:c>
      <x:c r="S310" s="2" t="inlineStr">
        <x:is>
          <x:t xml:space="preserve">2</x:t>
        </x:is>
      </x:c>
      <x:c r="T310" s="2" t="inlineStr">
        <x:is>
          <x:t xml:space="preserve">10</x:t>
        </x:is>
      </x:c>
      <x:c r="U310" s="2" t="inlineStr">
        <x:is>
          <x:t xml:space="preserve">4</x:t>
        </x:is>
      </x:c>
      <x:c r="V310" s="2" t="n"/>
      <x:c r="W310" s="2" t="inlineStr">
        <x:is>
          <x:t xml:space="preserve">Perception +2</x:t>
        </x:is>
      </x:c>
      <x:c r="X310" s="2" t="inlineStr">
        <x:is>
          <x:t xml:space="preserve">Darkvision 30 ft.; Passive Perception 12</x:t>
        </x:is>
      </x:c>
      <x:c r="Y310" s="2" t="inlineStr">
        <x:is>
          <x:t xml:space="preserve">None</x:t>
        </x:is>
      </x:c>
      <x:c r="Z310" s="2" t="inlineStr">
        <x:is>
          <x:t xml:space="preserve">Agile. The rat doesn’t provoke an Opportunity Attack when it moves out of an enemy’s reach.</x:t>
        </x:is>
      </x:c>
      <x:c r="AA310" s="2" t="inlineStr">
        <x:is>
          <x:t xml:space="preserve">Bite. Melee Attack Roll: +2, reach 5 ft. Hit: 1 Piercing damage.</x:t>
        </x:is>
      </x:c>
      <x:c r="AB310" s="2" t="n"/>
      <x:c r="AC310" s="2" t="n"/>
      <x:c r="AD310" s="2" t="n"/>
      <x:c r="AE310" s="2" t="n"/>
      <x:c r="AF310" s="2" t="inlineStr">
        <x:is>
          <x:t xml:space="preserve">Imported from SRD 5.2.1 p. 359 Index of Stat Blocks</x:t>
        </x:is>
      </x:c>
      <x:c r="AG310" s="2" t="inlineStr">
        <x:is>
          <x:t xml:space="preserve">https://www.dndbeyond.com/srd</x:t>
        </x:is>
      </x:c>
    </x:row>
    <x:row r="311" ht="18" customHeight="1">
      <x:c r="A311" s="2" t="inlineStr">
        <x:is>
          <x:t xml:space="preserve">Raven</x:t>
        </x:is>
      </x:c>
      <x:c r="B311" s="2" t="inlineStr">
        <x:is>
          <x:t xml:space="preserve">SRD 5.2.1</x:t>
        </x:is>
      </x:c>
      <x:c r="C311" s="2" t="inlineStr">
        <x:is>
          <x:t xml:space="preserve">Beast</x:t>
        </x:is>
      </x:c>
      <x:c r="D311" s="2" t="inlineStr">
        <x:is>
          <x:t xml:space="preserve">Tiny</x:t>
        </x:is>
      </x:c>
      <x:c r="E311" s="2" t="inlineStr">
        <x:is>
          <x:t xml:space="preserve">Unaligned</x:t>
        </x:is>
      </x:c>
      <x:c r="F311" s="2" t="inlineStr">
        <x:is>
          <x:t xml:space="preserve">0</x:t>
        </x:is>
      </x:c>
      <x:c r="G311" s="2" t="inlineStr">
        <x:is>
          <x:t xml:space="preserve">10</x:t>
        </x:is>
      </x:c>
      <x:c r="H311" s="2" t="inlineStr">
        <x:is>
          <x:t xml:space="preserve">12</x:t>
        </x:is>
      </x:c>
      <x:c r="I311" s="2" t="inlineStr">
        <x:is>
          <x:t xml:space="preserve">2</x:t>
        </x:is>
      </x:c>
      <x:c r="J311" s="2" t="inlineStr">
        <x:is>
          <x:t xml:space="preserve">10 ft., Fly 50 ft.</x:t>
        </x:is>
      </x:c>
      <x:c r="K311" s="2" t="inlineStr">
        <x:is>
          <x:t xml:space="preserve">2</x:t>
        </x:is>
      </x:c>
      <x:c r="L311" s="2" t="inlineStr">
        <x:is>
          <x:t xml:space="preserve">13</x:t>
        </x:is>
      </x:c>
      <x:c r="M311" s="2" t="n"/>
      <x:c r="N311" s="2" t="inlineStr">
        <x:is>
          <x:t xml:space="preserve">4</x:t>
        </x:is>
      </x:c>
      <x:c r="O311" s="2" t="inlineStr">
        <x:is>
          <x:t xml:space="preserve">2</x:t>
        </x:is>
      </x:c>
      <x:c r="P311" s="2" t="inlineStr">
        <x:is>
          <x:t xml:space="preserve">2</x:t>
        </x:is>
      </x:c>
      <x:c r="Q311" s="2" t="inlineStr">
        <x:is>
          <x:t xml:space="preserve">14</x:t>
        </x:is>
      </x:c>
      <x:c r="R311" s="2" t="inlineStr">
        <x:is>
          <x:t xml:space="preserve">10</x:t>
        </x:is>
      </x:c>
      <x:c r="S311" s="2" t="inlineStr">
        <x:is>
          <x:t xml:space="preserve">5</x:t>
        </x:is>
      </x:c>
      <x:c r="T311" s="2" t="inlineStr">
        <x:is>
          <x:t xml:space="preserve">13</x:t>
        </x:is>
      </x:c>
      <x:c r="U311" s="2" t="inlineStr">
        <x:is>
          <x:t xml:space="preserve">6</x:t>
        </x:is>
      </x:c>
      <x:c r="V311" s="2" t="n"/>
      <x:c r="W311" s="2" t="inlineStr">
        <x:is>
          <x:t xml:space="preserve">Perception +3</x:t>
        </x:is>
      </x:c>
      <x:c r="X311" s="2" t="inlineStr">
        <x:is>
          <x:t xml:space="preserve">Passive Perception 13</x:t>
        </x:is>
      </x:c>
      <x:c r="Y311" s="2" t="inlineStr">
        <x:is>
          <x:t xml:space="preserve">None</x:t>
        </x:is>
      </x:c>
      <x:c r="Z311" s="2" t="inlineStr">
        <x:is>
          <x:t xml:space="preserve">Mimicry. The raven can mimic simple sounds it has heard, such as a whisper or chitter. A hearer can dis- cern the sounds are imitations with a successful DC 10 Wisdom (Insight) check.</x:t>
        </x:is>
      </x:c>
      <x:c r="AA311" s="2" t="inlineStr">
        <x:is>
          <x:t xml:space="preserve">Beak. Melee Attack Roll: +4, reach 5 ft. Hit: 1 Piercing damage.</x:t>
        </x:is>
      </x:c>
      <x:c r="AB311" s="2" t="n"/>
      <x:c r="AC311" s="2" t="n"/>
      <x:c r="AD311" s="2" t="n"/>
      <x:c r="AE311" s="2" t="n"/>
      <x:c r="AF311" s="2" t="inlineStr">
        <x:is>
          <x:t xml:space="preserve">Imported from SRD 5.2.1 p. 359 Index of Stat Blocks</x:t>
        </x:is>
      </x:c>
      <x:c r="AG311" s="2" t="inlineStr">
        <x:is>
          <x:t xml:space="preserve">https://www.dndbeyond.com/srd</x:t>
        </x:is>
      </x:c>
    </x:row>
    <x:row r="312" ht="18" customHeight="1">
      <x:c r="A312" s="2" t="inlineStr">
        <x:is>
          <x:t xml:space="preserve">Reef Shark</x:t>
        </x:is>
      </x:c>
      <x:c r="B312" s="2" t="inlineStr">
        <x:is>
          <x:t xml:space="preserve">SRD 5.2.1</x:t>
        </x:is>
      </x:c>
      <x:c r="C312" s="2" t="inlineStr">
        <x:is>
          <x:t xml:space="preserve">Beast</x:t>
        </x:is>
      </x:c>
      <x:c r="D312" s="2" t="inlineStr">
        <x:is>
          <x:t xml:space="preserve">Medium</x:t>
        </x:is>
      </x:c>
      <x:c r="E312" s="2" t="inlineStr">
        <x:is>
          <x:t xml:space="preserve">Unaligned</x:t>
        </x:is>
      </x:c>
      <x:c r="F312" s="2" t="inlineStr">
        <x:is>
          <x:t xml:space="preserve">1/2</x:t>
        </x:is>
      </x:c>
      <x:c r="G312" s="2" t="inlineStr">
        <x:is>
          <x:t xml:space="preserve">100</x:t>
        </x:is>
      </x:c>
      <x:c r="H312" s="2" t="inlineStr">
        <x:is>
          <x:t xml:space="preserve">12</x:t>
        </x:is>
      </x:c>
      <x:c r="I312" s="2" t="inlineStr">
        <x:is>
          <x:t xml:space="preserve">22</x:t>
        </x:is>
      </x:c>
      <x:c r="J312" s="2" t="inlineStr">
        <x:is>
          <x:t xml:space="preserve">5 ft., Swim 30 ft.</x:t>
        </x:is>
      </x:c>
      <x:c r="K312" s="2" t="inlineStr">
        <x:is>
          <x:t xml:space="preserve">2</x:t>
        </x:is>
      </x:c>
      <x:c r="L312" s="2" t="inlineStr">
        <x:is>
          <x:t xml:space="preserve">12</x:t>
        </x:is>
      </x:c>
      <x:c r="M312" s="2" t="n"/>
      <x:c r="N312" s="2" t="inlineStr">
        <x:is>
          <x:t xml:space="preserve">4</x:t>
        </x:is>
      </x:c>
      <x:c r="O312" s="2" t="inlineStr">
        <x:is>
          <x:t xml:space="preserve">2</x:t>
        </x:is>
      </x:c>
      <x:c r="P312" s="2" t="inlineStr">
        <x:is>
          <x:t xml:space="preserve">14</x:t>
        </x:is>
      </x:c>
      <x:c r="Q312" s="2" t="inlineStr">
        <x:is>
          <x:t xml:space="preserve">15</x:t>
        </x:is>
      </x:c>
      <x:c r="R312" s="2" t="inlineStr">
        <x:is>
          <x:t xml:space="preserve">13</x:t>
        </x:is>
      </x:c>
      <x:c r="S312" s="2" t="inlineStr">
        <x:is>
          <x:t xml:space="preserve">1</x:t>
        </x:is>
      </x:c>
      <x:c r="T312" s="2" t="inlineStr">
        <x:is>
          <x:t xml:space="preserve">10</x:t>
        </x:is>
      </x:c>
      <x:c r="U312" s="2" t="inlineStr">
        <x:is>
          <x:t xml:space="preserve">4</x:t>
        </x:is>
      </x:c>
      <x:c r="V312" s="2" t="n"/>
      <x:c r="W312" s="2" t="inlineStr">
        <x:is>
          <x:t xml:space="preserve">Perception +2</x:t>
        </x:is>
      </x:c>
      <x:c r="X312" s="2" t="inlineStr">
        <x:is>
          <x:t xml:space="preserve">Blindsight 30 ft.; Passive Perception 12</x:t>
        </x:is>
      </x:c>
      <x:c r="Y312" s="2" t="inlineStr">
        <x:is>
          <x:t xml:space="preserve">None</x:t>
        </x:is>
      </x:c>
      <x:c r="Z312" s="2" t="inlineStr">
        <x:is>
          <x:t xml:space="preserve">Pack Tactics. The shark has Advantage on an attack roll against a creature if at least one of the shark’s allies is within 5 feet of the creature and the ally doesn’t have the Incapacitated condition. Water Breathing. The shark can breathe only underwater.</x:t>
        </x:is>
      </x:c>
      <x:c r="AA312" s="2" t="inlineStr">
        <x:is>
          <x:t xml:space="preserve">Bite. Melee Attack Roll: +4, reach 5 ft. Hit: 7 (2d4 + 2) Piercing damage.</x:t>
        </x:is>
      </x:c>
      <x:c r="AB312" s="2" t="n"/>
      <x:c r="AC312" s="2" t="n"/>
      <x:c r="AD312" s="2" t="n"/>
      <x:c r="AE312" s="2" t="n"/>
      <x:c r="AF312" s="2" t="inlineStr">
        <x:is>
          <x:t xml:space="preserve">Imported from SRD 5.2.1 p. 360 Index of Stat Blocks</x:t>
        </x:is>
      </x:c>
      <x:c r="AG312" s="2" t="inlineStr">
        <x:is>
          <x:t xml:space="preserve">https://www.dndbeyond.com/srd</x:t>
        </x:is>
      </x:c>
    </x:row>
    <x:row r="313" ht="18" customHeight="1">
      <x:c r="A313" s="2" t="inlineStr">
        <x:is>
          <x:t xml:space="preserve">Rhinoceros</x:t>
        </x:is>
      </x:c>
      <x:c r="B313" s="2" t="inlineStr">
        <x:is>
          <x:t xml:space="preserve">SRD 5.2.1</x:t>
        </x:is>
      </x:c>
      <x:c r="C313" s="2" t="inlineStr">
        <x:is>
          <x:t xml:space="preserve">Beast</x:t>
        </x:is>
      </x:c>
      <x:c r="D313" s="2" t="inlineStr">
        <x:is>
          <x:t xml:space="preserve">Large</x:t>
        </x:is>
      </x:c>
      <x:c r="E313" s="2" t="inlineStr">
        <x:is>
          <x:t xml:space="preserve">Unaligned</x:t>
        </x:is>
      </x:c>
      <x:c r="F313" s="2" t="inlineStr">
        <x:is>
          <x:t xml:space="preserve">2</x:t>
        </x:is>
      </x:c>
      <x:c r="G313" s="2" t="inlineStr">
        <x:is>
          <x:t xml:space="preserve">450</x:t>
        </x:is>
      </x:c>
      <x:c r="H313" s="2" t="inlineStr">
        <x:is>
          <x:t xml:space="preserve">13</x:t>
        </x:is>
      </x:c>
      <x:c r="I313" s="2" t="inlineStr">
        <x:is>
          <x:t xml:space="preserve">45</x:t>
        </x:is>
      </x:c>
      <x:c r="J313" s="2" t="inlineStr">
        <x:is>
          <x:t xml:space="preserve">40 ft.</x:t>
        </x:is>
      </x:c>
      <x:c r="K313" s="2" t="inlineStr">
        <x:is>
          <x:t xml:space="preserve">2</x:t>
        </x:is>
      </x:c>
      <x:c r="L313" s="2" t="inlineStr">
        <x:is>
          <x:t xml:space="preserve">11</x:t>
        </x:is>
      </x:c>
      <x:c r="M313" s="2" t="n"/>
      <x:c r="N313" s="2" t="inlineStr">
        <x:is>
          <x:t xml:space="preserve">7</x:t>
        </x:is>
      </x:c>
      <x:c r="O313" s="2" t="inlineStr">
        <x:is>
          <x:t xml:space="preserve">-1</x:t>
        </x:is>
      </x:c>
      <x:c r="P313" s="2" t="inlineStr">
        <x:is>
          <x:t xml:space="preserve">21</x:t>
        </x:is>
      </x:c>
      <x:c r="Q313" s="2" t="inlineStr">
        <x:is>
          <x:t xml:space="preserve">8</x:t>
        </x:is>
      </x:c>
      <x:c r="R313" s="2" t="inlineStr">
        <x:is>
          <x:t xml:space="preserve">15</x:t>
        </x:is>
      </x:c>
      <x:c r="S313" s="2" t="inlineStr">
        <x:is>
          <x:t xml:space="preserve">2</x:t>
        </x:is>
      </x:c>
      <x:c r="T313" s="2" t="inlineStr">
        <x:is>
          <x:t xml:space="preserve">12</x:t>
        </x:is>
      </x:c>
      <x:c r="U313" s="2" t="inlineStr">
        <x:is>
          <x:t xml:space="preserve">6</x:t>
        </x:is>
      </x:c>
      <x:c r="V313" s="2" t="n"/>
      <x:c r="W313" s="2" t="n"/>
      <x:c r="X313" s="2" t="inlineStr">
        <x:is>
          <x:t xml:space="preserve">Passive Perception 11</x:t>
        </x:is>
      </x:c>
      <x:c r="Y313" s="2" t="inlineStr">
        <x:is>
          <x:t xml:space="preserve">None</x:t>
        </x:is>
      </x:c>
      <x:c r="Z313" s="2" t="n"/>
      <x:c r="AA313" s="2" t="inlineStr">
        <x:is>
          <x:t xml:space="preserve">Gore. Melee Attack Roll: +7, reach 5 ft. Hit: 14 (2d8 + 5) Piercing damage. If target is a Large or smaller crea- ture and the rhinoceros moved 20+ feet straight toward it immediately before the hit, the target takes an extra 9 (2d8) Piercing damage and has the Prone condition.</x:t>
        </x:is>
      </x:c>
      <x:c r="AB313" s="2" t="n"/>
      <x:c r="AC313" s="2" t="n"/>
      <x:c r="AD313" s="2" t="n"/>
      <x:c r="AE313" s="2" t="n"/>
      <x:c r="AF313" s="2" t="inlineStr">
        <x:is>
          <x:t xml:space="preserve">Imported from SRD 5.2.1 p. 360 Index of Stat Blocks</x:t>
        </x:is>
      </x:c>
      <x:c r="AG313" s="2" t="inlineStr">
        <x:is>
          <x:t xml:space="preserve">https://www.dndbeyond.com/srd</x:t>
        </x:is>
      </x:c>
    </x:row>
    <x:row r="314" ht="18" customHeight="1">
      <x:c r="A314" s="2" t="inlineStr">
        <x:is>
          <x:t xml:space="preserve">Riding Horse</x:t>
        </x:is>
      </x:c>
      <x:c r="B314" s="2" t="inlineStr">
        <x:is>
          <x:t xml:space="preserve">SRD 5.2.1</x:t>
        </x:is>
      </x:c>
      <x:c r="C314" s="2" t="inlineStr">
        <x:is>
          <x:t xml:space="preserve">Beast</x:t>
        </x:is>
      </x:c>
      <x:c r="D314" s="2" t="inlineStr">
        <x:is>
          <x:t xml:space="preserve">Large</x:t>
        </x:is>
      </x:c>
      <x:c r="E314" s="2" t="inlineStr">
        <x:is>
          <x:t xml:space="preserve">Unaligned</x:t>
        </x:is>
      </x:c>
      <x:c r="F314" s="2" t="inlineStr">
        <x:is>
          <x:t xml:space="preserve">1/4</x:t>
        </x:is>
      </x:c>
      <x:c r="G314" s="2" t="inlineStr">
        <x:is>
          <x:t xml:space="preserve">50</x:t>
        </x:is>
      </x:c>
      <x:c r="H314" s="2" t="inlineStr">
        <x:is>
          <x:t xml:space="preserve">11</x:t>
        </x:is>
      </x:c>
      <x:c r="I314" s="2" t="inlineStr">
        <x:is>
          <x:t xml:space="preserve">13</x:t>
        </x:is>
      </x:c>
      <x:c r="J314" s="2" t="inlineStr">
        <x:is>
          <x:t xml:space="preserve">60 ft.</x:t>
        </x:is>
      </x:c>
      <x:c r="K314" s="2" t="inlineStr">
        <x:is>
          <x:t xml:space="preserve">2</x:t>
        </x:is>
      </x:c>
      <x:c r="L314" s="2" t="inlineStr">
        <x:is>
          <x:t xml:space="preserve">10</x:t>
        </x:is>
      </x:c>
      <x:c r="M314" s="2" t="n"/>
      <x:c r="N314" s="2" t="inlineStr">
        <x:is>
          <x:t xml:space="preserve">5</x:t>
        </x:is>
      </x:c>
      <x:c r="O314" s="2" t="inlineStr">
        <x:is>
          <x:t xml:space="preserve">1</x:t>
        </x:is>
      </x:c>
      <x:c r="P314" s="2" t="inlineStr">
        <x:is>
          <x:t xml:space="preserve">16</x:t>
        </x:is>
      </x:c>
      <x:c r="Q314" s="2" t="inlineStr">
        <x:is>
          <x:t xml:space="preserve">13</x:t>
        </x:is>
      </x:c>
      <x:c r="R314" s="2" t="inlineStr">
        <x:is>
          <x:t xml:space="preserve">12</x:t>
        </x:is>
      </x:c>
      <x:c r="S314" s="2" t="inlineStr">
        <x:is>
          <x:t xml:space="preserve">2</x:t>
        </x:is>
      </x:c>
      <x:c r="T314" s="2" t="inlineStr">
        <x:is>
          <x:t xml:space="preserve">11</x:t>
        </x:is>
      </x:c>
      <x:c r="U314" s="2" t="inlineStr">
        <x:is>
          <x:t xml:space="preserve">7</x:t>
        </x:is>
      </x:c>
      <x:c r="V314" s="2" t="n"/>
      <x:c r="W314" s="2" t="n"/>
      <x:c r="X314" s="2" t="inlineStr">
        <x:is>
          <x:t xml:space="preserve">Passive Perception 10</x:t>
        </x:is>
      </x:c>
      <x:c r="Y314" s="2" t="inlineStr">
        <x:is>
          <x:t xml:space="preserve">None</x:t>
        </x:is>
      </x:c>
      <x:c r="Z314" s="2" t="n"/>
      <x:c r="AA314" s="2" t="inlineStr">
        <x:is>
          <x:t xml:space="preserve">Hooves. Melee Attack Roll: +5, reach 5 ft. Hit: 7 (1d8 + 3) Bludgeoning damage.</x:t>
        </x:is>
      </x:c>
      <x:c r="AB314" s="2" t="n"/>
      <x:c r="AC314" s="2" t="n"/>
      <x:c r="AD314" s="2" t="n"/>
      <x:c r="AE314" s="2" t="n"/>
      <x:c r="AF314" s="2" t="inlineStr">
        <x:is>
          <x:t xml:space="preserve">Imported from SRD 5.2.1 p. 360 Index of Stat Blocks</x:t>
        </x:is>
      </x:c>
      <x:c r="AG314" s="2" t="inlineStr">
        <x:is>
          <x:t xml:space="preserve">https://www.dndbeyond.com/srd</x:t>
        </x:is>
      </x:c>
    </x:row>
    <x:row r="315" ht="18" customHeight="1">
      <x:c r="A315" s="2" t="inlineStr">
        <x:is>
          <x:t xml:space="preserve">Saber-Toothed Tiger</x:t>
        </x:is>
      </x:c>
      <x:c r="B315" s="2" t="inlineStr">
        <x:is>
          <x:t xml:space="preserve">SRD 5.2.1</x:t>
        </x:is>
      </x:c>
      <x:c r="C315" s="2" t="inlineStr">
        <x:is>
          <x:t xml:space="preserve">Beast</x:t>
        </x:is>
      </x:c>
      <x:c r="D315" s="2" t="inlineStr">
        <x:is>
          <x:t xml:space="preserve">Large</x:t>
        </x:is>
      </x:c>
      <x:c r="E315" s="2" t="inlineStr">
        <x:is>
          <x:t xml:space="preserve">Unaligned</x:t>
        </x:is>
      </x:c>
      <x:c r="F315" s="2" t="inlineStr">
        <x:is>
          <x:t xml:space="preserve">2</x:t>
        </x:is>
      </x:c>
      <x:c r="G315" s="2" t="inlineStr">
        <x:is>
          <x:t xml:space="preserve">450</x:t>
        </x:is>
      </x:c>
      <x:c r="H315" s="2" t="inlineStr">
        <x:is>
          <x:t xml:space="preserve">13</x:t>
        </x:is>
      </x:c>
      <x:c r="I315" s="2" t="inlineStr">
        <x:is>
          <x:t xml:space="preserve">52</x:t>
        </x:is>
      </x:c>
      <x:c r="J315" s="2" t="inlineStr">
        <x:is>
          <x:t xml:space="preserve">40 ft.</x:t>
        </x:is>
      </x:c>
      <x:c r="K315" s="2" t="inlineStr">
        <x:is>
          <x:t xml:space="preserve">2</x:t>
        </x:is>
      </x:c>
      <x:c r="L315" s="2" t="inlineStr">
        <x:is>
          <x:t xml:space="preserve">15</x:t>
        </x:is>
      </x:c>
      <x:c r="M315" s="2" t="n"/>
      <x:c r="N315" s="2" t="inlineStr">
        <x:is>
          <x:t xml:space="preserve">6</x:t>
        </x:is>
      </x:c>
      <x:c r="O315" s="2" t="inlineStr">
        <x:is>
          <x:t xml:space="preserve">3</x:t>
        </x:is>
      </x:c>
      <x:c r="P315" s="2" t="inlineStr">
        <x:is>
          <x:t xml:space="preserve">18</x:t>
        </x:is>
      </x:c>
      <x:c r="Q315" s="2" t="inlineStr">
        <x:is>
          <x:t xml:space="preserve">17</x:t>
        </x:is>
      </x:c>
      <x:c r="R315" s="2" t="inlineStr">
        <x:is>
          <x:t xml:space="preserve">15</x:t>
        </x:is>
      </x:c>
      <x:c r="S315" s="2" t="inlineStr">
        <x:is>
          <x:t xml:space="preserve">3</x:t>
        </x:is>
      </x:c>
      <x:c r="T315" s="2" t="inlineStr">
        <x:is>
          <x:t xml:space="preserve">12</x:t>
        </x:is>
      </x:c>
      <x:c r="U315" s="2" t="inlineStr">
        <x:is>
          <x:t xml:space="preserve">8</x:t>
        </x:is>
      </x:c>
      <x:c r="V315" s="2" t="inlineStr">
        <x:is>
          <x:t xml:space="preserve">STR +6, DEX +5</x:t>
        </x:is>
      </x:c>
      <x:c r="W315" s="2" t="inlineStr">
        <x:is>
          <x:t xml:space="preserve">Perception +5, Stealth +7</x:t>
        </x:is>
      </x:c>
      <x:c r="X315" s="2" t="inlineStr">
        <x:is>
          <x:t xml:space="preserve">Darkvision 60 ft.; Passive Perception 15</x:t>
        </x:is>
      </x:c>
      <x:c r="Y315" s="2" t="inlineStr">
        <x:is>
          <x:t xml:space="preserve">None</x:t>
        </x:is>
      </x:c>
      <x:c r="Z315" s="2" t="inlineStr">
        <x:is>
          <x:t xml:space="preserve">Running Leap. With a 10-foot running start, the tiger can Long Jump up to 25 feet.</x:t>
        </x:is>
      </x:c>
      <x:c r="AA315" s="2" t="inlineStr">
        <x:is>
          <x:t xml:space="preserve">Multiattack. The tiger makes two Rend attacks. Rend. Melee Attack Roll: +6, reach 5 ft. Hit: 11 (2d6 + 4) Slashing damage.</x:t>
        </x:is>
      </x:c>
      <x:c r="AB315" s="2" t="inlineStr">
        <x:is>
          <x:t xml:space="preserve">Nimble Escape. The tiger takes the Disengage or Hide action.</x:t>
        </x:is>
      </x:c>
      <x:c r="AC315" s="2" t="n"/>
      <x:c r="AD315" s="2" t="n"/>
      <x:c r="AE315" s="2" t="n"/>
      <x:c r="AF315" s="2" t="inlineStr">
        <x:is>
          <x:t xml:space="preserve">Imported from SRD 5.2.1 p. 360 Index of Stat Blocks</x:t>
        </x:is>
      </x:c>
      <x:c r="AG315" s="2" t="inlineStr">
        <x:is>
          <x:t xml:space="preserve">https://www.dndbeyond.com/srd</x:t>
        </x:is>
      </x:c>
    </x:row>
    <x:row r="316" ht="18" customHeight="1">
      <x:c r="A316" s="2" t="inlineStr">
        <x:is>
          <x:t xml:space="preserve">Scorpion</x:t>
        </x:is>
      </x:c>
      <x:c r="B316" s="2" t="inlineStr">
        <x:is>
          <x:t xml:space="preserve">SRD 5.2.1</x:t>
        </x:is>
      </x:c>
      <x:c r="C316" s="2" t="inlineStr">
        <x:is>
          <x:t xml:space="preserve">Beast</x:t>
        </x:is>
      </x:c>
      <x:c r="D316" s="2" t="inlineStr">
        <x:is>
          <x:t xml:space="preserve">Tiny</x:t>
        </x:is>
      </x:c>
      <x:c r="E316" s="2" t="inlineStr">
        <x:is>
          <x:t xml:space="preserve">Unaligned</x:t>
        </x:is>
      </x:c>
      <x:c r="F316" s="2" t="inlineStr">
        <x:is>
          <x:t xml:space="preserve">0</x:t>
        </x:is>
      </x:c>
      <x:c r="G316" s="2" t="inlineStr">
        <x:is>
          <x:t xml:space="preserve">10</x:t>
        </x:is>
      </x:c>
      <x:c r="H316" s="2" t="inlineStr">
        <x:is>
          <x:t xml:space="preserve">11</x:t>
        </x:is>
      </x:c>
      <x:c r="I316" s="2" t="inlineStr">
        <x:is>
          <x:t xml:space="preserve">1</x:t>
        </x:is>
      </x:c>
      <x:c r="J316" s="2" t="inlineStr">
        <x:is>
          <x:t xml:space="preserve">10 ft.</x:t>
        </x:is>
      </x:c>
      <x:c r="K316" s="2" t="inlineStr">
        <x:is>
          <x:t xml:space="preserve">2</x:t>
        </x:is>
      </x:c>
      <x:c r="L316" s="2" t="inlineStr">
        <x:is>
          <x:t xml:space="preserve">9</x:t>
        </x:is>
      </x:c>
      <x:c r="M316" s="2" t="n"/>
      <x:c r="N316" s="2" t="inlineStr">
        <x:is>
          <x:t xml:space="preserve">2</x:t>
        </x:is>
      </x:c>
      <x:c r="O316" s="2" t="inlineStr">
        <x:is>
          <x:t xml:space="preserve">0</x:t>
        </x:is>
      </x:c>
      <x:c r="P316" s="2" t="inlineStr">
        <x:is>
          <x:t xml:space="preserve">2</x:t>
        </x:is>
      </x:c>
      <x:c r="Q316" s="2" t="inlineStr">
        <x:is>
          <x:t xml:space="preserve">11</x:t>
        </x:is>
      </x:c>
      <x:c r="R316" s="2" t="inlineStr">
        <x:is>
          <x:t xml:space="preserve">8</x:t>
        </x:is>
      </x:c>
      <x:c r="S316" s="2" t="inlineStr">
        <x:is>
          <x:t xml:space="preserve">1</x:t>
        </x:is>
      </x:c>
      <x:c r="T316" s="2" t="inlineStr">
        <x:is>
          <x:t xml:space="preserve">8</x:t>
        </x:is>
      </x:c>
      <x:c r="U316" s="2" t="inlineStr">
        <x:is>
          <x:t xml:space="preserve">2</x:t>
        </x:is>
      </x:c>
      <x:c r="V316" s="2" t="n"/>
      <x:c r="W316" s="2" t="n"/>
      <x:c r="X316" s="2" t="inlineStr">
        <x:is>
          <x:t xml:space="preserve">Blindsight 10 ft.; Passive Perception 9</x:t>
        </x:is>
      </x:c>
      <x:c r="Y316" s="2" t="inlineStr">
        <x:is>
          <x:t xml:space="preserve">None</x:t>
        </x:is>
      </x:c>
      <x:c r="Z316" s="2" t="n"/>
      <x:c r="AA316" s="2" t="inlineStr">
        <x:is>
          <x:t xml:space="preserve">Sting. Melee Attack Roll: +2, reach 5 ft. Hit: 1 Piercing damage plus 3 (1d6) Poison damage.</x:t>
        </x:is>
      </x:c>
      <x:c r="AB316" s="2" t="n"/>
      <x:c r="AC316" s="2" t="n"/>
      <x:c r="AD316" s="2" t="n"/>
      <x:c r="AE316" s="2" t="n"/>
      <x:c r="AF316" s="2" t="inlineStr">
        <x:is>
          <x:t xml:space="preserve">Imported from SRD 5.2.1 p. 360 Index of Stat Blocks</x:t>
        </x:is>
      </x:c>
      <x:c r="AG316" s="2" t="inlineStr">
        <x:is>
          <x:t xml:space="preserve">https://www.dndbeyond.com/srd</x:t>
        </x:is>
      </x:c>
    </x:row>
    <x:row r="317" ht="18" customHeight="1">
      <x:c r="A317" s="2" t="inlineStr">
        <x:is>
          <x:t xml:space="preserve">Seahorse</x:t>
        </x:is>
      </x:c>
      <x:c r="B317" s="2" t="inlineStr">
        <x:is>
          <x:t xml:space="preserve">SRD 5.2.1</x:t>
        </x:is>
      </x:c>
      <x:c r="C317" s="2" t="inlineStr">
        <x:is>
          <x:t xml:space="preserve">Beast</x:t>
        </x:is>
      </x:c>
      <x:c r="D317" s="2" t="inlineStr">
        <x:is>
          <x:t xml:space="preserve">Tiny</x:t>
        </x:is>
      </x:c>
      <x:c r="E317" s="2" t="inlineStr">
        <x:is>
          <x:t xml:space="preserve">Unaligned</x:t>
        </x:is>
      </x:c>
      <x:c r="F317" s="2" t="inlineStr">
        <x:is>
          <x:t xml:space="preserve">0</x:t>
        </x:is>
      </x:c>
      <x:c r="G317" s="2" t="inlineStr">
        <x:is>
          <x:t xml:space="preserve">0</x:t>
        </x:is>
      </x:c>
      <x:c r="H317" s="2" t="inlineStr">
        <x:is>
          <x:t xml:space="preserve">12</x:t>
        </x:is>
      </x:c>
      <x:c r="I317" s="2" t="inlineStr">
        <x:is>
          <x:t xml:space="preserve">1</x:t>
        </x:is>
      </x:c>
      <x:c r="J317" s="2" t="inlineStr">
        <x:is>
          <x:t xml:space="preserve">5 ft., Swim 20 ft.</x:t>
        </x:is>
      </x:c>
      <x:c r="K317" s="2" t="inlineStr">
        <x:is>
          <x:t xml:space="preserve">2</x:t>
        </x:is>
      </x:c>
      <x:c r="L317" s="2" t="inlineStr">
        <x:is>
          <x:t xml:space="preserve">12</x:t>
        </x:is>
      </x:c>
      <x:c r="M317" s="2" t="n"/>
      <x:c r="N317" s="2" t="n"/>
      <x:c r="O317" s="2" t="inlineStr">
        <x:is>
          <x:t xml:space="preserve">1</x:t>
        </x:is>
      </x:c>
      <x:c r="P317" s="2" t="inlineStr">
        <x:is>
          <x:t xml:space="preserve">1</x:t>
        </x:is>
      </x:c>
      <x:c r="Q317" s="2" t="inlineStr">
        <x:is>
          <x:t xml:space="preserve">12</x:t>
        </x:is>
      </x:c>
      <x:c r="R317" s="2" t="inlineStr">
        <x:is>
          <x:t xml:space="preserve">8</x:t>
        </x:is>
      </x:c>
      <x:c r="S317" s="2" t="inlineStr">
        <x:is>
          <x:t xml:space="preserve">1</x:t>
        </x:is>
      </x:c>
      <x:c r="T317" s="2" t="inlineStr">
        <x:is>
          <x:t xml:space="preserve">10</x:t>
        </x:is>
      </x:c>
      <x:c r="U317" s="2" t="inlineStr">
        <x:is>
          <x:t xml:space="preserve">2</x:t>
        </x:is>
      </x:c>
      <x:c r="V317" s="2" t="n"/>
      <x:c r="W317" s="2" t="inlineStr">
        <x:is>
          <x:t xml:space="preserve">Perception +2, Stealth +5</x:t>
        </x:is>
      </x:c>
      <x:c r="X317" s="2" t="inlineStr">
        <x:is>
          <x:t xml:space="preserve">Passive Perception 12</x:t>
        </x:is>
      </x:c>
      <x:c r="Y317" s="2" t="inlineStr">
        <x:is>
          <x:t xml:space="preserve">None</x:t>
        </x:is>
      </x:c>
      <x:c r="Z317" s="2" t="inlineStr">
        <x:is>
          <x:t xml:space="preserve">Water Breathing. The seahorse can breathe only underwater.</x:t>
        </x:is>
      </x:c>
      <x:c r="AA317" s="2" t="inlineStr">
        <x:is>
          <x:t xml:space="preserve">Bubble Dash. While underwater, the seahorse moves up to its Swim Speed without provoking Opportu- nity Attacks.</x:t>
        </x:is>
      </x:c>
      <x:c r="AB317" s="2" t="n"/>
      <x:c r="AC317" s="2" t="n"/>
      <x:c r="AD317" s="2" t="n"/>
      <x:c r="AE317" s="2" t="n"/>
      <x:c r="AF317" s="2" t="inlineStr">
        <x:is>
          <x:t xml:space="preserve">Imported from SRD 5.2.1 p. 361 Index of Stat Blocks</x:t>
        </x:is>
      </x:c>
      <x:c r="AG317" s="2" t="inlineStr">
        <x:is>
          <x:t xml:space="preserve">https://www.dndbeyond.com/srd</x:t>
        </x:is>
      </x:c>
    </x:row>
    <x:row r="318" ht="18" customHeight="1">
      <x:c r="A318" s="2" t="inlineStr">
        <x:is>
          <x:t xml:space="preserve">Spider</x:t>
        </x:is>
      </x:c>
      <x:c r="B318" s="2" t="inlineStr">
        <x:is>
          <x:t xml:space="preserve">SRD 5.2.1</x:t>
        </x:is>
      </x:c>
      <x:c r="C318" s="2" t="inlineStr">
        <x:is>
          <x:t xml:space="preserve">Beast</x:t>
        </x:is>
      </x:c>
      <x:c r="D318" s="2" t="inlineStr">
        <x:is>
          <x:t xml:space="preserve">Tiny</x:t>
        </x:is>
      </x:c>
      <x:c r="E318" s="2" t="inlineStr">
        <x:is>
          <x:t xml:space="preserve">Unaligned</x:t>
        </x:is>
      </x:c>
      <x:c r="F318" s="2" t="inlineStr">
        <x:is>
          <x:t xml:space="preserve">0</x:t>
        </x:is>
      </x:c>
      <x:c r="G318" s="2" t="inlineStr">
        <x:is>
          <x:t xml:space="preserve">10</x:t>
        </x:is>
      </x:c>
      <x:c r="H318" s="2" t="inlineStr">
        <x:is>
          <x:t xml:space="preserve">12</x:t>
        </x:is>
      </x:c>
      <x:c r="I318" s="2" t="inlineStr">
        <x:is>
          <x:t xml:space="preserve">1</x:t>
        </x:is>
      </x:c>
      <x:c r="J318" s="2" t="inlineStr">
        <x:is>
          <x:t xml:space="preserve">20 ft., Climb 20 ft.</x:t>
        </x:is>
      </x:c>
      <x:c r="K318" s="2" t="inlineStr">
        <x:is>
          <x:t xml:space="preserve">2</x:t>
        </x:is>
      </x:c>
      <x:c r="L318" s="2" t="inlineStr">
        <x:is>
          <x:t xml:space="preserve">10</x:t>
        </x:is>
      </x:c>
      <x:c r="M318" s="2" t="n"/>
      <x:c r="N318" s="2" t="inlineStr">
        <x:is>
          <x:t xml:space="preserve">4</x:t>
        </x:is>
      </x:c>
      <x:c r="O318" s="2" t="inlineStr">
        <x:is>
          <x:t xml:space="preserve">2</x:t>
        </x:is>
      </x:c>
      <x:c r="P318" s="2" t="inlineStr">
        <x:is>
          <x:t xml:space="preserve">2</x:t>
        </x:is>
      </x:c>
      <x:c r="Q318" s="2" t="inlineStr">
        <x:is>
          <x:t xml:space="preserve">14</x:t>
        </x:is>
      </x:c>
      <x:c r="R318" s="2" t="inlineStr">
        <x:is>
          <x:t xml:space="preserve">8</x:t>
        </x:is>
      </x:c>
      <x:c r="S318" s="2" t="inlineStr">
        <x:is>
          <x:t xml:space="preserve">1</x:t>
        </x:is>
      </x:c>
      <x:c r="T318" s="2" t="inlineStr">
        <x:is>
          <x:t xml:space="preserve">10</x:t>
        </x:is>
      </x:c>
      <x:c r="U318" s="2" t="inlineStr">
        <x:is>
          <x:t xml:space="preserve">2</x:t>
        </x:is>
      </x:c>
      <x:c r="V318" s="2" t="n"/>
      <x:c r="W318" s="2" t="inlineStr">
        <x:is>
          <x:t xml:space="preserve">Stealth +4</x:t>
        </x:is>
      </x:c>
      <x:c r="X318" s="2" t="inlineStr">
        <x:is>
          <x:t xml:space="preserve">Darkvision 30 ft.; Passive Perception 10</x:t>
        </x:is>
      </x:c>
      <x:c r="Y318" s="2" t="inlineStr">
        <x:is>
          <x:t xml:space="preserve">None</x:t>
        </x:is>
      </x:c>
      <x:c r="Z318" s="2" t="inlineStr">
        <x:is>
          <x:t xml:space="preserve">Spider Climb. The spider can climb difficult surfaces, including along ceilings, without needing to make an ability check. Web Walker. The spider ignores movement restrictions caused by webs, and the spider knows the location of any other creature in contact with the same web.</x:t>
        </x:is>
      </x:c>
      <x:c r="AA318" s="2" t="inlineStr">
        <x:is>
          <x:t xml:space="preserve">Bite. Melee Attack Roll: +4, reach 5 ft. Hit: 1 Piercing damage plus 2 (1d4) Poison damage.</x:t>
        </x:is>
      </x:c>
      <x:c r="AB318" s="2" t="n"/>
      <x:c r="AC318" s="2" t="n"/>
      <x:c r="AD318" s="2" t="n"/>
      <x:c r="AE318" s="2" t="n"/>
      <x:c r="AF318" s="2" t="inlineStr">
        <x:is>
          <x:t xml:space="preserve">Imported from SRD 5.2.1 p. 361 Index of Stat Blocks</x:t>
        </x:is>
      </x:c>
      <x:c r="AG318" s="2" t="inlineStr">
        <x:is>
          <x:t xml:space="preserve">https://www.dndbeyond.com/srd</x:t>
        </x:is>
      </x:c>
    </x:row>
    <x:row r="319" ht="18" customHeight="1">
      <x:c r="A319" s="2" t="inlineStr">
        <x:is>
          <x:t xml:space="preserve">Swarm of Bats</x:t>
        </x:is>
      </x:c>
      <x:c r="B319" s="2" t="inlineStr">
        <x:is>
          <x:t xml:space="preserve">SRD 5.2.1</x:t>
        </x:is>
      </x:c>
      <x:c r="C319" s="2" t="inlineStr">
        <x:is>
          <x:t xml:space="preserve">Swarm of Tiny Beasts</x:t>
        </x:is>
      </x:c>
      <x:c r="D319" s="2" t="inlineStr">
        <x:is>
          <x:t xml:space="preserve">Large</x:t>
        </x:is>
      </x:c>
      <x:c r="E319" s="2" t="inlineStr">
        <x:is>
          <x:t xml:space="preserve">Unaligned</x:t>
        </x:is>
      </x:c>
      <x:c r="F319" s="2" t="inlineStr">
        <x:is>
          <x:t xml:space="preserve">1/4</x:t>
        </x:is>
      </x:c>
      <x:c r="G319" s="2" t="inlineStr">
        <x:is>
          <x:t xml:space="preserve">50</x:t>
        </x:is>
      </x:c>
      <x:c r="H319" s="2" t="inlineStr">
        <x:is>
          <x:t xml:space="preserve">12</x:t>
        </x:is>
      </x:c>
      <x:c r="I319" s="2" t="inlineStr">
        <x:is>
          <x:t xml:space="preserve">11</x:t>
        </x:is>
      </x:c>
      <x:c r="J319" s="2" t="inlineStr">
        <x:is>
          <x:t xml:space="preserve">5 ft., Fly 30 ft.</x:t>
        </x:is>
      </x:c>
      <x:c r="K319" s="2" t="inlineStr">
        <x:is>
          <x:t xml:space="preserve">2</x:t>
        </x:is>
      </x:c>
      <x:c r="L319" s="2" t="inlineStr">
        <x:is>
          <x:t xml:space="preserve">11</x:t>
        </x:is>
      </x:c>
      <x:c r="M319" s="2" t="n"/>
      <x:c r="N319" s="2" t="inlineStr">
        <x:is>
          <x:t xml:space="preserve">4</x:t>
        </x:is>
      </x:c>
      <x:c r="O319" s="2" t="inlineStr">
        <x:is>
          <x:t xml:space="preserve">2</x:t>
        </x:is>
      </x:c>
      <x:c r="P319" s="2" t="inlineStr">
        <x:is>
          <x:t xml:space="preserve">5</x:t>
        </x:is>
      </x:c>
      <x:c r="Q319" s="2" t="inlineStr">
        <x:is>
          <x:t xml:space="preserve">15</x:t>
        </x:is>
      </x:c>
      <x:c r="R319" s="2" t="inlineStr">
        <x:is>
          <x:t xml:space="preserve">10</x:t>
        </x:is>
      </x:c>
      <x:c r="S319" s="2" t="inlineStr">
        <x:is>
          <x:t xml:space="preserve">2</x:t>
        </x:is>
      </x:c>
      <x:c r="T319" s="2" t="inlineStr">
        <x:is>
          <x:t xml:space="preserve">12</x:t>
        </x:is>
      </x:c>
      <x:c r="U319" s="2" t="inlineStr">
        <x:is>
          <x:t xml:space="preserve">4</x:t>
        </x:is>
      </x:c>
      <x:c r="V319" s="2" t="n"/>
      <x:c r="W319" s="2" t="n"/>
      <x:c r="X319" s="2" t="inlineStr">
        <x:is>
          <x:t xml:space="preserve">Blindsight 60 ft.; Passive Perception 11</x:t>
        </x:is>
      </x:c>
      <x:c r="Y319" s="2" t="inlineStr">
        <x:is>
          <x:t xml:space="preserve">None</x:t>
        </x:is>
      </x:c>
      <x:c r="Z319" s="2" t="inlineStr">
        <x:is>
          <x:t xml:space="preserve">Swarm. The swarm can occupy another creature’s space and vice versa, and the swarm can move through any opening large enough for a Tiny bat. The swarm can’t regain Hit Points or gain Temporary Hit Points.</x:t>
        </x:is>
      </x:c>
      <x:c r="AA319" s="2" t="inlineStr">
        <x:is>
          <x:t xml:space="preserve">Bites. Melee Attack Roll: +4, reach 5 ft. Hit: 5 (2d4) Piercing damage, or 2 (1d4) Piercing damage if the swarm is Bloodied.</x:t>
        </x:is>
      </x:c>
      <x:c r="AB319" s="2" t="n"/>
      <x:c r="AC319" s="2" t="n"/>
      <x:c r="AD319" s="2" t="n"/>
      <x:c r="AE319" s="2" t="n"/>
      <x:c r="AF319" s="2" t="inlineStr">
        <x:is>
          <x:t xml:space="preserve">Imported from SRD 5.2.1 p. 361 Index of Stat Blocks</x:t>
        </x:is>
      </x:c>
      <x:c r="AG319" s="2" t="inlineStr">
        <x:is>
          <x:t xml:space="preserve">https://www.dndbeyond.com/srd</x:t>
        </x:is>
      </x:c>
    </x:row>
    <x:row r="320" ht="18" customHeight="1">
      <x:c r="A320" s="2" t="inlineStr">
        <x:is>
          <x:t xml:space="preserve">Swarm of Insects</x:t>
        </x:is>
      </x:c>
      <x:c r="B320" s="2" t="inlineStr">
        <x:is>
          <x:t xml:space="preserve">SRD 5.2.1</x:t>
        </x:is>
      </x:c>
      <x:c r="C320" s="2" t="inlineStr">
        <x:is>
          <x:t xml:space="preserve">Swarm of Tiny Beasts</x:t>
        </x:is>
      </x:c>
      <x:c r="D320" s="2" t="inlineStr">
        <x:is>
          <x:t xml:space="preserve">Medium</x:t>
        </x:is>
      </x:c>
      <x:c r="E320" s="2" t="inlineStr">
        <x:is>
          <x:t xml:space="preserve">Unaligned</x:t>
        </x:is>
      </x:c>
      <x:c r="F320" s="2" t="inlineStr">
        <x:is>
          <x:t xml:space="preserve">1/2</x:t>
        </x:is>
      </x:c>
      <x:c r="G320" s="2" t="inlineStr">
        <x:is>
          <x:t xml:space="preserve">100</x:t>
        </x:is>
      </x:c>
      <x:c r="H320" s="2" t="inlineStr">
        <x:is>
          <x:t xml:space="preserve">11</x:t>
        </x:is>
      </x:c>
      <x:c r="I320" s="2" t="inlineStr">
        <x:is>
          <x:t xml:space="preserve">19</x:t>
        </x:is>
      </x:c>
      <x:c r="J320" s="2" t="inlineStr">
        <x:is>
          <x:t xml:space="preserve">20 ft., Climb or Fly 20 ft. (GM’s choice)</x:t>
        </x:is>
      </x:c>
      <x:c r="K320" s="2" t="inlineStr">
        <x:is>
          <x:t xml:space="preserve">2</x:t>
        </x:is>
      </x:c>
      <x:c r="L320" s="2" t="inlineStr">
        <x:is>
          <x:t xml:space="preserve">8</x:t>
        </x:is>
      </x:c>
      <x:c r="M320" s="2" t="n"/>
      <x:c r="N320" s="2" t="inlineStr">
        <x:is>
          <x:t xml:space="preserve">3</x:t>
        </x:is>
      </x:c>
      <x:c r="O320" s="2" t="inlineStr">
        <x:is>
          <x:t xml:space="preserve">1</x:t>
        </x:is>
      </x:c>
      <x:c r="P320" s="2" t="inlineStr">
        <x:is>
          <x:t xml:space="preserve">3</x:t>
        </x:is>
      </x:c>
      <x:c r="Q320" s="2" t="inlineStr">
        <x:is>
          <x:t xml:space="preserve">13</x:t>
        </x:is>
      </x:c>
      <x:c r="R320" s="2" t="inlineStr">
        <x:is>
          <x:t xml:space="preserve">14</x:t>
        </x:is>
      </x:c>
      <x:c r="S320" s="2" t="inlineStr">
        <x:is>
          <x:t xml:space="preserve">1</x:t>
        </x:is>
      </x:c>
      <x:c r="T320" s="2" t="inlineStr">
        <x:is>
          <x:t xml:space="preserve">7</x:t>
        </x:is>
      </x:c>
      <x:c r="U320" s="2" t="inlineStr">
        <x:is>
          <x:t xml:space="preserve">1</x:t>
        </x:is>
      </x:c>
      <x:c r="V320" s="2" t="n"/>
      <x:c r="W320" s="2" t="n"/>
      <x:c r="X320" s="2" t="inlineStr">
        <x:is>
          <x:t xml:space="preserve">Blindsight 30 ft.; Passive Perception 8</x:t>
        </x:is>
      </x:c>
      <x:c r="Y320" s="2" t="inlineStr">
        <x:is>
          <x:t xml:space="preserve">None</x:t>
        </x:is>
      </x:c>
      <x:c r="Z320" s="2" t="inlineStr">
        <x:is>
          <x:t xml:space="preserve">Spider Climb. If the swarm has a Climb Speed, the swarm can climb difficult surfaces, including along ceil- ings, without needing to make an ability check. Swarm. The swarm can occupy another creature’s space and vice versa, and the swarm can move through any opening large enough for a Tiny insect. The swarm can’t regain Hit Points or gain Temporary Hit Points.</x:t>
        </x:is>
      </x:c>
      <x:c r="AA320" s="2" t="inlineStr">
        <x:is>
          <x:t xml:space="preserve">Bites. Melee Attack Roll: +3, reach 5 ft. Hit: 6 (2d4 + 1) Poison damage, or 3 (1d4 + 1) Poison damage if the swarm is Bloodied.</x:t>
        </x:is>
      </x:c>
      <x:c r="AB320" s="2" t="n"/>
      <x:c r="AC320" s="2" t="n"/>
      <x:c r="AD320" s="2" t="n"/>
      <x:c r="AE320" s="2" t="n"/>
      <x:c r="AF320" s="2" t="inlineStr">
        <x:is>
          <x:t xml:space="preserve">Imported from SRD 5.2.1 p. 361 Index of Stat Blocks</x:t>
        </x:is>
      </x:c>
      <x:c r="AG320" s="2" t="inlineStr">
        <x:is>
          <x:t xml:space="preserve">https://www.dndbeyond.com/srd</x:t>
        </x:is>
      </x:c>
    </x:row>
    <x:row r="321" ht="18" customHeight="1">
      <x:c r="A321" s="2" t="inlineStr">
        <x:is>
          <x:t xml:space="preserve">Swarm of Piranhas</x:t>
        </x:is>
      </x:c>
      <x:c r="B321" s="2" t="inlineStr">
        <x:is>
          <x:t xml:space="preserve">SRD 5.2.1</x:t>
        </x:is>
      </x:c>
      <x:c r="C321" s="2" t="inlineStr">
        <x:is>
          <x:t xml:space="preserve">Swarm of Tiny Beasts</x:t>
        </x:is>
      </x:c>
      <x:c r="D321" s="2" t="inlineStr">
        <x:is>
          <x:t xml:space="preserve">Medium</x:t>
        </x:is>
      </x:c>
      <x:c r="E321" s="2" t="inlineStr">
        <x:is>
          <x:t xml:space="preserve">Unaligned</x:t>
        </x:is>
      </x:c>
      <x:c r="F321" s="2" t="inlineStr">
        <x:is>
          <x:t xml:space="preserve">1</x:t>
        </x:is>
      </x:c>
      <x:c r="G321" s="2" t="inlineStr">
        <x:is>
          <x:t xml:space="preserve">200</x:t>
        </x:is>
      </x:c>
      <x:c r="H321" s="2" t="inlineStr">
        <x:is>
          <x:t xml:space="preserve">13</x:t>
        </x:is>
      </x:c>
      <x:c r="I321" s="2" t="inlineStr">
        <x:is>
          <x:t xml:space="preserve">28</x:t>
        </x:is>
      </x:c>
      <x:c r="J321" s="2" t="inlineStr">
        <x:is>
          <x:t xml:space="preserve">5 ft., Swim 40 ft.</x:t>
        </x:is>
      </x:c>
      <x:c r="K321" s="2" t="inlineStr">
        <x:is>
          <x:t xml:space="preserve">2</x:t>
        </x:is>
      </x:c>
      <x:c r="L321" s="2" t="inlineStr">
        <x:is>
          <x:t xml:space="preserve">8</x:t>
        </x:is>
      </x:c>
      <x:c r="M321" s="2" t="n"/>
      <x:c r="N321" s="2" t="inlineStr">
        <x:is>
          <x:t xml:space="preserve">5</x:t>
        </x:is>
      </x:c>
      <x:c r="O321" s="2" t="inlineStr">
        <x:is>
          <x:t xml:space="preserve">3</x:t>
        </x:is>
      </x:c>
      <x:c r="P321" s="2" t="inlineStr">
        <x:is>
          <x:t xml:space="preserve">13</x:t>
        </x:is>
      </x:c>
      <x:c r="Q321" s="2" t="inlineStr">
        <x:is>
          <x:t xml:space="preserve">16</x:t>
        </x:is>
      </x:c>
      <x:c r="R321" s="2" t="inlineStr">
        <x:is>
          <x:t xml:space="preserve">9</x:t>
        </x:is>
      </x:c>
      <x:c r="S321" s="2" t="inlineStr">
        <x:is>
          <x:t xml:space="preserve">1</x:t>
        </x:is>
      </x:c>
      <x:c r="T321" s="2" t="inlineStr">
        <x:is>
          <x:t xml:space="preserve">7</x:t>
        </x:is>
      </x:c>
      <x:c r="U321" s="2" t="inlineStr">
        <x:is>
          <x:t xml:space="preserve">2</x:t>
        </x:is>
      </x:c>
      <x:c r="V321" s="2" t="n"/>
      <x:c r="W321" s="2" t="n"/>
      <x:c r="X321" s="2" t="inlineStr">
        <x:is>
          <x:t xml:space="preserve">Darkvision 60 ft.; Passive Perception 8</x:t>
        </x:is>
      </x:c>
      <x:c r="Y321" s="2" t="inlineStr">
        <x:is>
          <x:t xml:space="preserve">None</x:t>
        </x:is>
      </x:c>
      <x:c r="Z321" s="2" t="inlineStr">
        <x:is>
          <x:t xml:space="preserve">Swarm. The swarm can occupy another creature’s space and vice versa, and the swarm can move through any opening large enough for a Tiny piranha. The swarm can’t regain Hit Points or gain Temporary Hit Points. Water Breathing. The swarm can breathe only underwater.</x:t>
        </x:is>
      </x:c>
      <x:c r="AA321" s="2" t="inlineStr">
        <x:is>
          <x:t xml:space="preserve">Bites. Melee Attack Roll: +5 (with Advantage if the target doesn’t have all its Hit Points), reach 5 ft. Hit: 8 (2d4 + 3) Piercing damage, or 5 (1d4 + 3) Piercing dam- age if the swarm is Bloodied.</x:t>
        </x:is>
      </x:c>
      <x:c r="AB321" s="2" t="n"/>
      <x:c r="AC321" s="2" t="n"/>
      <x:c r="AD321" s="2" t="n"/>
      <x:c r="AE321" s="2" t="n"/>
      <x:c r="AF321" s="2" t="inlineStr">
        <x:is>
          <x:t xml:space="preserve">Imported from SRD 5.2.1 p. 362 Index of Stat Blocks</x:t>
        </x:is>
      </x:c>
      <x:c r="AG321" s="2" t="inlineStr">
        <x:is>
          <x:t xml:space="preserve">https://www.dndbeyond.com/srd</x:t>
        </x:is>
      </x:c>
    </x:row>
    <x:row r="322" ht="18" customHeight="1">
      <x:c r="A322" s="2" t="inlineStr">
        <x:is>
          <x:t xml:space="preserve">Swarm of Rats</x:t>
        </x:is>
      </x:c>
      <x:c r="B322" s="2" t="inlineStr">
        <x:is>
          <x:t xml:space="preserve">SRD 5.2.1</x:t>
        </x:is>
      </x:c>
      <x:c r="C322" s="2" t="inlineStr">
        <x:is>
          <x:t xml:space="preserve">Swarm of Tiny Beasts</x:t>
        </x:is>
      </x:c>
      <x:c r="D322" s="2" t="inlineStr">
        <x:is>
          <x:t xml:space="preserve">Medium</x:t>
        </x:is>
      </x:c>
      <x:c r="E322" s="2" t="inlineStr">
        <x:is>
          <x:t xml:space="preserve">Unaligned</x:t>
        </x:is>
      </x:c>
      <x:c r="F322" s="2" t="inlineStr">
        <x:is>
          <x:t xml:space="preserve">1/4</x:t>
        </x:is>
      </x:c>
      <x:c r="G322" s="2" t="inlineStr">
        <x:is>
          <x:t xml:space="preserve">50</x:t>
        </x:is>
      </x:c>
      <x:c r="H322" s="2" t="inlineStr">
        <x:is>
          <x:t xml:space="preserve">10</x:t>
        </x:is>
      </x:c>
      <x:c r="I322" s="2" t="inlineStr">
        <x:is>
          <x:t xml:space="preserve">14</x:t>
        </x:is>
      </x:c>
      <x:c r="J322" s="2" t="inlineStr">
        <x:is>
          <x:t xml:space="preserve">30 ft., Climb 30 ft.</x:t>
        </x:is>
      </x:c>
      <x:c r="K322" s="2" t="inlineStr">
        <x:is>
          <x:t xml:space="preserve">2</x:t>
        </x:is>
      </x:c>
      <x:c r="L322" s="2" t="inlineStr">
        <x:is>
          <x:t xml:space="preserve">10</x:t>
        </x:is>
      </x:c>
      <x:c r="M322" s="2" t="n"/>
      <x:c r="N322" s="2" t="inlineStr">
        <x:is>
          <x:t xml:space="preserve">2</x:t>
        </x:is>
      </x:c>
      <x:c r="O322" s="2" t="inlineStr">
        <x:is>
          <x:t xml:space="preserve">0</x:t>
        </x:is>
      </x:c>
      <x:c r="P322" s="2" t="inlineStr">
        <x:is>
          <x:t xml:space="preserve">9</x:t>
        </x:is>
      </x:c>
      <x:c r="Q322" s="2" t="inlineStr">
        <x:is>
          <x:t xml:space="preserve">11</x:t>
        </x:is>
      </x:c>
      <x:c r="R322" s="2" t="inlineStr">
        <x:is>
          <x:t xml:space="preserve">9</x:t>
        </x:is>
      </x:c>
      <x:c r="S322" s="2" t="inlineStr">
        <x:is>
          <x:t xml:space="preserve">2</x:t>
        </x:is>
      </x:c>
      <x:c r="T322" s="2" t="inlineStr">
        <x:is>
          <x:t xml:space="preserve">10</x:t>
        </x:is>
      </x:c>
      <x:c r="U322" s="2" t="inlineStr">
        <x:is>
          <x:t xml:space="preserve">3</x:t>
        </x:is>
      </x:c>
      <x:c r="V322" s="2" t="inlineStr">
        <x:is>
          <x:t xml:space="preserve">DEX +2</x:t>
        </x:is>
      </x:c>
      <x:c r="W322" s="2" t="n"/>
      <x:c r="X322" s="2" t="inlineStr">
        <x:is>
          <x:t xml:space="preserve">Darkvision 30 ft.; Passive Perception 10</x:t>
        </x:is>
      </x:c>
      <x:c r="Y322" s="2" t="inlineStr">
        <x:is>
          <x:t xml:space="preserve">None</x:t>
        </x:is>
      </x:c>
      <x:c r="Z322" s="2" t="inlineStr">
        <x:is>
          <x:t xml:space="preserve">Swarm. The swarm can occupy another creature’s space and vice versa, and the swarm can move through any opening large enough for a Tiny rat. The swarm can’t regain Hit Points or gain Temporary Hit Points.</x:t>
        </x:is>
      </x:c>
      <x:c r="AA322" s="2" t="inlineStr">
        <x:is>
          <x:t xml:space="preserve">Bites. Melee Attack Roll: +2, reach 5 ft. Hit: 5 (2d4) Piercing damage, or 2 (1d4) Piercing damage if the swarm is Bloodied.</x:t>
        </x:is>
      </x:c>
      <x:c r="AB322" s="2" t="n"/>
      <x:c r="AC322" s="2" t="n"/>
      <x:c r="AD322" s="2" t="n"/>
      <x:c r="AE322" s="2" t="n"/>
      <x:c r="AF322" s="2" t="inlineStr">
        <x:is>
          <x:t xml:space="preserve">Imported from SRD 5.2.1 p. 362 Index of Stat Blocks</x:t>
        </x:is>
      </x:c>
      <x:c r="AG322" s="2" t="inlineStr">
        <x:is>
          <x:t xml:space="preserve">https://www.dndbeyond.com/srd</x:t>
        </x:is>
      </x:c>
    </x:row>
    <x:row r="323" ht="18" customHeight="1">
      <x:c r="A323" s="2" t="inlineStr">
        <x:is>
          <x:t xml:space="preserve">Swarm of Ravens</x:t>
        </x:is>
      </x:c>
      <x:c r="B323" s="2" t="inlineStr">
        <x:is>
          <x:t xml:space="preserve">SRD 5.2.1</x:t>
        </x:is>
      </x:c>
      <x:c r="C323" s="2" t="inlineStr">
        <x:is>
          <x:t xml:space="preserve">Swarm of Tiny Beasts</x:t>
        </x:is>
      </x:c>
      <x:c r="D323" s="2" t="inlineStr">
        <x:is>
          <x:t xml:space="preserve">Medium</x:t>
        </x:is>
      </x:c>
      <x:c r="E323" s="2" t="inlineStr">
        <x:is>
          <x:t xml:space="preserve">Unaligned</x:t>
        </x:is>
      </x:c>
      <x:c r="F323" s="2" t="inlineStr">
        <x:is>
          <x:t xml:space="preserve">1/4</x:t>
        </x:is>
      </x:c>
      <x:c r="G323" s="2" t="inlineStr">
        <x:is>
          <x:t xml:space="preserve">50</x:t>
        </x:is>
      </x:c>
      <x:c r="H323" s="2" t="inlineStr">
        <x:is>
          <x:t xml:space="preserve">12</x:t>
        </x:is>
      </x:c>
      <x:c r="I323" s="2" t="inlineStr">
        <x:is>
          <x:t xml:space="preserve">11</x:t>
        </x:is>
      </x:c>
      <x:c r="J323" s="2" t="inlineStr">
        <x:is>
          <x:t xml:space="preserve">10 ft., Fly 50 ft.</x:t>
        </x:is>
      </x:c>
      <x:c r="K323" s="2" t="inlineStr">
        <x:is>
          <x:t xml:space="preserve">2</x:t>
        </x:is>
      </x:c>
      <x:c r="L323" s="2" t="inlineStr">
        <x:is>
          <x:t xml:space="preserve">15</x:t>
        </x:is>
      </x:c>
      <x:c r="M323" s="2" t="inlineStr">
        <x:is>
          <x:t xml:space="preserve">10</x:t>
        </x:is>
      </x:c>
      <x:c r="N323" s="2" t="inlineStr">
        <x:is>
          <x:t xml:space="preserve">4</x:t>
        </x:is>
      </x:c>
      <x:c r="O323" s="2" t="inlineStr">
        <x:is>
          <x:t xml:space="preserve">2</x:t>
        </x:is>
      </x:c>
      <x:c r="P323" s="2" t="inlineStr">
        <x:is>
          <x:t xml:space="preserve">6</x:t>
        </x:is>
      </x:c>
      <x:c r="Q323" s="2" t="inlineStr">
        <x:is>
          <x:t xml:space="preserve">14</x:t>
        </x:is>
      </x:c>
      <x:c r="R323" s="2" t="inlineStr">
        <x:is>
          <x:t xml:space="preserve">12</x:t>
        </x:is>
      </x:c>
      <x:c r="S323" s="2" t="inlineStr">
        <x:is>
          <x:t xml:space="preserve">5</x:t>
        </x:is>
      </x:c>
      <x:c r="T323" s="2" t="inlineStr">
        <x:is>
          <x:t xml:space="preserve">12</x:t>
        </x:is>
      </x:c>
      <x:c r="U323" s="2" t="inlineStr">
        <x:is>
          <x:t xml:space="preserve">6</x:t>
        </x:is>
      </x:c>
      <x:c r="V323" s="2" t="n"/>
      <x:c r="W323" s="2" t="inlineStr">
        <x:is>
          <x:t xml:space="preserve">Perception +5</x:t>
        </x:is>
      </x:c>
      <x:c r="X323" s="2" t="inlineStr">
        <x:is>
          <x:t xml:space="preserve">Passive Perception 15</x:t>
        </x:is>
      </x:c>
      <x:c r="Y323" s="2" t="inlineStr">
        <x:is>
          <x:t xml:space="preserve">None</x:t>
        </x:is>
      </x:c>
      <x:c r="Z323" s="2" t="inlineStr">
        <x:is>
          <x:t xml:space="preserve">Swarm. The swarm can occupy another creature’s space and vice versa, and the swarm can move through any opening large enough for a Tiny raven. The swarm can’t regain Hit Points or gain Temporary Hit Points.</x:t>
        </x:is>
      </x:c>
      <x:c r="AA323" s="2" t="inlineStr">
        <x:is>
          <x:t xml:space="preserve">Beaks. Melee Attack Roll: +4, reach 5 ft. Hit: 5 (1d6 + 2) Piercing damage, or 2 (1d4) Piercing damage if the swarm is Bloodied. Cacophony (Recharge 6). Wisdom Saving Throw: DC 10, one creature in the swarm’s space. Failure: The target has the Deafened condition until the start of the swarm’s next turn. While Deafened, the target also has Disadvantage on ability checks and attack rolls.</x:t>
        </x:is>
      </x:c>
      <x:c r="AB323" s="2" t="n"/>
      <x:c r="AC323" s="2" t="n"/>
      <x:c r="AD323" s="2" t="n"/>
      <x:c r="AE323" s="2" t="n"/>
      <x:c r="AF323" s="2" t="inlineStr">
        <x:is>
          <x:t xml:space="preserve">Imported from SRD 5.2.1 p. 362 Index of Stat Blocks</x:t>
        </x:is>
      </x:c>
      <x:c r="AG323" s="2" t="inlineStr">
        <x:is>
          <x:t xml:space="preserve">https://www.dndbeyond.com/srd</x:t>
        </x:is>
      </x:c>
    </x:row>
    <x:row r="324" ht="18" customHeight="1">
      <x:c r="A324" s="2" t="inlineStr">
        <x:is>
          <x:t xml:space="preserve">Swarm of Venomous Snakes</x:t>
        </x:is>
      </x:c>
      <x:c r="B324" s="2" t="inlineStr">
        <x:is>
          <x:t xml:space="preserve">SRD 5.2.1</x:t>
        </x:is>
      </x:c>
      <x:c r="C324" s="2" t="inlineStr">
        <x:is>
          <x:t xml:space="preserve">Swarm of Tiny Beasts</x:t>
        </x:is>
      </x:c>
      <x:c r="D324" s="2" t="inlineStr">
        <x:is>
          <x:t xml:space="preserve">Medium</x:t>
        </x:is>
      </x:c>
      <x:c r="E324" s="2" t="inlineStr">
        <x:is>
          <x:t xml:space="preserve">Unaligned</x:t>
        </x:is>
      </x:c>
      <x:c r="F324" s="2" t="inlineStr">
        <x:is>
          <x:t xml:space="preserve">2</x:t>
        </x:is>
      </x:c>
      <x:c r="G324" s="2" t="inlineStr">
        <x:is>
          <x:t xml:space="preserve">450</x:t>
        </x:is>
      </x:c>
      <x:c r="H324" s="2" t="inlineStr">
        <x:is>
          <x:t xml:space="preserve">14</x:t>
        </x:is>
      </x:c>
      <x:c r="I324" s="2" t="inlineStr">
        <x:is>
          <x:t xml:space="preserve">36</x:t>
        </x:is>
      </x:c>
      <x:c r="J324" s="2" t="inlineStr">
        <x:is>
          <x:t xml:space="preserve">30 ft., Swim 30 ft.</x:t>
        </x:is>
      </x:c>
      <x:c r="K324" s="2" t="inlineStr">
        <x:is>
          <x:t xml:space="preserve">2</x:t>
        </x:is>
      </x:c>
      <x:c r="L324" s="2" t="inlineStr">
        <x:is>
          <x:t xml:space="preserve">10</x:t>
        </x:is>
      </x:c>
      <x:c r="M324" s="2" t="n"/>
      <x:c r="N324" s="2" t="inlineStr">
        <x:is>
          <x:t xml:space="preserve">6</x:t>
        </x:is>
      </x:c>
      <x:c r="O324" s="2" t="inlineStr">
        <x:is>
          <x:t xml:space="preserve">4</x:t>
        </x:is>
      </x:c>
      <x:c r="P324" s="2" t="inlineStr">
        <x:is>
          <x:t xml:space="preserve">8</x:t>
        </x:is>
      </x:c>
      <x:c r="Q324" s="2" t="inlineStr">
        <x:is>
          <x:t xml:space="preserve">18</x:t>
        </x:is>
      </x:c>
      <x:c r="R324" s="2" t="inlineStr">
        <x:is>
          <x:t xml:space="preserve">11</x:t>
        </x:is>
      </x:c>
      <x:c r="S324" s="2" t="inlineStr">
        <x:is>
          <x:t xml:space="preserve">1</x:t>
        </x:is>
      </x:c>
      <x:c r="T324" s="2" t="inlineStr">
        <x:is>
          <x:t xml:space="preserve">10</x:t>
        </x:is>
      </x:c>
      <x:c r="U324" s="2" t="inlineStr">
        <x:is>
          <x:t xml:space="preserve">3</x:t>
        </x:is>
      </x:c>
      <x:c r="V324" s="2" t="n"/>
      <x:c r="W324" s="2" t="n"/>
      <x:c r="X324" s="2" t="inlineStr">
        <x:is>
          <x:t xml:space="preserve">Blindsight 10 ft.; Passive Perception 10</x:t>
        </x:is>
      </x:c>
      <x:c r="Y324" s="2" t="inlineStr">
        <x:is>
          <x:t xml:space="preserve">None</x:t>
        </x:is>
      </x:c>
      <x:c r="Z324" s="2" t="inlineStr">
        <x:is>
          <x:t xml:space="preserve">Swarm. The swarm can occupy another creature’s space and vice versa, and the swarm can move through any opening large enough for a Tiny snake. The swarm can’t regain Hit Points or gain Temporary Hit Points.</x:t>
        </x:is>
      </x:c>
      <x:c r="AA324" s="2" t="inlineStr">
        <x:is>
          <x:t xml:space="preserve">Bites. Melee Attack Roll: +6, reach 5 ft. Hit: 8 (1d8 + 4) Piercing damage—or 6 (1d4 + 4) Piercing damage if the swarm is Bloodied—plus 10 (3d6) Poison damage.</x:t>
        </x:is>
      </x:c>
      <x:c r="AB324" s="2" t="n"/>
      <x:c r="AC324" s="2" t="n"/>
      <x:c r="AD324" s="2" t="n"/>
      <x:c r="AE324" s="2" t="n"/>
      <x:c r="AF324" s="2" t="inlineStr">
        <x:is>
          <x:t xml:space="preserve">Imported from SRD 5.2.1 p. 362 Index of Stat Blocks</x:t>
        </x:is>
      </x:c>
      <x:c r="AG324" s="2" t="inlineStr">
        <x:is>
          <x:t xml:space="preserve">https://www.dndbeyond.com/srd</x:t>
        </x:is>
      </x:c>
    </x:row>
    <x:row r="325" ht="18" customHeight="1">
      <x:c r="A325" s="2" t="inlineStr">
        <x:is>
          <x:t xml:space="preserve">Tiger</x:t>
        </x:is>
      </x:c>
      <x:c r="B325" s="2" t="inlineStr">
        <x:is>
          <x:t xml:space="preserve">SRD 5.2.1</x:t>
        </x:is>
      </x:c>
      <x:c r="C325" s="2" t="inlineStr">
        <x:is>
          <x:t xml:space="preserve">Beast</x:t>
        </x:is>
      </x:c>
      <x:c r="D325" s="2" t="inlineStr">
        <x:is>
          <x:t xml:space="preserve">Large</x:t>
        </x:is>
      </x:c>
      <x:c r="E325" s="2" t="inlineStr">
        <x:is>
          <x:t xml:space="preserve">Unaligned</x:t>
        </x:is>
      </x:c>
      <x:c r="F325" s="2" t="inlineStr">
        <x:is>
          <x:t xml:space="preserve">1</x:t>
        </x:is>
      </x:c>
      <x:c r="G325" s="2" t="inlineStr">
        <x:is>
          <x:t xml:space="preserve">200</x:t>
        </x:is>
      </x:c>
      <x:c r="H325" s="2" t="inlineStr">
        <x:is>
          <x:t xml:space="preserve">13</x:t>
        </x:is>
      </x:c>
      <x:c r="I325" s="2" t="inlineStr">
        <x:is>
          <x:t xml:space="preserve">30</x:t>
        </x:is>
      </x:c>
      <x:c r="J325" s="2" t="inlineStr">
        <x:is>
          <x:t xml:space="preserve">40 ft.</x:t>
        </x:is>
      </x:c>
      <x:c r="K325" s="2" t="inlineStr">
        <x:is>
          <x:t xml:space="preserve">2</x:t>
        </x:is>
      </x:c>
      <x:c r="L325" s="2" t="inlineStr">
        <x:is>
          <x:t xml:space="preserve">13</x:t>
        </x:is>
      </x:c>
      <x:c r="M325" s="2" t="n"/>
      <x:c r="N325" s="2" t="inlineStr">
        <x:is>
          <x:t xml:space="preserve">5</x:t>
        </x:is>
      </x:c>
      <x:c r="O325" s="2" t="inlineStr">
        <x:is>
          <x:t xml:space="preserve">3</x:t>
        </x:is>
      </x:c>
      <x:c r="P325" s="2" t="inlineStr">
        <x:is>
          <x:t xml:space="preserve">17</x:t>
        </x:is>
      </x:c>
      <x:c r="Q325" s="2" t="inlineStr">
        <x:is>
          <x:t xml:space="preserve">16</x:t>
        </x:is>
      </x:c>
      <x:c r="R325" s="2" t="inlineStr">
        <x:is>
          <x:t xml:space="preserve">14</x:t>
        </x:is>
      </x:c>
      <x:c r="S325" s="2" t="inlineStr">
        <x:is>
          <x:t xml:space="preserve">3</x:t>
        </x:is>
      </x:c>
      <x:c r="T325" s="2" t="inlineStr">
        <x:is>
          <x:t xml:space="preserve">12</x:t>
        </x:is>
      </x:c>
      <x:c r="U325" s="2" t="inlineStr">
        <x:is>
          <x:t xml:space="preserve">8</x:t>
        </x:is>
      </x:c>
      <x:c r="V325" s="2" t="n"/>
      <x:c r="W325" s="2" t="inlineStr">
        <x:is>
          <x:t xml:space="preserve">Perception +3, Stealth +7</x:t>
        </x:is>
      </x:c>
      <x:c r="X325" s="2" t="inlineStr">
        <x:is>
          <x:t xml:space="preserve">Darkvision 60 ft.; Passive Perception 13</x:t>
        </x:is>
      </x:c>
      <x:c r="Y325" s="2" t="inlineStr">
        <x:is>
          <x:t xml:space="preserve">None</x:t>
        </x:is>
      </x:c>
      <x:c r="Z325" s="2" t="n"/>
      <x:c r="AA325" s="2" t="inlineStr">
        <x:is>
          <x:t xml:space="preserve">Rend. Melee Attack Roll: +5, reach 5 ft. Hit: 10 (2d6 + 3) Slashing damage. If the target is a Large or smaller creature, it has the Prone condition.</x:t>
        </x:is>
      </x:c>
      <x:c r="AB325" s="2" t="inlineStr">
        <x:is>
          <x:t xml:space="preserve">Nimble Escape. The tiger takes the Disengage or Hide action.</x:t>
        </x:is>
      </x:c>
      <x:c r="AC325" s="2" t="n"/>
      <x:c r="AD325" s="2" t="n"/>
      <x:c r="AE325" s="2" t="n"/>
      <x:c r="AF325" s="2" t="inlineStr">
        <x:is>
          <x:t xml:space="preserve">Imported from SRD 5.2.1 p. 363 Index of Stat Blocks</x:t>
        </x:is>
      </x:c>
      <x:c r="AG325" s="2" t="inlineStr">
        <x:is>
          <x:t xml:space="preserve">https://www.dndbeyond.com/srd</x:t>
        </x:is>
      </x:c>
    </x:row>
    <x:row r="326" ht="18" customHeight="1">
      <x:c r="A326" s="2" t="inlineStr">
        <x:is>
          <x:t xml:space="preserve">Triceratops</x:t>
        </x:is>
      </x:c>
      <x:c r="B326" s="2" t="inlineStr">
        <x:is>
          <x:t xml:space="preserve">SRD 5.2.1</x:t>
        </x:is>
      </x:c>
      <x:c r="C326" s="2" t="inlineStr">
        <x:is>
          <x:t xml:space="preserve">Beast (Dinosaur)</x:t>
        </x:is>
      </x:c>
      <x:c r="D326" s="2" t="inlineStr">
        <x:is>
          <x:t xml:space="preserve">Huge</x:t>
        </x:is>
      </x:c>
      <x:c r="E326" s="2" t="inlineStr">
        <x:is>
          <x:t xml:space="preserve">Unaligned</x:t>
        </x:is>
      </x:c>
      <x:c r="F326" s="2" t="inlineStr">
        <x:is>
          <x:t xml:space="preserve">5</x:t>
        </x:is>
      </x:c>
      <x:c r="G326" s="2" t="inlineStr">
        <x:is>
          <x:t xml:space="preserve">1800</x:t>
        </x:is>
      </x:c>
      <x:c r="H326" s="2" t="inlineStr">
        <x:is>
          <x:t xml:space="preserve">14</x:t>
        </x:is>
      </x:c>
      <x:c r="I326" s="2" t="inlineStr">
        <x:is>
          <x:t xml:space="preserve">114</x:t>
        </x:is>
      </x:c>
      <x:c r="J326" s="2" t="inlineStr">
        <x:is>
          <x:t xml:space="preserve">50 ft.</x:t>
        </x:is>
      </x:c>
      <x:c r="K326" s="2" t="inlineStr">
        <x:is>
          <x:t xml:space="preserve">3</x:t>
        </x:is>
      </x:c>
      <x:c r="L326" s="2" t="inlineStr">
        <x:is>
          <x:t xml:space="preserve">10</x:t>
        </x:is>
      </x:c>
      <x:c r="M326" s="2" t="n"/>
      <x:c r="N326" s="2" t="inlineStr">
        <x:is>
          <x:t xml:space="preserve">9</x:t>
        </x:is>
      </x:c>
      <x:c r="O326" s="2" t="inlineStr">
        <x:is>
          <x:t xml:space="preserve">-1</x:t>
        </x:is>
      </x:c>
      <x:c r="P326" s="2" t="inlineStr">
        <x:is>
          <x:t xml:space="preserve">22</x:t>
        </x:is>
      </x:c>
      <x:c r="Q326" s="2" t="inlineStr">
        <x:is>
          <x:t xml:space="preserve">9</x:t>
        </x:is>
      </x:c>
      <x:c r="R326" s="2" t="inlineStr">
        <x:is>
          <x:t xml:space="preserve">17</x:t>
        </x:is>
      </x:c>
      <x:c r="S326" s="2" t="inlineStr">
        <x:is>
          <x:t xml:space="preserve">2</x:t>
        </x:is>
      </x:c>
      <x:c r="T326" s="2" t="inlineStr">
        <x:is>
          <x:t xml:space="preserve">11</x:t>
        </x:is>
      </x:c>
      <x:c r="U326" s="2" t="inlineStr">
        <x:is>
          <x:t xml:space="preserve">5</x:t>
        </x:is>
      </x:c>
      <x:c r="V326" s="2" t="n"/>
      <x:c r="W326" s="2" t="n"/>
      <x:c r="X326" s="2" t="inlineStr">
        <x:is>
          <x:t xml:space="preserve">Passive Perception 10</x:t>
        </x:is>
      </x:c>
      <x:c r="Y326" s="2" t="inlineStr">
        <x:is>
          <x:t xml:space="preserve">None</x:t>
        </x:is>
      </x:c>
      <x:c r="Z326" s="2" t="n"/>
      <x:c r="AA326" s="2" t="inlineStr">
        <x:is>
          <x:t xml:space="preserve">Multiattack. The triceratops makes two Gore attacks. Gore. Melee Attack Roll: +9, reach 5 ft. Hit: 19 (2d12 + 6) Piercing damage. If the target is Huge or smaller and the triceratops moved 20+ feet straight toward it immediately before the hit, the target takes an extra 9 (2d8) Piercing damage and has the Prone condition.</x:t>
        </x:is>
      </x:c>
      <x:c r="AB326" s="2" t="n"/>
      <x:c r="AC326" s="2" t="n"/>
      <x:c r="AD326" s="2" t="n"/>
      <x:c r="AE326" s="2" t="n"/>
      <x:c r="AF326" s="2" t="inlineStr">
        <x:is>
          <x:t xml:space="preserve">Imported from SRD 5.2.1 p. 363 Index of Stat Blocks</x:t>
        </x:is>
      </x:c>
      <x:c r="AG326" s="2" t="inlineStr">
        <x:is>
          <x:t xml:space="preserve">https://www.dndbeyond.com/srd</x:t>
        </x:is>
      </x:c>
    </x:row>
    <x:row r="327" ht="18" customHeight="1">
      <x:c r="A327" s="2" t="inlineStr">
        <x:is>
          <x:t xml:space="preserve">Tyrannosaurus Rex</x:t>
        </x:is>
      </x:c>
      <x:c r="B327" s="2" t="inlineStr">
        <x:is>
          <x:t xml:space="preserve">SRD 5.2.1</x:t>
        </x:is>
      </x:c>
      <x:c r="C327" s="2" t="inlineStr">
        <x:is>
          <x:t xml:space="preserve">Beast (Dinosaur)</x:t>
        </x:is>
      </x:c>
      <x:c r="D327" s="2" t="inlineStr">
        <x:is>
          <x:t xml:space="preserve">Huge</x:t>
        </x:is>
      </x:c>
      <x:c r="E327" s="2" t="inlineStr">
        <x:is>
          <x:t xml:space="preserve">Unaligned</x:t>
        </x:is>
      </x:c>
      <x:c r="F327" s="2" t="inlineStr">
        <x:is>
          <x:t xml:space="preserve">8</x:t>
        </x:is>
      </x:c>
      <x:c r="G327" s="2" t="inlineStr">
        <x:is>
          <x:t xml:space="preserve">3900</x:t>
        </x:is>
      </x:c>
      <x:c r="H327" s="2" t="inlineStr">
        <x:is>
          <x:t xml:space="preserve">13</x:t>
        </x:is>
      </x:c>
      <x:c r="I327" s="2" t="inlineStr">
        <x:is>
          <x:t xml:space="preserve">136</x:t>
        </x:is>
      </x:c>
      <x:c r="J327" s="2" t="inlineStr">
        <x:is>
          <x:t xml:space="preserve">50 ft.</x:t>
        </x:is>
      </x:c>
      <x:c r="K327" s="2" t="inlineStr">
        <x:is>
          <x:t xml:space="preserve">3</x:t>
        </x:is>
      </x:c>
      <x:c r="L327" s="2" t="inlineStr">
        <x:is>
          <x:t xml:space="preserve">14</x:t>
        </x:is>
      </x:c>
      <x:c r="M327" s="2" t="n"/>
      <x:c r="N327" s="2" t="inlineStr">
        <x:is>
          <x:t xml:space="preserve">10</x:t>
        </x:is>
      </x:c>
      <x:c r="O327" s="2" t="inlineStr">
        <x:is>
          <x:t xml:space="preserve">3</x:t>
        </x:is>
      </x:c>
      <x:c r="P327" s="2" t="inlineStr">
        <x:is>
          <x:t xml:space="preserve">25</x:t>
        </x:is>
      </x:c>
      <x:c r="Q327" s="2" t="inlineStr">
        <x:is>
          <x:t xml:space="preserve">10</x:t>
        </x:is>
      </x:c>
      <x:c r="R327" s="2" t="inlineStr">
        <x:is>
          <x:t xml:space="preserve">19</x:t>
        </x:is>
      </x:c>
      <x:c r="S327" s="2" t="inlineStr">
        <x:is>
          <x:t xml:space="preserve">2</x:t>
        </x:is>
      </x:c>
      <x:c r="T327" s="2" t="inlineStr">
        <x:is>
          <x:t xml:space="preserve">12</x:t>
        </x:is>
      </x:c>
      <x:c r="U327" s="2" t="inlineStr">
        <x:is>
          <x:t xml:space="preserve">9</x:t>
        </x:is>
      </x:c>
      <x:c r="V327" s="2" t="inlineStr">
        <x:is>
          <x:t xml:space="preserve">STR +10, WIS +4</x:t>
        </x:is>
      </x:c>
      <x:c r="W327" s="2" t="inlineStr">
        <x:is>
          <x:t xml:space="preserve">Perception +4</x:t>
        </x:is>
      </x:c>
      <x:c r="X327" s="2" t="inlineStr">
        <x:is>
          <x:t xml:space="preserve">Passive Perception 14</x:t>
        </x:is>
      </x:c>
      <x:c r="Y327" s="2" t="inlineStr">
        <x:is>
          <x:t xml:space="preserve">None</x:t>
        </x:is>
      </x:c>
      <x:c r="Z327" s="2" t="n"/>
      <x:c r="AA327" s="2" t="inlineStr">
        <x:is>
          <x:t xml:space="preserve">Multiattack. The tyrannosaurus makes one Bite attack and one Tail attack. Bite. Melee Attack Roll: +10, reach 10 ft. Hit: 33 (4d12 + 7) Piercing damage. If the target is a Large or smaller creature, it has the Grappled condition (escape DC 17). While Grappled, the target has the Restrained condition and can’t be targeted by the tyrannosaurus’s Tail. Tail. Melee Attack Roll: +10, reach 15 ft. Hit: 25 (4d8 + 7) Bludgeoning damage. If the target is a Huge or smaller creature, it has the Prone condition.</x:t>
        </x:is>
      </x:c>
      <x:c r="AB327" s="2" t="n"/>
      <x:c r="AC327" s="2" t="n"/>
      <x:c r="AD327" s="2" t="n"/>
      <x:c r="AE327" s="2" t="n"/>
      <x:c r="AF327" s="2" t="inlineStr">
        <x:is>
          <x:t xml:space="preserve">Imported from SRD 5.2.1 p. 363 Index of Stat Blocks</x:t>
        </x:is>
      </x:c>
      <x:c r="AG327" s="2" t="inlineStr">
        <x:is>
          <x:t xml:space="preserve">https://www.dndbeyond.com/srd</x:t>
        </x:is>
      </x:c>
    </x:row>
    <x:row r="328" ht="18" customHeight="1">
      <x:c r="A328" s="2" t="inlineStr">
        <x:is>
          <x:t xml:space="preserve">Venomous Snake</x:t>
        </x:is>
      </x:c>
      <x:c r="B328" s="2" t="inlineStr">
        <x:is>
          <x:t xml:space="preserve">SRD 5.2.1</x:t>
        </x:is>
      </x:c>
      <x:c r="C328" s="2" t="inlineStr">
        <x:is>
          <x:t xml:space="preserve">Beast</x:t>
        </x:is>
      </x:c>
      <x:c r="D328" s="2" t="inlineStr">
        <x:is>
          <x:t xml:space="preserve">Tiny</x:t>
        </x:is>
      </x:c>
      <x:c r="E328" s="2" t="inlineStr">
        <x:is>
          <x:t xml:space="preserve">Unaligned</x:t>
        </x:is>
      </x:c>
      <x:c r="F328" s="2" t="inlineStr">
        <x:is>
          <x:t xml:space="preserve">1/8</x:t>
        </x:is>
      </x:c>
      <x:c r="G328" s="2" t="inlineStr">
        <x:is>
          <x:t xml:space="preserve">25</x:t>
        </x:is>
      </x:c>
      <x:c r="H328" s="2" t="inlineStr">
        <x:is>
          <x:t xml:space="preserve">12</x:t>
        </x:is>
      </x:c>
      <x:c r="I328" s="2" t="inlineStr">
        <x:is>
          <x:t xml:space="preserve">5</x:t>
        </x:is>
      </x:c>
      <x:c r="J328" s="2" t="inlineStr">
        <x:is>
          <x:t xml:space="preserve">30 ft., Swim 30 ft.</x:t>
        </x:is>
      </x:c>
      <x:c r="K328" s="2" t="inlineStr">
        <x:is>
          <x:t xml:space="preserve">2</x:t>
        </x:is>
      </x:c>
      <x:c r="L328" s="2" t="inlineStr">
        <x:is>
          <x:t xml:space="preserve">10</x:t>
        </x:is>
      </x:c>
      <x:c r="M328" s="2" t="n"/>
      <x:c r="N328" s="2" t="inlineStr">
        <x:is>
          <x:t xml:space="preserve">4</x:t>
        </x:is>
      </x:c>
      <x:c r="O328" s="2" t="inlineStr">
        <x:is>
          <x:t xml:space="preserve">2</x:t>
        </x:is>
      </x:c>
      <x:c r="P328" s="2" t="inlineStr">
        <x:is>
          <x:t xml:space="preserve">2</x:t>
        </x:is>
      </x:c>
      <x:c r="Q328" s="2" t="inlineStr">
        <x:is>
          <x:t xml:space="preserve">15</x:t>
        </x:is>
      </x:c>
      <x:c r="R328" s="2" t="inlineStr">
        <x:is>
          <x:t xml:space="preserve">11</x:t>
        </x:is>
      </x:c>
      <x:c r="S328" s="2" t="inlineStr">
        <x:is>
          <x:t xml:space="preserve">1</x:t>
        </x:is>
      </x:c>
      <x:c r="T328" s="2" t="inlineStr">
        <x:is>
          <x:t xml:space="preserve">10</x:t>
        </x:is>
      </x:c>
      <x:c r="U328" s="2" t="inlineStr">
        <x:is>
          <x:t xml:space="preserve">3</x:t>
        </x:is>
      </x:c>
      <x:c r="V328" s="2" t="n"/>
      <x:c r="W328" s="2" t="n"/>
      <x:c r="X328" s="2" t="inlineStr">
        <x:is>
          <x:t xml:space="preserve">Blindsight 10 ft.; Passive Perception 10</x:t>
        </x:is>
      </x:c>
      <x:c r="Y328" s="2" t="inlineStr">
        <x:is>
          <x:t xml:space="preserve">None</x:t>
        </x:is>
      </x:c>
      <x:c r="Z328" s="2" t="n"/>
      <x:c r="AA328" s="2" t="inlineStr">
        <x:is>
          <x:t xml:space="preserve">Bite. Melee Attack Roll: +4, reach 5 ft. Hit: 4 (1d4 + 2) Piercing damage plus 3 (1d6) Poison damage.</x:t>
        </x:is>
      </x:c>
      <x:c r="AB328" s="2" t="n"/>
      <x:c r="AC328" s="2" t="n"/>
      <x:c r="AD328" s="2" t="n"/>
      <x:c r="AE328" s="2" t="n"/>
      <x:c r="AF328" s="2" t="inlineStr">
        <x:is>
          <x:t xml:space="preserve">Imported from SRD 5.2.1 p. 363 Index of Stat Blocks</x:t>
        </x:is>
      </x:c>
      <x:c r="AG328" s="2" t="inlineStr">
        <x:is>
          <x:t xml:space="preserve">https://www.dndbeyond.com/srd</x:t>
        </x:is>
      </x:c>
    </x:row>
    <x:row r="329" ht="18" customHeight="1">
      <x:c r="A329" s="2" t="inlineStr">
        <x:is>
          <x:t xml:space="preserve">Vulture</x:t>
        </x:is>
      </x:c>
      <x:c r="B329" s="2" t="inlineStr">
        <x:is>
          <x:t xml:space="preserve">SRD 5.2.1</x:t>
        </x:is>
      </x:c>
      <x:c r="C329" s="2" t="inlineStr">
        <x:is>
          <x:t xml:space="preserve">Beast</x:t>
        </x:is>
      </x:c>
      <x:c r="D329" s="2" t="inlineStr">
        <x:is>
          <x:t xml:space="preserve">Medium</x:t>
        </x:is>
      </x:c>
      <x:c r="E329" s="2" t="inlineStr">
        <x:is>
          <x:t xml:space="preserve">Unaligned</x:t>
        </x:is>
      </x:c>
      <x:c r="F329" s="2" t="inlineStr">
        <x:is>
          <x:t xml:space="preserve">0</x:t>
        </x:is>
      </x:c>
      <x:c r="G329" s="2" t="inlineStr">
        <x:is>
          <x:t xml:space="preserve">10</x:t>
        </x:is>
      </x:c>
      <x:c r="H329" s="2" t="inlineStr">
        <x:is>
          <x:t xml:space="preserve">10</x:t>
        </x:is>
      </x:c>
      <x:c r="I329" s="2" t="inlineStr">
        <x:is>
          <x:t xml:space="preserve">5</x:t>
        </x:is>
      </x:c>
      <x:c r="J329" s="2" t="inlineStr">
        <x:is>
          <x:t xml:space="preserve">10 ft., Fly 50 ft.</x:t>
        </x:is>
      </x:c>
      <x:c r="K329" s="2" t="inlineStr">
        <x:is>
          <x:t xml:space="preserve">2</x:t>
        </x:is>
      </x:c>
      <x:c r="L329" s="2" t="inlineStr">
        <x:is>
          <x:t xml:space="preserve">13</x:t>
        </x:is>
      </x:c>
      <x:c r="M329" s="2" t="n"/>
      <x:c r="N329" s="2" t="inlineStr">
        <x:is>
          <x:t xml:space="preserve">2</x:t>
        </x:is>
      </x:c>
      <x:c r="O329" s="2" t="inlineStr">
        <x:is>
          <x:t xml:space="preserve">0</x:t>
        </x:is>
      </x:c>
      <x:c r="P329" s="2" t="inlineStr">
        <x:is>
          <x:t xml:space="preserve">7</x:t>
        </x:is>
      </x:c>
      <x:c r="Q329" s="2" t="inlineStr">
        <x:is>
          <x:t xml:space="preserve">10</x:t>
        </x:is>
      </x:c>
      <x:c r="R329" s="2" t="inlineStr">
        <x:is>
          <x:t xml:space="preserve">13</x:t>
        </x:is>
      </x:c>
      <x:c r="S329" s="2" t="inlineStr">
        <x:is>
          <x:t xml:space="preserve">2</x:t>
        </x:is>
      </x:c>
      <x:c r="T329" s="2" t="inlineStr">
        <x:is>
          <x:t xml:space="preserve">12</x:t>
        </x:is>
      </x:c>
      <x:c r="U329" s="2" t="inlineStr">
        <x:is>
          <x:t xml:space="preserve">4</x:t>
        </x:is>
      </x:c>
      <x:c r="V329" s="2" t="n"/>
      <x:c r="W329" s="2" t="inlineStr">
        <x:is>
          <x:t xml:space="preserve">Perception +3</x:t>
        </x:is>
      </x:c>
      <x:c r="X329" s="2" t="inlineStr">
        <x:is>
          <x:t xml:space="preserve">Passive Perception 13</x:t>
        </x:is>
      </x:c>
      <x:c r="Y329" s="2" t="inlineStr">
        <x:is>
          <x:t xml:space="preserve">None</x:t>
        </x:is>
      </x:c>
      <x:c r="Z329" s="2" t="inlineStr">
        <x:is>
          <x:t xml:space="preserve">Pack Tactics. The vulture has Advantage on an attack roll against a creature if at least one of the vulture’s al- lies is within 5 feet of the creature and the ally doesn’t have the Incapacitated condition.</x:t>
        </x:is>
      </x:c>
      <x:c r="AA329" s="2" t="inlineStr">
        <x:is>
          <x:t xml:space="preserve">Beak. Melee Attack Roll: +2, reach 5 ft. Hit: 2 (1d4) Piercing damage.</x:t>
        </x:is>
      </x:c>
      <x:c r="AB329" s="2" t="n"/>
      <x:c r="AC329" s="2" t="n"/>
      <x:c r="AD329" s="2" t="n"/>
      <x:c r="AE329" s="2" t="n"/>
      <x:c r="AF329" s="2" t="inlineStr">
        <x:is>
          <x:t xml:space="preserve">Imported from SRD 5.2.1 p. 363 Index of Stat Blocks</x:t>
        </x:is>
      </x:c>
      <x:c r="AG329" s="2" t="inlineStr">
        <x:is>
          <x:t xml:space="preserve">https://www.dndbeyond.com/srd</x:t>
        </x:is>
      </x:c>
    </x:row>
    <x:row r="330" ht="18" customHeight="1">
      <x:c r="A330" s="2" t="inlineStr">
        <x:is>
          <x:t xml:space="preserve">Warhorse</x:t>
        </x:is>
      </x:c>
      <x:c r="B330" s="2" t="inlineStr">
        <x:is>
          <x:t xml:space="preserve">SRD 5.2.1</x:t>
        </x:is>
      </x:c>
      <x:c r="C330" s="2" t="inlineStr">
        <x:is>
          <x:t xml:space="preserve">Beast</x:t>
        </x:is>
      </x:c>
      <x:c r="D330" s="2" t="inlineStr">
        <x:is>
          <x:t xml:space="preserve">Large</x:t>
        </x:is>
      </x:c>
      <x:c r="E330" s="2" t="inlineStr">
        <x:is>
          <x:t xml:space="preserve">Unaligned</x:t>
        </x:is>
      </x:c>
      <x:c r="F330" s="2" t="inlineStr">
        <x:is>
          <x:t xml:space="preserve">1/2</x:t>
        </x:is>
      </x:c>
      <x:c r="G330" s="2" t="inlineStr">
        <x:is>
          <x:t xml:space="preserve">100</x:t>
        </x:is>
      </x:c>
      <x:c r="H330" s="2" t="inlineStr">
        <x:is>
          <x:t xml:space="preserve">11</x:t>
        </x:is>
      </x:c>
      <x:c r="I330" s="2" t="inlineStr">
        <x:is>
          <x:t xml:space="preserve">19</x:t>
        </x:is>
      </x:c>
      <x:c r="J330" s="2" t="inlineStr">
        <x:is>
          <x:t xml:space="preserve">60 ft.</x:t>
        </x:is>
      </x:c>
      <x:c r="K330" s="2" t="inlineStr">
        <x:is>
          <x:t xml:space="preserve">2</x:t>
        </x:is>
      </x:c>
      <x:c r="L330" s="2" t="inlineStr">
        <x:is>
          <x:t xml:space="preserve">11</x:t>
        </x:is>
      </x:c>
      <x:c r="M330" s="2" t="n"/>
      <x:c r="N330" s="2" t="inlineStr">
        <x:is>
          <x:t xml:space="preserve">6</x:t>
        </x:is>
      </x:c>
      <x:c r="O330" s="2" t="inlineStr">
        <x:is>
          <x:t xml:space="preserve">1</x:t>
        </x:is>
      </x:c>
      <x:c r="P330" s="2" t="inlineStr">
        <x:is>
          <x:t xml:space="preserve">18</x:t>
        </x:is>
      </x:c>
      <x:c r="Q330" s="2" t="inlineStr">
        <x:is>
          <x:t xml:space="preserve">12</x:t>
        </x:is>
      </x:c>
      <x:c r="R330" s="2" t="inlineStr">
        <x:is>
          <x:t xml:space="preserve">13</x:t>
        </x:is>
      </x:c>
      <x:c r="S330" s="2" t="inlineStr">
        <x:is>
          <x:t xml:space="preserve">2</x:t>
        </x:is>
      </x:c>
      <x:c r="T330" s="2" t="inlineStr">
        <x:is>
          <x:t xml:space="preserve">12</x:t>
        </x:is>
      </x:c>
      <x:c r="U330" s="2" t="inlineStr">
        <x:is>
          <x:t xml:space="preserve">7</x:t>
        </x:is>
      </x:c>
      <x:c r="V330" s="2" t="inlineStr">
        <x:is>
          <x:t xml:space="preserve">WIS +3</x:t>
        </x:is>
      </x:c>
      <x:c r="W330" s="2" t="n"/>
      <x:c r="X330" s="2" t="inlineStr">
        <x:is>
          <x:t xml:space="preserve">Passive Perception 11</x:t>
        </x:is>
      </x:c>
      <x:c r="Y330" s="2" t="inlineStr">
        <x:is>
          <x:t xml:space="preserve">None</x:t>
        </x:is>
      </x:c>
      <x:c r="Z330" s="2" t="n"/>
      <x:c r="AA330" s="2" t="inlineStr">
        <x:is>
          <x:t xml:space="preserve">Hooves. Melee Attack Roll: +6, reach 5 ft. Hit: 9 (2d4 + 4) Bludgeoning damage. If the target is a Large or smaller creature and the horse moved 20+ feet straight toward it immediately before the hit, the target takes an extra 5 (2d4) Bludgeoning damage and has the Prone condition.</x:t>
        </x:is>
      </x:c>
      <x:c r="AB330" s="2" t="n"/>
      <x:c r="AC330" s="2" t="n"/>
      <x:c r="AD330" s="2" t="n"/>
      <x:c r="AE330" s="2" t="n"/>
      <x:c r="AF330" s="2" t="inlineStr">
        <x:is>
          <x:t xml:space="preserve">Imported from SRD 5.2.1 p. 364 Index of Stat Blocks</x:t>
        </x:is>
      </x:c>
      <x:c r="AG330" s="2" t="inlineStr">
        <x:is>
          <x:t xml:space="preserve">https://www.dndbeyond.com/srd</x:t>
        </x:is>
      </x:c>
    </x:row>
    <x:row r="331" ht="18" customHeight="1">
      <x:c r="A331" s="2" t="inlineStr">
        <x:is>
          <x:t xml:space="preserve">Weasel</x:t>
        </x:is>
      </x:c>
      <x:c r="B331" s="2" t="inlineStr">
        <x:is>
          <x:t xml:space="preserve">SRD 5.2.1</x:t>
        </x:is>
      </x:c>
      <x:c r="C331" s="2" t="inlineStr">
        <x:is>
          <x:t xml:space="preserve">Beast</x:t>
        </x:is>
      </x:c>
      <x:c r="D331" s="2" t="inlineStr">
        <x:is>
          <x:t xml:space="preserve">Tiny</x:t>
        </x:is>
      </x:c>
      <x:c r="E331" s="2" t="inlineStr">
        <x:is>
          <x:t xml:space="preserve">Unaligned</x:t>
        </x:is>
      </x:c>
      <x:c r="F331" s="2" t="inlineStr">
        <x:is>
          <x:t xml:space="preserve">0</x:t>
        </x:is>
      </x:c>
      <x:c r="G331" s="2" t="inlineStr">
        <x:is>
          <x:t xml:space="preserve">10</x:t>
        </x:is>
      </x:c>
      <x:c r="H331" s="2" t="inlineStr">
        <x:is>
          <x:t xml:space="preserve">13</x:t>
        </x:is>
      </x:c>
      <x:c r="I331" s="2" t="inlineStr">
        <x:is>
          <x:t xml:space="preserve">1</x:t>
        </x:is>
      </x:c>
      <x:c r="J331" s="2" t="inlineStr">
        <x:is>
          <x:t xml:space="preserve">30 ft., Climb 30 ft.</x:t>
        </x:is>
      </x:c>
      <x:c r="K331" s="2" t="inlineStr">
        <x:is>
          <x:t xml:space="preserve">2</x:t>
        </x:is>
      </x:c>
      <x:c r="L331" s="2" t="inlineStr">
        <x:is>
          <x:t xml:space="preserve">13</x:t>
        </x:is>
      </x:c>
      <x:c r="M331" s="2" t="n"/>
      <x:c r="N331" s="2" t="inlineStr">
        <x:is>
          <x:t xml:space="preserve">5</x:t>
        </x:is>
      </x:c>
      <x:c r="O331" s="2" t="inlineStr">
        <x:is>
          <x:t xml:space="preserve">3</x:t>
        </x:is>
      </x:c>
      <x:c r="P331" s="2" t="inlineStr">
        <x:is>
          <x:t xml:space="preserve">3</x:t>
        </x:is>
      </x:c>
      <x:c r="Q331" s="2" t="inlineStr">
        <x:is>
          <x:t xml:space="preserve">16</x:t>
        </x:is>
      </x:c>
      <x:c r="R331" s="2" t="inlineStr">
        <x:is>
          <x:t xml:space="preserve">8</x:t>
        </x:is>
      </x:c>
      <x:c r="S331" s="2" t="inlineStr">
        <x:is>
          <x:t xml:space="preserve">2</x:t>
        </x:is>
      </x:c>
      <x:c r="T331" s="2" t="inlineStr">
        <x:is>
          <x:t xml:space="preserve">12</x:t>
        </x:is>
      </x:c>
      <x:c r="U331" s="2" t="inlineStr">
        <x:is>
          <x:t xml:space="preserve">3</x:t>
        </x:is>
      </x:c>
      <x:c r="V331" s="2" t="n"/>
      <x:c r="W331" s="2" t="inlineStr">
        <x:is>
          <x:t xml:space="preserve">Acrobatics +5, Perception +3, Stealth +5</x:t>
        </x:is>
      </x:c>
      <x:c r="X331" s="2" t="inlineStr">
        <x:is>
          <x:t xml:space="preserve">Darkvision 60 ft.; Passive Perception 13</x:t>
        </x:is>
      </x:c>
      <x:c r="Y331" s="2" t="inlineStr">
        <x:is>
          <x:t xml:space="preserve">None</x:t>
        </x:is>
      </x:c>
      <x:c r="Z331" s="2" t="n"/>
      <x:c r="AA331" s="2" t="inlineStr">
        <x:is>
          <x:t xml:space="preserve">Bite. Melee Attack Roll: +5, reach 5 ft. Hit: 1 Piercing damage.</x:t>
        </x:is>
      </x:c>
      <x:c r="AB331" s="2" t="n"/>
      <x:c r="AC331" s="2" t="n"/>
      <x:c r="AD331" s="2" t="n"/>
      <x:c r="AE331" s="2" t="n"/>
      <x:c r="AF331" s="2" t="inlineStr">
        <x:is>
          <x:t xml:space="preserve">Imported from SRD 5.2.1 p. 364 Index of Stat Blocks</x:t>
        </x:is>
      </x:c>
      <x:c r="AG331" s="2" t="inlineStr">
        <x:is>
          <x:t xml:space="preserve">https://www.dndbeyond.com/srd</x:t>
        </x:is>
      </x:c>
    </x:row>
    <x:row r="332" ht="18" customHeight="1">
      <x:c r="A332" s="2" t="inlineStr">
        <x:is>
          <x:t xml:space="preserve">Wolf</x:t>
        </x:is>
      </x:c>
      <x:c r="B332" s="2" t="inlineStr">
        <x:is>
          <x:t xml:space="preserve">SRD 5.2.1</x:t>
        </x:is>
      </x:c>
      <x:c r="C332" s="2" t="inlineStr">
        <x:is>
          <x:t xml:space="preserve">Beast</x:t>
        </x:is>
      </x:c>
      <x:c r="D332" s="2" t="inlineStr">
        <x:is>
          <x:t xml:space="preserve">Medium</x:t>
        </x:is>
      </x:c>
      <x:c r="E332" s="2" t="inlineStr">
        <x:is>
          <x:t xml:space="preserve">Unaligned</x:t>
        </x:is>
      </x:c>
      <x:c r="F332" s="2" t="inlineStr">
        <x:is>
          <x:t xml:space="preserve">1/4</x:t>
        </x:is>
      </x:c>
      <x:c r="G332" s="2" t="inlineStr">
        <x:is>
          <x:t xml:space="preserve">50</x:t>
        </x:is>
      </x:c>
      <x:c r="H332" s="2" t="inlineStr">
        <x:is>
          <x:t xml:space="preserve">12</x:t>
        </x:is>
      </x:c>
      <x:c r="I332" s="2" t="inlineStr">
        <x:is>
          <x:t xml:space="preserve">11</x:t>
        </x:is>
      </x:c>
      <x:c r="J332" s="2" t="inlineStr">
        <x:is>
          <x:t xml:space="preserve">40 ft.</x:t>
        </x:is>
      </x:c>
      <x:c r="K332" s="2" t="inlineStr">
        <x:is>
          <x:t xml:space="preserve">2</x:t>
        </x:is>
      </x:c>
      <x:c r="L332" s="2" t="inlineStr">
        <x:is>
          <x:t xml:space="preserve">15</x:t>
        </x:is>
      </x:c>
      <x:c r="M332" s="2" t="n"/>
      <x:c r="N332" s="2" t="inlineStr">
        <x:is>
          <x:t xml:space="preserve">4</x:t>
        </x:is>
      </x:c>
      <x:c r="O332" s="2" t="inlineStr">
        <x:is>
          <x:t xml:space="preserve">2</x:t>
        </x:is>
      </x:c>
      <x:c r="P332" s="2" t="inlineStr">
        <x:is>
          <x:t xml:space="preserve">14</x:t>
        </x:is>
      </x:c>
      <x:c r="Q332" s="2" t="inlineStr">
        <x:is>
          <x:t xml:space="preserve">15</x:t>
        </x:is>
      </x:c>
      <x:c r="R332" s="2" t="inlineStr">
        <x:is>
          <x:t xml:space="preserve">12</x:t>
        </x:is>
      </x:c>
      <x:c r="S332" s="2" t="inlineStr">
        <x:is>
          <x:t xml:space="preserve">3</x:t>
        </x:is>
      </x:c>
      <x:c r="T332" s="2" t="inlineStr">
        <x:is>
          <x:t xml:space="preserve">12</x:t>
        </x:is>
      </x:c>
      <x:c r="U332" s="2" t="inlineStr">
        <x:is>
          <x:t xml:space="preserve">6</x:t>
        </x:is>
      </x:c>
      <x:c r="V332" s="2" t="n"/>
      <x:c r="W332" s="2" t="inlineStr">
        <x:is>
          <x:t xml:space="preserve">Perception +5, Stealth +4</x:t>
        </x:is>
      </x:c>
      <x:c r="X332" s="2" t="inlineStr">
        <x:is>
          <x:t xml:space="preserve">Darkvision 60 ft.; Passive Perception 15</x:t>
        </x:is>
      </x:c>
      <x:c r="Y332" s="2" t="inlineStr">
        <x:is>
          <x:t xml:space="preserve">None</x:t>
        </x:is>
      </x:c>
      <x:c r="Z332" s="2" t="inlineStr">
        <x:is>
          <x:t xml:space="preserve">Pack Tactics. The wolf has Advantage on attack rolls against a creature if at least one of the wolf’s allies is within 5 feet of the creature and the ally doesn’t have the Incapacitated condition.</x:t>
        </x:is>
      </x:c>
      <x:c r="AA332" s="2" t="inlineStr">
        <x:is>
          <x:t xml:space="preserve">Bite. Melee Attack Roll: +4, reach 5 ft. Hit: 5 (1d6 + 2) Piercing damage. If the target is a Medium or smaller creature, it has the Prone condition.</x:t>
        </x:is>
      </x:c>
      <x:c r="AB332" s="2" t="n"/>
      <x:c r="AC332" s="2" t="n"/>
      <x:c r="AD332" s="2" t="n"/>
      <x:c r="AE332" s="2" t="n"/>
      <x:c r="AF332" s="2" t="inlineStr">
        <x:is>
          <x:t xml:space="preserve">Imported from SRD 5.2.1 p. 364 Index of Stat Blocks</x:t>
        </x:is>
      </x:c>
      <x:c r="AG332" s="2" t="inlineStr">
        <x:is>
          <x:t xml:space="preserve">https://www.dndbeyond.com/srd</x:t>
        </x:is>
      </x:c>
    </x:row>
  </x:sheetData>
  <x:pageMargins left="0.7" right="0.7" top="0.75" bottom="0.75" header="0.3" footer="0.3"/>
  <x:legacyDrawing xmlns:r="http://schemas.openxmlformats.org/officeDocument/2006/relationships" r:id="Rd2d8b656a5dd4c6c"/>
</x:worksheet>
</file>

<file path=xl/worksheets/sheet17.xml><?xml version="1.0" encoding="utf-8"?>
<x:worksheet xmlns:x="http://schemas.openxmlformats.org/spreadsheetml/2006/main">
  <x:sheetViews>
    <x:sheetView showGridLines="1" workbookViewId="0"/>
  </x:sheetViews>
  <x:sheetFormatPr baseColWidth="8" defaultRowHeight="15"/>
  <x:cols>
    <x:col min="1" max="1" width="45" customWidth="1"/>
    <x:col min="2" max="2" width="10" customWidth="1"/>
    <x:col min="3" max="3" width="45" customWidth="1"/>
    <x:col min="4" max="4" width="30" customWidth="1"/>
    <x:col min="5" max="5" width="10" customWidth="1"/>
    <x:col min="6" max="6" width="10" customWidth="1"/>
  </x:cols>
  <x:sheetData>
    <x:row r="1" ht="18" customHeight="1">
      <x:c r="A1" s="5" t="inlineStr">
        <x:is>
          <x:t xml:space="preserve">SRD 5.2.1 Player Database</x:t>
        </x:is>
      </x:c>
    </x:row>
    <x:row r="2" ht="18" customHeight="1">
      <x:c r="A2" s="2" t="inlineStr">
        <x:is>
          <x:t xml:space="preserve">Sheet</x:t>
        </x:is>
      </x:c>
      <x:c r="B2" s="2" t="inlineStr">
        <x:is>
          <x:t xml:space="preserve">Rows</x:t>
        </x:is>
      </x:c>
      <x:c r="C2" s="2" t="inlineStr">
        <x:is>
          <x:t xml:space="preserve">Purpose</x:t>
        </x:is>
      </x:c>
      <x:c r="D2" s="2" t="inlineStr">
        <x:is>
          <x:t xml:space="preserve">Source</x:t>
        </x:is>
      </x:c>
    </x:row>
    <x:row r="3" ht="18" customHeight="1">
      <x:c r="A3" s="2" t="inlineStr">
        <x:is>
          <x:t xml:space="preserve">Player DB - Species</x:t>
        </x:is>
      </x:c>
      <x:c r="B3" s="2" t="inlineStr">
        <x:is>
          <x:t xml:space="preserve">9</x:t>
        </x:is>
      </x:c>
      <x:c r="C3" s="2" t="inlineStr">
        <x:is>
          <x:t xml:space="preserve">Species / race trait summaries</x:t>
        </x:is>
      </x:c>
      <x:c r="D3" s="2" t="inlineStr">
        <x:is>
          <x:t xml:space="preserve">SRD 5.2.1 pp. 83-86</x:t>
        </x:is>
      </x:c>
    </x:row>
    <x:row r="4" ht="18" customHeight="1">
      <x:c r="A4" s="2" t="inlineStr">
        <x:is>
          <x:t xml:space="preserve">Player DB - Backgrounds</x:t>
        </x:is>
      </x:c>
      <x:c r="B4" s="2" t="inlineStr">
        <x:is>
          <x:t xml:space="preserve">4</x:t>
        </x:is>
      </x:c>
      <x:c r="C4" s="2" t="inlineStr">
        <x:is>
          <x:t xml:space="preserve">Background summaries</x:t>
        </x:is>
      </x:c>
      <x:c r="D4" s="2" t="inlineStr">
        <x:is>
          <x:t xml:space="preserve">SRD 5.2.1 p. 83</x:t>
        </x:is>
      </x:c>
    </x:row>
    <x:row r="5" ht="18" customHeight="1">
      <x:c r="A5" s="2" t="inlineStr">
        <x:is>
          <x:t xml:space="preserve">Player DB - Classes</x:t>
        </x:is>
      </x:c>
      <x:c r="B5" s="2" t="inlineStr">
        <x:is>
          <x:t xml:space="preserve">12</x:t>
        </x:is>
      </x:c>
      <x:c r="C5" s="2" t="inlineStr">
        <x:is>
          <x:t xml:space="preserve">Class core traits and feature summaries</x:t>
        </x:is>
      </x:c>
      <x:c r="D5" s="2" t="inlineStr">
        <x:is>
          <x:t xml:space="preserve">SRD 5.2.1 pp. 28-82</x:t>
        </x:is>
      </x:c>
    </x:row>
    <x:row r="6" ht="18" customHeight="1">
      <x:c r="A6" s="2" t="inlineStr">
        <x:is>
          <x:t xml:space="preserve">Player DB - Subclasses</x:t>
        </x:is>
      </x:c>
      <x:c r="B6" s="2" t="inlineStr">
        <x:is>
          <x:t xml:space="preserve">12</x:t>
        </x:is>
      </x:c>
      <x:c r="C6" s="2" t="inlineStr">
        <x:is>
          <x:t xml:space="preserve">Subclass summaries</x:t>
        </x:is>
      </x:c>
      <x:c r="D6" s="2" t="inlineStr">
        <x:is>
          <x:t xml:space="preserve">SRD 5.2.1 pp. 30-82</x:t>
        </x:is>
      </x:c>
    </x:row>
    <x:row r="7" ht="18" customHeight="1">
      <x:c r="A7" s="2" t="inlineStr">
        <x:is>
          <x:t xml:space="preserve">Player DB - Feats</x:t>
        </x:is>
      </x:c>
      <x:c r="B7" s="2" t="inlineStr">
        <x:is>
          <x:t xml:space="preserve">16</x:t>
        </x:is>
      </x:c>
      <x:c r="C7" s="2" t="inlineStr">
        <x:is>
          <x:t xml:space="preserve">Feat summaries</x:t>
        </x:is>
      </x:c>
      <x:c r="D7" s="2" t="inlineStr">
        <x:is>
          <x:t xml:space="preserve">SRD 5.2.1 pp. 87-88</x:t>
        </x:is>
      </x:c>
    </x:row>
    <x:row r="8" ht="18" customHeight="1">
      <x:c r="A8" s="2" t="inlineStr">
        <x:is>
          <x:t xml:space="preserve">Player DB - Spells</x:t>
        </x:is>
      </x:c>
      <x:c r="B8" s="2" t="inlineStr">
        <x:is>
          <x:t xml:space="preserve">354</x:t>
        </x:is>
      </x:c>
      <x:c r="C8" s="2" t="inlineStr">
        <x:is>
          <x:t xml:space="preserve">Spell metadata and descriptions</x:t>
        </x:is>
      </x:c>
      <x:c r="D8" s="2" t="inlineStr">
        <x:is>
          <x:t xml:space="preserve">SRD 5.2.1 pp. 107-175</x:t>
        </x:is>
      </x:c>
    </x:row>
    <x:row r="9" ht="18" customHeight="1">
      <x:c r="A9" s="2" t="inlineStr">
        <x:is>
          <x:t xml:space="preserve">Player DB - Spell Lists</x:t>
        </x:is>
      </x:c>
      <x:c r="B9" s="2" t="inlineStr">
        <x:is>
          <x:t xml:space="preserve">693</x:t>
        </x:is>
      </x:c>
      <x:c r="C9" s="2" t="inlineStr">
        <x:is>
          <x:t xml:space="preserve">Class-to-spell lookup derived from spell tags</x:t>
        </x:is>
      </x:c>
      <x:c r="D9" s="2" t="inlineStr">
        <x:is>
          <x:t xml:space="preserve">SRD 5.2.1 spell descriptions</x:t>
        </x:is>
      </x:c>
    </x:row>
    <x:row r="10" ht="18" customHeight="1">
      <x:c r="A10" s="2" t="inlineStr">
        <x:is>
          <x:t xml:space="preserve">Required SRD attribution</x:t>
        </x:is>
      </x:c>
    </x:row>
    <x:row r="11" ht="18" customHeight="1">
      <x:c r="A11" s="2" t="inlineStr">
        <x:is>
          <x:t xml:space="preserve">This work includes material from the System Reference Document 5.2.1 (“SRD 5.2.1”) by Wizards of the Coast LLC, available at https://www.dndbeyond.com/srd. The SRD 5.2.1 is licensed under the Creative Commons Attribution 4.0 International License, available at https://creativecommons.org/licenses/by/4.0/legalcode.</x:t>
        </x:is>
      </x:c>
    </x:row>
    <x:row r="12" ht="18" customHeight="1"/>
    <x:row r="13" ht="18" customHeight="1"/>
    <x:row r="14" ht="18" customHeight="1"/>
  </x:sheetData>
  <x:pageMargins left="0.7" right="0.7" top="0.75" bottom="0.75" header="0.3" footer="0.3"/>
</x:worksheet>
</file>

<file path=xl/worksheets/sheet18.xml><?xml version="1.0" encoding="utf-8"?>
<x:worksheet xmlns:x="http://schemas.openxmlformats.org/spreadsheetml/2006/main">
  <x:sheetViews>
    <x:sheetView showGridLines="1" workbookViewId="0"/>
  </x:sheetViews>
  <x:sheetFormatPr baseColWidth="8" defaultRowHeight="15"/>
  <x:cols>
    <x:col min="1" max="1" width="12" customWidth="1"/>
    <x:col min="2" max="2" width="45" customWidth="1"/>
    <x:col min="3" max="3" width="11" customWidth="1"/>
    <x:col min="4" max="4" width="11" customWidth="1"/>
  </x:cols>
  <x:sheetData>
    <x:row r="1" ht="18" customHeight="1">
      <x:c r="A1" s="5" t="inlineStr">
        <x:is>
          <x:t xml:space="preserve">Species</x:t>
        </x:is>
      </x:c>
      <x:c r="B1" s="9" t="inlineStr">
        <x:is>
          <x:t xml:space="preserve">Trait Summary</x:t>
        </x:is>
      </x:c>
      <x:c r="C1" s="9" t="inlineStr">
        <x:is>
          <x:t xml:space="preserve">Source</x:t>
        </x:is>
      </x:c>
      <x:c r="D1" s="9" t="inlineStr">
        <x:is>
          <x:t xml:space="preserve">Page Ref</x:t>
        </x:is>
      </x:c>
    </x:row>
    <x:row r="2" ht="18" customHeight="1">
      <x:c r="A2" s="2" t="inlineStr">
        <x:is>
          <x:t xml:space="preserve">Dragonborn</x:t>
        </x:is>
      </x:c>
      <x:c r="B2" s="2" t="inlineStr">
        <x:is>
          <x:t xml:space="preserve">Dragonborn Creature Type: Humanoid Size: Medium (about 5–7 feet tall) Speed: 30 feet As a Dragonborn, you have these special traits. Draconic Ancestry. Your lineage stems from a dragon progenitor. Choose the kind of dragon from the Draconic Ancestors table. Your choice affects your Breath Weapon and Damage Resistance traits as well as your appearance. Draconic Ancestors Dragon Damage Type Dragon Damage Type Black Acid Gold Fire Blue Lightning Green Poison Brass Fire Red Fire Bronze Lightning Silver Cold Copper Acid White Cold Breath Weapon. When you take the Attack action on your turn, you can replace one of your attacks with an exhalation of magical energy in either a 15-foot Cone or a 30-foot Line that is 5 feet wide (choose the shape each time). Each creature in that area must make a Dexterity saving throw (DC 8 plus your Constitution modifier and Proficiency Bonus). On a failed save, a creature takes 1d10 damage of the type determined by your Draconic Ancestry trait. On a successful save, a creature takes half as much damage. This damage increases by 1d10 when you reach character levels 5 (2d10), 11 (3d10), and 17 (4d10). You can use this Breath Weapon a number of times equal to your Proficiency Bonus, and you regain all expended uses when you finish a Long Rest. Damage Resistance. You have Resistance to the damage type determined by your Draconic Ancestry trait. Darkvision. You have Darkvision with a range of 60 feet. Draconic Flight. When you reach character level 5, you can channel draconic magic to give yourself temporary flight. As a Bonus Action, you sprout spectral wings on your back that last for 10 minutes or until you retract the wings (no action required) or have the Incapacitated condition. During that time, you have a Fly Speed equal to your Speed. Your</x:t>
        </x:is>
      </x:c>
      <x:c r="C2" s="2" t="inlineStr">
        <x:is>
          <x:t xml:space="preserve">SRD 5.2.1</x:t>
        </x:is>
      </x:c>
      <x:c r="D2" s="2" t="inlineStr">
        <x:is>
          <x:t xml:space="preserve">pp. 83-86</x:t>
        </x:is>
      </x:c>
    </x:row>
    <x:row r="3" ht="18" customHeight="1">
      <x:c r="A3" s="2" t="inlineStr">
        <x:is>
          <x:t xml:space="preserve">Dwarf</x:t>
        </x:is>
      </x:c>
      <x:c r="B3" s="2" t="inlineStr">
        <x:is>
          <x:t xml:space="preserve">Dwarf Creature Type: Humanoid Size: Medium (about 4–5 feet tall) Speed: 30 feet As a Dwarf, you have these special traits. Darkvision. You have Darkvision with a range of 120 feet. Dwarven Resilience. You have Resistance to Poison damage. You also have Advantage on saving throws you make to avoid or end the Poisoned condition. Dwarven Toughness. Your Hit Point maximum increases by 1, and it increases by 1 again whenever you gain a level. Stonecunning. As a Bonus Action, you gain Tremorsense with a range of 60 feet for 10 minutes. You must be on a stone surface or touching a stone surface to use this Tremorsense. The stone can be natural or worked. You can use this Bonus Action a number of times equal to your Proficiency Bonus, and you regain all expended uses when you finish a Long Rest.</x:t>
        </x:is>
      </x:c>
      <x:c r="C3" s="2" t="inlineStr">
        <x:is>
          <x:t xml:space="preserve">SRD 5.2.1</x:t>
        </x:is>
      </x:c>
      <x:c r="D3" s="2" t="inlineStr">
        <x:is>
          <x:t xml:space="preserve">pp. 83-86</x:t>
        </x:is>
      </x:c>
    </x:row>
    <x:row r="4" ht="18" customHeight="1">
      <x:c r="A4" s="2" t="inlineStr">
        <x:is>
          <x:t xml:space="preserve">Elf</x:t>
        </x:is>
      </x:c>
      <x:c r="B4" s="2" t="inlineStr">
        <x:is>
          <x:t xml:space="preserve">Elf Creature Type: Humanoid Size: Medium (about 5–6 feet tall) Speed: 30 feet As an Elf, you have these special traits. Darkvision. You have Darkvision with a range of 60 feet. Elven Lineage. You are part of a lineage that grants you supernatural abilities. Choose a lineage from the Elven Lineages table. You gain the level 1 benefit of that lineage. When you reach character levels 3 and 5, you learn a higher-level spell, as shown on the table. You always have that spell prepared. You can cast it once without a spell slot, and you regain the ability to cast it in that way when you finish a Long Rest. You can also cast the spell using any spell slots you have of the appropriate level. Intelligence, Wisdom, or Charisma is your spellcasting ability for the spells you cast with this trait (choose the ability when you select the lineage). Fey Ancestry. You have Advantage on saving throws you make to avoid or end the Charmed condition. Keen Senses. You have proficiency in the Insight, Perception, or Survival skill. Trance. You don’t need to sleep, and magic can’t put you to sleep. You can finish a Long Rest in 4 hours if you spend those hours in a trancelike meditation, during which you retain consciousness.</x:t>
        </x:is>
      </x:c>
      <x:c r="C4" s="2" t="inlineStr">
        <x:is>
          <x:t xml:space="preserve">SRD 5.2.1</x:t>
        </x:is>
      </x:c>
      <x:c r="D4" s="2" t="inlineStr">
        <x:is>
          <x:t xml:space="preserve">pp. 83-86</x:t>
        </x:is>
      </x:c>
    </x:row>
    <x:row r="5" ht="18" customHeight="1">
      <x:c r="A5" s="2" t="inlineStr">
        <x:is>
          <x:t xml:space="preserve">Gnome</x:t>
        </x:is>
      </x:c>
      <x:c r="B5" s="2" t="inlineStr">
        <x:is>
          <x:t xml:space="preserve">Gnome Creature Type: Humanoid Size: Small (about 3–4 feet tall) Speed: 30 feet As a Gnome, you have these special traits. Darkvision. You have Darkvision with a range of 60 feet. Gnomish Cunning. You have Advantage on Intelligence, Wisdom, and Charisma saving throws. Gnomish Lineage. You are part of a lineage that grants you supernatural abilities. Choose one of the following options; whichever one you choose, Intelligence, Wisdom, or Charisma is your spellcasting ability for the spells you cast with this trait (choose the ability when you select the lineage): Forest Gnome. You know the Minor Illusion cantrip. You also always have the Speak with Animals spell prepared. You can cast it without a spell slot a number of times equal to your Proficiency Bonus, and you regain all expended uses when you finish a Long Rest. You can also use any spell slots you have to cast the spell. Rock Gnome. You know the Mending and Prestidigitation cantrips. In addition, you can spend 10 minutes casting Prestidigitation to create a Tiny clockwork device (AC 5, 1 HP), such as a toy, fire starter, or music box. When you create the device, you determine its function by choosing one effect from Prestidigitation; the device produces that effect whenever you or another creature takes a Bonus Action to activate it with a touch. If the chosen effect has options within it, you choose one of those options for the device when you create it. For example, if you choose the spell’s ignite-extinguish effect, you determine whether the device ignites or extinguishes fire; the device doesn’t do both. You can have three such devices in existence at a time, and each falls apart 8 hours after its creation or when you dismantle it with a touch as a Utilize action.</x:t>
        </x:is>
      </x:c>
      <x:c r="C5" s="2" t="inlineStr">
        <x:is>
          <x:t xml:space="preserve">SRD 5.2.1</x:t>
        </x:is>
      </x:c>
      <x:c r="D5" s="2" t="inlineStr">
        <x:is>
          <x:t xml:space="preserve">pp. 83-86</x:t>
        </x:is>
      </x:c>
    </x:row>
    <x:row r="6" ht="18" customHeight="1">
      <x:c r="A6" s="2" t="inlineStr">
        <x:is>
          <x:t xml:space="preserve">Goliath</x:t>
        </x:is>
      </x:c>
      <x:c r="B6" s="2" t="inlineStr">
        <x:is>
          <x:t xml:space="preserve">Goliath Creature Type: Humanoid Size: Medium (about 7–8 feet tall) Speed: 35 feet As a Goliath, you have these special traits. Giant Ancestry. You are descended from Giants. Choose one of the following benefits—a supernatural boon from your ancestry; you can use the chosen benefit a number of times equal to your Proficiency Bonus, and you regain all expended uses when you finish a Long Rest: Cloud’s Jaunt (Cloud Giant). As a Bonus Action, you magically teleport up to 30 feet to an unoccupied space you can see. Fire’s Burn (Fire Giant). When you hit a target with an attack roll and deal damage to it, you can also deal 1d10 Fire damage to that target. Frost’s Chill (Frost Giant). When you hit a target with an attack roll and deal damage to it, you can also deal 1d6 Cold damage to that target and reduce its Speed by 10 feet until the start of your next turn. Hill’s Tumble (Hill Giant). When you hit a Large or smaller creature with an attack roll and deal damage to it, you can give that target the Prone condition. Stone’s Endurance (Stone Giant). When you take damage, you can take a Reaction to roll 1d12. Add your Constitution modifier to the number rolled and reduce the damage by that total. Elven Lineages Lineage Level 1 Level 3 Level 5 Drow The range of your Darkvision increases to 120 feet. ​ You also know the Dancing Lights cantrip. Faerie Fire Darkness High Elf You know the Prestidigitation cantrip. Whenever you finish a Long Rest, you can replace that cantrip with a different cantrip from the Wizard spell list. Detect Magic Misty Step Wood Elf Your Speed increases to 35 feet. You also know the Druidcraft cantrip. Longstrider Pass without Trace Storm’s Thunder (Storm Giant). When you take damage from a creature within 60 feet of you, you can take a Reaction to deal 1d</x:t>
        </x:is>
      </x:c>
      <x:c r="C6" s="2" t="inlineStr">
        <x:is>
          <x:t xml:space="preserve">SRD 5.2.1</x:t>
        </x:is>
      </x:c>
      <x:c r="D6" s="2" t="inlineStr">
        <x:is>
          <x:t xml:space="preserve">pp. 83-86</x:t>
        </x:is>
      </x:c>
    </x:row>
    <x:row r="7" ht="18" customHeight="1">
      <x:c r="A7" s="2" t="inlineStr">
        <x:is>
          <x:t xml:space="preserve">Halfling</x:t>
        </x:is>
      </x:c>
      <x:c r="B7" s="2" t="inlineStr">
        <x:is>
          <x:t xml:space="preserve">Halfling Creature Type:</x:t>
        </x:is>
      </x:c>
      <x:c r="C7" s="2" t="inlineStr">
        <x:is>
          <x:t xml:space="preserve">SRD 5.2.1</x:t>
        </x:is>
      </x:c>
      <x:c r="D7" s="2" t="inlineStr">
        <x:is>
          <x:t xml:space="preserve">pp. 83-86</x:t>
        </x:is>
      </x:c>
    </x:row>
    <x:row r="8" ht="18" customHeight="1">
      <x:c r="A8" s="2" t="inlineStr">
        <x:is>
          <x:t xml:space="preserve">Human</x:t>
        </x:is>
      </x:c>
      <x:c r="B8" s="2" t="inlineStr">
        <x:is>
          <x:t xml:space="preserve">Humanoid species appear in other books. Size Your character’s species determines the character’s size. Individuals within a species cover a wide range of heights, and some species include such diversity of size that you can choose whether your character is Small or Medium. Speed Your character’s species determines the character’s Speed. Special Traits Each species gives a character special traits— unique characteristics based on the species’ physiology or magical nature. When you choose a species, your character gets all the special traits listed for it. Some traits involve making a choice from a handful of options. Species Descriptions Dragonborn Creature Type: Humanoid Size: Medium (about 5–7 feet tall) Speed: 30 feet As a Dragonborn, you have these special traits. Draconic Ancestry. Your lineage stems from a dragon progenitor. Choose the kind of dragon from the Draconic Ancestors table. Your choice affects your Breath Weapon and Damage Resistance traits as well as your appearance. Draconic Ancestors Dragon Damage Type Dragon Damage Type Black Acid Gold Fire Blue Lightning Green Poison Brass Fire Red Fire Bronze Lightning Silver Cold Copper Acid White Cold Breath Weapon. When you take the Attack action on your turn, you can replace one of your attacks with an exhalation of magical energy in either a 15-foot Cone or a 30-foot Line that is 5 feet wide (choose the shape each time). Each creature in that area must make a Dexterity saving throw (DC 8 plus your Constitution modifier and Proficiency Bonus). On a failed save, a creature takes 1d10 damage of the type determined by your Draconic Ancestry trait. On a successful save, a creature takes half as much damage. This damage increases by 1d10 when you reach character levels 5 (2d10), 11 (3d10), and 17 (4d10). You can use</x:t>
        </x:is>
      </x:c>
      <x:c r="C8" s="2" t="inlineStr">
        <x:is>
          <x:t xml:space="preserve">SRD 5.2.1</x:t>
        </x:is>
      </x:c>
      <x:c r="D8" s="2" t="inlineStr">
        <x:is>
          <x:t xml:space="preserve">pp. 83-86</x:t>
        </x:is>
      </x:c>
    </x:row>
    <x:row r="9" ht="18" customHeight="1">
      <x:c r="A9" s="2" t="inlineStr">
        <x:is>
          <x:t xml:space="preserve">Orc</x:t>
        </x:is>
      </x:c>
      <x:c r="B9" s="2" t="inlineStr">
        <x:is>
          <x:t xml:space="preserve">Orc Creature Type: Humanoid Size: Medium (about 6–7 feet tall) Speed: 30 feet As an Orc, you have these special traits. Adrenaline Rush. You can take the Dash action as a Bonus Action. When you do so, you gain a number of Temporary Hit Points equal to your Proficiency Bonus. You can use this trait a number of times equal to your Proficiency Bonus, and you regain all expended uses when you finish a Short or Long Rest. Darkvision. You have Darkvision with a range of 120 feet. Relentless Endurance. When you are reduced to 0 Hit Points but not killed outright, you can drop to 1 Hit Point instead. Once you use this trait, you can’t do so again until you finish a Long Rest.</x:t>
        </x:is>
      </x:c>
      <x:c r="C9" s="2" t="inlineStr">
        <x:is>
          <x:t xml:space="preserve">SRD 5.2.1</x:t>
        </x:is>
      </x:c>
      <x:c r="D9" s="2" t="inlineStr">
        <x:is>
          <x:t xml:space="preserve">pp. 83-86</x:t>
        </x:is>
      </x:c>
    </x:row>
    <x:row r="10" ht="18" customHeight="1">
      <x:c r="A10" s="2" t="inlineStr">
        <x:is>
          <x:t xml:space="preserve">Tiefling</x:t>
        </x:is>
      </x:c>
      <x:c r="B10" s="2" t="inlineStr">
        <x:is>
          <x:t xml:space="preserve">Tiefling Creature Type: Humanoid Size: Medium (about 4–7 feet tall) or Small (about 3–4 feet tall), chosen when you select this species Speed: 30 feet As a Tiefling, you have the following special traits. Darkvision. You have Darkvision with a range of 60 feet. Fiendish Legacy. You are the recipient of a legacy that grants you supernatural abilities. Choose a legacy from the Fiendish Legacies table. You gain the level 1 benefit of the chosen legacy. When you reach character levels 3 and 5, you learn a higher-level spell, as shown on the table. You always have that spell prepared. You can cast it once without a spell slot, and you regain the ability to cast it in that way when you finish a Long Rest. You can also cast the spell using any spell slots you have of the appropriate level. Intelligence, Wisdom, or Charisma is your spellcasting ability for the spells you cast with this trait (choose the ability when you select the legacy). Otherworldly Presence. You know the Thaumaturgy cantrip. When you cast it with this trait, the spell uses the same spellcasting ability you use for your Fiendish Legacy trait. Fiendish Legacies Legacy Level 1 Level 3 Level 5 Abyssal You have Resistance to Poison damage. You also know the Poison Spray cantrip. Ray of Sickness Hold Person Chthonic You have Resistance to Necrotic damage. You also know the Chill Touch cantrip. False Life Ray of Enfeeblement Infernal You have Resistance to Fire damage. You also know the Fire Bolt cantrip. Hellish Rebuke Darkness</x:t>
        </x:is>
      </x:c>
      <x:c r="C10" s="2" t="inlineStr">
        <x:is>
          <x:t xml:space="preserve">SRD 5.2.1</x:t>
        </x:is>
      </x:c>
      <x:c r="D10" s="2" t="inlineStr">
        <x:is>
          <x:t xml:space="preserve">pp. 83-86</x:t>
        </x:is>
      </x:c>
    </x:row>
  </x:sheetData>
  <x:pageMargins left="0.7" right="0.7" top="0.75" bottom="0.75" header="0.3" footer="0.3"/>
</x:worksheet>
</file>

<file path=xl/worksheets/sheet19.xml><?xml version="1.0" encoding="utf-8"?>
<x:worksheet xmlns:x="http://schemas.openxmlformats.org/spreadsheetml/2006/main">
  <x:sheetViews>
    <x:sheetView showGridLines="1" workbookViewId="0"/>
  </x:sheetViews>
  <x:sheetFormatPr baseColWidth="8" defaultRowHeight="15"/>
  <x:cols>
    <x:col min="1" max="1" width="12" customWidth="1"/>
    <x:col min="2" max="2" width="45" customWidth="1"/>
    <x:col min="3" max="3" width="11" customWidth="1"/>
    <x:col min="4" max="4" width="10" customWidth="1"/>
  </x:cols>
  <x:sheetData>
    <x:row r="1" ht="18" customHeight="1">
      <x:c r="A1" s="5" t="inlineStr">
        <x:is>
          <x:t xml:space="preserve">Background</x:t>
        </x:is>
      </x:c>
      <x:c r="B1" s="9" t="inlineStr">
        <x:is>
          <x:t xml:space="preserve">Summary</x:t>
        </x:is>
      </x:c>
      <x:c r="C1" s="9" t="inlineStr">
        <x:is>
          <x:t xml:space="preserve">Source</x:t>
        </x:is>
      </x:c>
      <x:c r="D1" s="9" t="inlineStr">
        <x:is>
          <x:t xml:space="preserve">Page Ref</x:t>
        </x:is>
      </x:c>
    </x:row>
    <x:row r="2" ht="18" customHeight="1">
      <x:c r="A2" s="2" t="inlineStr">
        <x:is>
          <x:t xml:space="preserve">Acolyte</x:t>
        </x:is>
      </x:c>
      <x:c r="B2" s="2" t="inlineStr">
        <x:is>
          <x:t xml:space="preserve">Acolyte Ability Scores: Intelligence, Wisdom, Charisma Feat: Magic Initiate (Cleric) (see “Feats”) Skill Proficiencies: Insight and Religion Tool Proficiency: Calligrapher’s Supplies Equipment: Choose A or B: (A) Calligrapher’s Supplies, Book (prayers), Holy Symbol, Parchment (10 sheets), Robe, 8 GP; or (B) 50 GP</x:t>
        </x:is>
      </x:c>
      <x:c r="C2" s="2" t="inlineStr">
        <x:is>
          <x:t xml:space="preserve">SRD 5.2.1</x:t>
        </x:is>
      </x:c>
      <x:c r="D2" s="2" t="inlineStr">
        <x:is>
          <x:t xml:space="preserve">p. 83</x:t>
        </x:is>
      </x:c>
    </x:row>
    <x:row r="3" ht="18" customHeight="1">
      <x:c r="A3" s="2" t="inlineStr">
        <x:is>
          <x:t xml:space="preserve">Criminal</x:t>
        </x:is>
      </x:c>
      <x:c r="B3" s="2" t="inlineStr">
        <x:is>
          <x:t xml:space="preserve">Criminal Ability Scores: Dexterity, Constitution, Intelligence Feat: Alert (see “Feats”) Skill Proficiencies: Sleight of Hand and Stealth Tool Proficiency: Thieves’ Tools Equipment: Choose A or B: (A) 2 Daggers, Thieves’ Tools, Crowbar, 2 Pouches, Traveler’s Clothes, 16 GP; or (B) 50 GP</x:t>
        </x:is>
      </x:c>
      <x:c r="C3" s="2" t="inlineStr">
        <x:is>
          <x:t xml:space="preserve">SRD 5.2.1</x:t>
        </x:is>
      </x:c>
      <x:c r="D3" s="2" t="inlineStr">
        <x:is>
          <x:t xml:space="preserve">p. 83</x:t>
        </x:is>
      </x:c>
    </x:row>
    <x:row r="4" ht="18" customHeight="1">
      <x:c r="A4" s="2" t="inlineStr">
        <x:is>
          <x:t xml:space="preserve">Sage</x:t>
        </x:is>
      </x:c>
      <x:c r="B4" s="2" t="inlineStr">
        <x:is>
          <x:t xml:space="preserve">Sage Ability Scores: Constitution, Intelligence, Wisdom Feat: Magic Initiate (Wizard) (see “Feats”) Skill Proficiencies: Arcana and History Tool Proficiency: Calligrapher’s Supplies Equipment: Choose A or B: (A) Quarterstaff, Calligrapher’s Supplies, Book (history), Parchment (8 sheets), Robe, 8 GP; or (B) 50 GP</x:t>
        </x:is>
      </x:c>
      <x:c r="C4" s="2" t="inlineStr">
        <x:is>
          <x:t xml:space="preserve">SRD 5.2.1</x:t>
        </x:is>
      </x:c>
      <x:c r="D4" s="2" t="inlineStr">
        <x:is>
          <x:t xml:space="preserve">p. 83</x:t>
        </x:is>
      </x:c>
    </x:row>
    <x:row r="5" ht="18" customHeight="1">
      <x:c r="A5" s="2" t="inlineStr">
        <x:is>
          <x:t xml:space="preserve">Soldier</x:t>
        </x:is>
      </x:c>
      <x:c r="B5" s="2" t="inlineStr">
        <x:is>
          <x:t xml:space="preserve">Soldier Ability Scores: Strength, Dexterity, Constitution Feat: Savage Attacker (see “Feats”) Skill Proficiencies: Athletics and Intimidation Tool Proficiency: Choose one kind of Gaming Set (see “Equipment”) Equipment: Choose A or B: (A) Spear, Shortbow, 20 Arrows, Gaming Set (same as above), Healer’s Kit, Quiver, Traveler’s Clothes, 14 GP; or (B) 50 GP Character Species When you choose your character’s species, you determine whether your character is a human or a member of a fantastical species, such as dragonborn or gnome. The peoples of the multiverse hail from different worlds and include many kinds of sapient life forms. A player character’s species is the set of game traits that an adventurer gains from being one of those life forms. Some species can trace their origin to a single world, plane of existence, or god, while other species first appeared in multiple realms at once. Whatever a species’ genesis, its members have spread across the multiverse and contribute to many different cultures. Members of most species live for about 80 years, with exceptions noted in the text about the species in “Character Origins.” Regardless of life span, members of all species reach physical maturity at about the same age. Your character can be any age that isn’t beyond their species’ normal life span. Parts of a Species A species includes the following parts. Creature Type A character’s species determines the character’s creature type, which is described in “Rules Glossary.” Every species in “Character Origins” is Humanoid; playable non-Humanoid species appear in other books. Size </x:t>
        </x:is>
      </x:c>
      <x:c r="C5" s="2" t="inlineStr">
        <x:is>
          <x:t xml:space="preserve">SRD 5.2.1</x:t>
        </x:is>
      </x:c>
      <x:c r="D5" s="2" t="inlineStr">
        <x:is>
          <x:t xml:space="preserve">p. 83</x:t>
        </x:is>
      </x:c>
    </x:row>
  </x:sheetData>
  <x:pageMargins left="0.7" right="0.7" top="0.75" bottom="0.75" header="0.3" footer="0.3"/>
</x:worksheet>
</file>

<file path=xl/worksheets/sheet20.xml><?xml version="1.0" encoding="utf-8"?>
<x:worksheet xmlns:x="http://schemas.openxmlformats.org/spreadsheetml/2006/main">
  <x:sheetViews>
    <x:sheetView showGridLines="1" workbookViewId="0"/>
  </x:sheetViews>
  <x:sheetFormatPr baseColWidth="8" defaultRowHeight="15"/>
  <x:cols>
    <x:col min="1" max="1" width="11" customWidth="1"/>
    <x:col min="2" max="2" width="23" customWidth="1"/>
    <x:col min="3" max="3" width="25" customWidth="1"/>
    <x:col min="4" max="4" width="28" customWidth="1"/>
    <x:col min="5" max="5" width="45" customWidth="1"/>
    <x:col min="6" max="6" width="45" customWidth="1"/>
    <x:col min="7" max="7" width="44" customWidth="1"/>
    <x:col min="8" max="8" width="45" customWidth="1"/>
    <x:col min="9" max="9" width="11" customWidth="1"/>
    <x:col min="10" max="10" width="11" customWidth="1"/>
  </x:cols>
  <x:sheetData>
    <x:row r="1" ht="18" customHeight="1">
      <x:c r="A1" s="5" t="inlineStr">
        <x:is>
          <x:t xml:space="preserve">Class</x:t>
        </x:is>
      </x:c>
      <x:c r="B1" s="9" t="inlineStr">
        <x:is>
          <x:t xml:space="preserve">Primary Ability</x:t>
        </x:is>
      </x:c>
      <x:c r="C1" s="9" t="inlineStr">
        <x:is>
          <x:t xml:space="preserve">Hit Die</x:t>
        </x:is>
      </x:c>
      <x:c r="D1" s="9" t="inlineStr">
        <x:is>
          <x:t xml:space="preserve">Saving Throws</x:t>
        </x:is>
      </x:c>
      <x:c r="E1" s="9" t="inlineStr">
        <x:is>
          <x:t xml:space="preserve">Skill Proficiencies</x:t>
        </x:is>
      </x:c>
      <x:c r="F1" s="9" t="inlineStr">
        <x:is>
          <x:t xml:space="preserve">Weapon Proficiencies</x:t>
        </x:is>
      </x:c>
      <x:c r="G1" s="9" t="inlineStr">
        <x:is>
          <x:t xml:space="preserve">Armor Training</x:t>
        </x:is>
      </x:c>
      <x:c r="H1" s="9" t="inlineStr">
        <x:is>
          <x:t xml:space="preserve">Feature Summary</x:t>
        </x:is>
      </x:c>
      <x:c r="I1" s="9" t="inlineStr">
        <x:is>
          <x:t xml:space="preserve">Source</x:t>
        </x:is>
      </x:c>
      <x:c r="J1" s="9" t="inlineStr">
        <x:is>
          <x:t xml:space="preserve">Page Ref</x:t>
        </x:is>
      </x:c>
    </x:row>
    <x:row r="2" ht="18" customHeight="1">
      <x:c r="A2" s="2" t="inlineStr">
        <x:is>
          <x:t xml:space="preserve">Barbarian</x:t>
        </x:is>
      </x:c>
      <x:c r="B2" s="2" t="inlineStr">
        <x:is>
          <x:t xml:space="preserve">Strength</x:t>
        </x:is>
      </x:c>
      <x:c r="C2" s="2" t="inlineStr">
        <x:is>
          <x:t xml:space="preserve">D12 per Barbarian level</x:t>
        </x:is>
      </x:c>
      <x:c r="D2" s="2" t="inlineStr">
        <x:is>
          <x:t xml:space="preserve">Strength and Constitution</x:t>
        </x:is>
      </x:c>
      <x:c r="E2" s="2" t="inlineStr">
        <x:is>
          <x:t xml:space="preserve">Choose 2: Animal Handling, Athletics, Intimidation, Nature, Perception, or Survival</x:t>
        </x:is>
      </x:c>
      <x:c r="F2" s="2" t="inlineStr">
        <x:is>
          <x:t xml:space="preserve">Simple and Martial weapons</x:t>
        </x:is>
      </x:c>
      <x:c r="G2" s="2" t="inlineStr">
        <x:is>
          <x:t xml:space="preserve">Light and Medium armor and Shields</x:t>
        </x:is>
      </x:c>
      <x:c r="H2" s="2" t="inlineStr">
        <x:is>
          <x:t xml:space="preserve">Barbarian Core Barbarian Traits Primary Ability Strength Hit Point Die D12 per Barbarian level Saving Throw Proficiencies Strength and Constitution Skill Proficiencies Choose 2: Animal Handling, Athletics, Intimidation, Nature, Perception, or Survival Weapon Proficiencies Simple and Martial weapons Armor Training Light and Medium armor and Shields Starting Equipment Choose A or B: (A) Greataxe, 4 Handaxes, Explorer’s Pack, and 15 GP; or (B) 75 GP Becoming a Barbarian … As a Level 1 Character • Gain all the traits in the Core Barbarian Traits table. • Gain the Barbarian’s level 1 features, which are listed in the Barbarian Features table. As a Multiclass Character • Gain the following traits from the Core Barbarian Traits table: Hit Point Die, proficiency with Martial weapons, and training with Shields. • Gain the Barbarian’s level 1 features, which are listed in the Barbarian Features table. Barbarian Class Features As a Barbarian, you gain the following class features when you reach the specified Barbarian levels. These features are listed in the Barbarian Features table. Level 1: Rage You can imbue yourself with a primal power called Rage, a force that grants you extraordinary might and resilience. You can enter it as a Bonus Action if you aren’t wearing Heavy armor. You can enter your Rage the number of times shown for your Barbarian level in the Rages column of the Barbarian Features table. You regain one expended use when you finish a Short Rest, and you regain all expended uses when you finish a Long Rest. Barbarian Features Level Proficiency Bonus Class Features Rages Rage Damage Weapon Mastery 1 +2 Rage, Unarmored Defense, Weapon Mastery 2 +2 2 2 +2 Danger Sense, Reckless Attack 2 +2 2 3 +2 Barbarian Subclass, Primal Knowledge 3 +2 2 4 +2 Ability Score Improvement 3 +2 3 5 +3 Extra Attack, Fast Movement 3 +2 3 6 +3 Subclass feature 4 +2 3 7 +3 Feral Instinct, Instinctive Pounce 4 +2 3 8 +3 Ability Score Improvement 4 +2 3 9 +4 Brutal Strike 4 +3 3 10 +4 Subclass feature 4 +3 4 11 +4 Relentless Rage 4 +3 4 12 +4 Ability Score Improvement 5 +3 4 13 +5 Improved Brutal Strike 5 +3 4 14 +5 Subclass feature 5 +3 4 15 +5 Persistent Rage 5 +3 4 16 +5 Ability Sco</x:t>
        </x:is>
      </x:c>
      <x:c r="I2" s="2" t="inlineStr">
        <x:is>
          <x:t xml:space="preserve">SRD 5.2.1</x:t>
        </x:is>
      </x:c>
      <x:c r="J2" s="2" t="inlineStr">
        <x:is>
          <x:t xml:space="preserve">pp. 28-82</x:t>
        </x:is>
      </x:c>
    </x:row>
    <x:row r="3" ht="18" customHeight="1">
      <x:c r="A3" s="2" t="inlineStr">
        <x:is>
          <x:t xml:space="preserve">Bard</x:t>
        </x:is>
      </x:c>
      <x:c r="B3" s="2" t="inlineStr">
        <x:is>
          <x:t xml:space="preserve">Charisma</x:t>
        </x:is>
      </x:c>
      <x:c r="C3" s="2" t="inlineStr">
        <x:is>
          <x:t xml:space="preserve">D8 per Bard level</x:t>
        </x:is>
      </x:c>
      <x:c r="D3" s="2" t="inlineStr">
        <x:is>
          <x:t xml:space="preserve">Dexterity and Charisma</x:t>
        </x:is>
      </x:c>
      <x:c r="E3" s="2" t="inlineStr">
        <x:is>
          <x:t xml:space="preserve">Choose any 3 skills (see “Playing the Game”)</x:t>
        </x:is>
      </x:c>
      <x:c r="F3" s="2" t="inlineStr">
        <x:is>
          <x:t xml:space="preserve">Simple weapons Tool Proficiencies Choose 3 Musical Instruments (see “Equipment”)</x:t>
        </x:is>
      </x:c>
      <x:c r="G3" s="2" t="inlineStr">
        <x:is>
          <x:t xml:space="preserve">Light armor</x:t>
        </x:is>
      </x:c>
      <x:c r="H3" s="2" t="inlineStr">
        <x:is>
          <x:t xml:space="preserve">Bard Core Bard Traits Primary Ability Charisma Hit Point Die D8 per Bard level Saving Throw Proficiencies Dexterity and Charisma Skill Proficiencies Choose any 3 skills (see “Playing the Game”) Weapon Proficiencies Simple weapons Tool Proficiencies Choose 3 Musical Instruments (see “Equipment”) Armor Training Light armor Starting Equipment Choose A or B: (A) Leather Armor, 2 Daggers, Musical Instrument of your choice, Entertainer’s Pack, and 19 GP; or (B) 90 GP Becoming a Bard … As a Level 1 Character • Gain all the traits in the Core Bard Traits table. • Gain the Bard’s level 1 features, which are listed in the Bard Features table. As a Multiclass Character • Gain the following traits from the Core Bard Traits table: Hit Point Die, proficiency in one skill of your choice, proficiency with one Musical Instrument of your choice, and training with Light armor. • Gain the Bard’s level 1 features, which are listed in the Bard Features table. See the multiclassing rules in “Character Creation” to determine your available spell slots. Bard Class Features As a Bard, you gain the following class features when you reach the specified Bard levels. These features are listed in the Bard Features table. Level 1: Bardic Inspiration You can supernaturally inspire others through words, music, or dance. This inspiration is represented by your Bardic Inspiration die, which is a d6. Using Bardic Inspiration. As a Bonus Action, you can inspire another creature within 60 feet of yourself who can see or hear you. That creature gains Bard Features Proficiency Bonus Bardic Die Prepared Spells ——Spell Slots per Spell Level—— Level Class Features Cantrips 1 2 3 4 5 6 7 8 9 1 +2 Bardic Inspiration, Spellcasting D6 2 4 2 — — — — — — — — 2 +2 Expertise, Jack of All Trades D6 2 5 3 — — — — — — — — 3 +2 Bard Subclass D6 2 6 4 2 — — — — — — — 4 +2 Ability Score Improvement D6 3 7 4 3 — — — — — — — 5 +3 Font of Inspiration D8 3 9 4 3 2 — — — — — — 6 +3 Subclass feature D8 3 10 4 3 3 — — — — — — 7 +3 Countercharm D8 3 11 4 3 3 1 — — — — — 8 +3 Ability Score Improvement D8 3 12 4 3 3 2 — — — — — 9 +4 Expertise D8 3 14 4 3 3 3 1 — — — — 10 +4 Magical Secrets D10 4 15 4 3 3 3 2 — — — — 11 +4 — D10 </x:t>
        </x:is>
      </x:c>
      <x:c r="I3" s="2" t="inlineStr">
        <x:is>
          <x:t xml:space="preserve">SRD 5.2.1</x:t>
        </x:is>
      </x:c>
      <x:c r="J3" s="2" t="inlineStr">
        <x:is>
          <x:t xml:space="preserve">pp. 28-82</x:t>
        </x:is>
      </x:c>
    </x:row>
    <x:row r="4" ht="18" customHeight="1">
      <x:c r="A4" s="2" t="inlineStr">
        <x:is>
          <x:t xml:space="preserve">Cleric</x:t>
        </x:is>
      </x:c>
      <x:c r="B4" s="2" t="inlineStr">
        <x:is>
          <x:t xml:space="preserve">Wisdom</x:t>
        </x:is>
      </x:c>
      <x:c r="C4" s="2" t="inlineStr">
        <x:is>
          <x:t xml:space="preserve">D8 per Cleric level</x:t>
        </x:is>
      </x:c>
      <x:c r="D4" s="2" t="inlineStr">
        <x:is>
          <x:t xml:space="preserve">Wisdom and Charisma</x:t>
        </x:is>
      </x:c>
      <x:c r="E4" s="2" t="inlineStr">
        <x:is>
          <x:t xml:space="preserve">Choose 2: History, Insight, Medicine, Persuasion, or Religion</x:t>
        </x:is>
      </x:c>
      <x:c r="F4" s="2" t="inlineStr">
        <x:is>
          <x:t xml:space="preserve">Simple weapons</x:t>
        </x:is>
      </x:c>
      <x:c r="G4" s="2" t="inlineStr">
        <x:is>
          <x:t xml:space="preserve">Light and Medium armor and Shields</x:t>
        </x:is>
      </x:c>
      <x:c r="H4" s="2" t="inlineStr">
        <x:is>
          <x:t xml:space="preserve">Cleric Core Cleric Traits Primary Ability Wisdom Hit Point Die D8 per Cleric level Saving Throw Proficiencies Wisdom and Charisma Skill Proficiencies Choose 2: History, Insight, Medicine, Persuasion, or Religion Weapon Proficiencies Simple weapons Armor Training Light and Medium armor and Shields Starting Equipment Choose A or B: (A) Chain Shirt, Shield, Mace, Holy Symbol, Priest’s Pack, and 7 GP; or (B) 110 GP Becoming a Cleric … As a Level 1 Character • Gain all the traits in the Core Cleric Traits table. • Gain the Cleric’s level 1 features, which are listed in the Cleric Features table. As a Multiclass Character • Gain the following traits from the Core Cleric Traits table: Hit Point Die and training with Light and Medium armor and Shields. • Gain the Cleric’s level 1 features, which are listed in the Cleric Features table. See the multiclassing rules in “Character Creation” to determine your available spell slots. Cleric Class Features As a Cleric, you gain the following class features when you reach the specified Cleric levels. These features are listed in the Cleric Features table. Level 1: Spellcasting You have learned to cast spells through prayer and meditation. See “Spells” for the rules on spellcasting. The information below details how you use those rules with Cleric spells, which appear on the Cleric spell list later in the class’s description. Cantrips. You know three cantrips of your choice from the Cleric spell list. Guidance, Sacred Flame, and Thaumaturgy are recommended. Whenever you gain a Cleric level, you can replace one of your cantrips with another cantrip of your choice from the Cleric spell list. Cleric Features Proficiency Bonus Channel Divinity Prepared Spells ——Spell Slots per Spell Level—— Level Class Features Cantrips 1 2 3 4 5 6 7 8 9 1 +2 Spellcasting, Divine Order — 3 4 2 — — — — — — — — 2 +2 Channel Divinity 2 3 5 3 — — — — — — — — 3 +2 Cleric Subclass 2 3 6 4 2 — — — — — — — 4 +2 Ability Score Improvement 2 4 7 4 3 — — — — — — — 5 +3 Sear Undead 2 4 9 4 3 2 — — — — — — 6 +3 Subclass feature 3 4 10 4 3 3 — — — — — — 7 +3 Blessed Strikes 3 4 11 4 3 3 1 — — — — — 8 +3 Ability Score Improvement 3 4 12 4 3 3 2 — — — — — 9 +4 — 3 4 </x:t>
        </x:is>
      </x:c>
      <x:c r="I4" s="2" t="inlineStr">
        <x:is>
          <x:t xml:space="preserve">SRD 5.2.1</x:t>
        </x:is>
      </x:c>
      <x:c r="J4" s="2" t="inlineStr">
        <x:is>
          <x:t xml:space="preserve">pp. 28-82</x:t>
        </x:is>
      </x:c>
    </x:row>
    <x:row r="5" ht="18" customHeight="1">
      <x:c r="A5" s="2" t="inlineStr">
        <x:is>
          <x:t xml:space="preserve">Druid</x:t>
        </x:is>
      </x:c>
      <x:c r="B5" s="2" t="inlineStr">
        <x:is>
          <x:t xml:space="preserve">Wisdom</x:t>
        </x:is>
      </x:c>
      <x:c r="C5" s="2" t="inlineStr">
        <x:is>
          <x:t xml:space="preserve">D8 per Druid level</x:t>
        </x:is>
      </x:c>
      <x:c r="D5" s="2" t="inlineStr">
        <x:is>
          <x:t xml:space="preserve">Intelligence and Wisdom</x:t>
        </x:is>
      </x:c>
      <x:c r="E5" s="2" t="inlineStr">
        <x:is>
          <x:t xml:space="preserve">Choose 2: Animal Handling, Arcana, Insight, Medicine, Nature, Perception, Religion, or Survival</x:t>
        </x:is>
      </x:c>
      <x:c r="F5" s="2" t="inlineStr">
        <x:is>
          <x:t xml:space="preserve">Simple weapons Tool Proficiencies Herbalism Kit</x:t>
        </x:is>
      </x:c>
      <x:c r="G5" s="2" t="inlineStr">
        <x:is>
          <x:t xml:space="preserve">Light armor and Shields</x:t>
        </x:is>
      </x:c>
      <x:c r="H5" s="2" t="inlineStr">
        <x:is>
          <x:t xml:space="preserve">Druid Core Druid Traits Primary Ability Wisdom Hit Point Die D8 per Druid level Saving Throw Proficiencies Intelligence and Wisdom Skill Proficiencies Choose 2: Animal Handling, Arcana, Insight, Medicine, Nature, Perception, Religion, or Survival Weapon Proficiencies Simple weapons Tool Proficiencies Herbalism Kit Armor Training Light armor and Shields Starting Equipment Choose A or B: (A) Leather Armor, Shield, Sickle, Druidic Focus (Quarterstaff), Explorer’s Pack, Herbalism Kit, and 9 GP; or (B) 50 GP Becoming a Druid … As a Level 1 Character • Gain all the traits in the Core Druid Traits table. • Gain the Druid’s level 1 features, which are listed in the Druid Features table. As a Multiclass Character • Gain the following traits from the Core Druid Traits table: Hit Point Die and training with Light armor and Shields. • Gain the Druid’s level 1 features, which are listed in the Druid Features table. See the multiclassing rules in “Character Creation” to determine your available spell slots. Druid Class Features As a Druid, you gain the following class features when you reach the specified Druid levels. These features are listed in the Druid Features table. Level 1: Spellcasting You have learned to cast spells through studying the mystical forces of nature. See “Spells” for the rules on spellcasting. The information below details Druid Features Proficiency Bonus Wild Shape Prepared Spells ——Spell Slots per Spell Level—— Level Class Features Cantrips 1 2 3 4 5 6 7 8 9 1 +2 Spellcasting, Druidic, Primal Order — 2 4 2 — — — — — — — — 2 +2 Wild Shape, Wild Companion 2 2 5 3 — — — — — — — — 3 +2 Druid Subclass 2 2 6 4 2 — — — — — — — 4 +2 Ability Score Improvement 2 3 7 4 3 — — — — — — — 5 +3 Wild Resurgence 2 3 9 4 3 2 — — — — — — 6 +3 Subclass feature 3 3 10 4 3 3 — — — — — — 7 +3 Elemental Fury 3 3 11 4 3 3 1 — — — — — 8 +3 Ability Score Improvement 3 3 12 4 3 3 2 — — — — — 9 +4 — 3 3 14 4 3 3 3 1 — — — — 10 +4 Subclass feature 3 4 15 4 3 3 3 2 — — — — 11 +4 — 3 4 16 4 3 3 3 2 1 — — — 12 +4 Ability Score Improvement 3 4 16 4 3 3 3 2 1 — — — 13 +5 — 3 4 17 4 3 3 3 2 1 1 — — 14 +5 Subclass feature 3 4 17 4 3 3 3 2 1 1 — — 15 +5 Improved Elemental Fury 3 4 18 4 3 3</x:t>
        </x:is>
      </x:c>
      <x:c r="I5" s="2" t="inlineStr">
        <x:is>
          <x:t xml:space="preserve">SRD 5.2.1</x:t>
        </x:is>
      </x:c>
      <x:c r="J5" s="2" t="inlineStr">
        <x:is>
          <x:t xml:space="preserve">pp. 28-82</x:t>
        </x:is>
      </x:c>
    </x:row>
    <x:row r="6" ht="18" customHeight="1">
      <x:c r="A6" s="2" t="inlineStr">
        <x:is>
          <x:t xml:space="preserve">Fighter</x:t>
        </x:is>
      </x:c>
      <x:c r="B6" s="2" t="inlineStr">
        <x:is>
          <x:t xml:space="preserve">Strength or Dexterity</x:t>
        </x:is>
      </x:c>
      <x:c r="C6" s="2" t="inlineStr">
        <x:is>
          <x:t xml:space="preserve">D10 per Fighter level</x:t>
        </x:is>
      </x:c>
      <x:c r="D6" s="2" t="inlineStr">
        <x:is>
          <x:t xml:space="preserve">Strength and Constitution</x:t>
        </x:is>
      </x:c>
      <x:c r="E6" s="2" t="inlineStr">
        <x:is>
          <x:t xml:space="preserve">Choose 2: Acrobatics, Animal Handling, Athletics, History, Insight, Intimidation, Persuasion, Perception, or Survival</x:t>
        </x:is>
      </x:c>
      <x:c r="F6" s="2" t="inlineStr">
        <x:is>
          <x:t xml:space="preserve">Simple and Martial weapons</x:t>
        </x:is>
      </x:c>
      <x:c r="G6" s="2" t="inlineStr">
        <x:is>
          <x:t xml:space="preserve">Light, Medium, and Heavy armor and Shields</x:t>
        </x:is>
      </x:c>
      <x:c r="H6" s="2" t="inlineStr">
        <x:is>
          <x:t xml:space="preserve">Fighter Core Fighter Traits Primary Ability Strength or Dexterity Hit Point Die D10 per Fighter level Saving Throw Proficiencies Strength and Constitution Skill Proficiencies Choose 2: Acrobatics, Animal Handling, Athletics, History, Insight, Intimidation, Persuasion, Perception, or Survival Weapon Proficiencies Simple and Martial weapons Armor Training Light, Medium, and Heavy armor and Shields Starting Equipment Choose A, B, or C: (A) Chain Mail, Greatsword, Flail, 8 Javelins, Dungeoneer’s Pack, and 4 GP; (B) Studded Leather Armor, Scimitar, Shortsword, Longbow, 20 Arrows, Quiver, Dungeoneer’s Pack, and 11 GP; or (C) 155 GP Becoming a Fighter … As a Level 1 Character • Gain all the traits in the Core Fighter Traits table. • Gain the Fighter’s level 1 features, which are listed in the Fighter Features table. As a Multiclass Character • Gain the following traits from the Core Fighter Traits table: Hit Point Die, proficiency with Martial weapons, and training with Light and Medium armor and Shields. • Gain the Fighter’s level 1 features, which are listed in the Fighter Features table. Fighter Class Features As a Fighter, you gain the following class features when you reach the specified Fighter levels. These features are listed on the Fighter Features table. Level 1: Fighting Style You have honed your martial prowess and gain a Fighting Style feat of your choice (see “Feats”). Defense is recommended. Whenever you gain a Fighter level, you can replace the feat you chose with a different Fighting Style feat. Fighter Features Level Proficiency Bonus Class Features Second Wind Weapon Mastery 1 +2 Fighting Style, Second Wind, Weapon Mastery 2 3 2 +2 Action Surge (one use), Tactical Mind 2 3 3 +2 Fighter Subclass 2 3 4 +2 Ability Score Improvement 3 4 5 +3 Extra Attack, Tactical Shift 3 4 6 +3 Ability Score Improvement 3 4 7 +3 Subclass feature 3 4 8 +3 Ability Score Improvement 3 4 9 +4 Indomitable (one use), Tactical Master 3 4 10 +4 Subclass feature 4 5 11 +4 Two Extra Attacks 4 5 12 +4 Ability Score Improvement 4 5 13 +5 Indomitable (two uses), Studied Attacks 4 5 14 +5 Ability Score Improvement 4 5 15 +5 Subclass feature 4 5 16 +5 Ability Score Improvement 4 6 17 </x:t>
        </x:is>
      </x:c>
      <x:c r="I6" s="2" t="inlineStr">
        <x:is>
          <x:t xml:space="preserve">SRD 5.2.1</x:t>
        </x:is>
      </x:c>
      <x:c r="J6" s="2" t="inlineStr">
        <x:is>
          <x:t xml:space="preserve">pp. 28-82</x:t>
        </x:is>
      </x:c>
    </x:row>
    <x:row r="7" ht="18" customHeight="1">
      <x:c r="A7" s="2" t="inlineStr">
        <x:is>
          <x:t xml:space="preserve">Monk</x:t>
        </x:is>
      </x:c>
      <x:c r="B7" s="2" t="inlineStr">
        <x:is>
          <x:t xml:space="preserve">Dexterity and Wisdom</x:t>
        </x:is>
      </x:c>
      <x:c r="C7" s="2" t="inlineStr">
        <x:is>
          <x:t xml:space="preserve">D8 per Monk level</x:t>
        </x:is>
      </x:c>
      <x:c r="D7" s="2" t="inlineStr">
        <x:is>
          <x:t xml:space="preserve">Strength and Dexterity</x:t>
        </x:is>
      </x:c>
      <x:c r="E7" s="2" t="inlineStr">
        <x:is>
          <x:t xml:space="preserve">Choose 2: Acrobatics, Athletics, History, Insight, Religion, or Stealth</x:t>
        </x:is>
      </x:c>
      <x:c r="F7" s="2" t="inlineStr">
        <x:is>
          <x:t xml:space="preserve">Simple weapons and Martial weapons that have the Light property Tool Proficiencies Choose one type of Artisan’s Tools or Musical Instrument (see “Equipment”)</x:t>
        </x:is>
      </x:c>
      <x:c r="G7" s="2" t="inlineStr">
        <x:is>
          <x:t xml:space="preserve">None</x:t>
        </x:is>
      </x:c>
      <x:c r="H7" s="2" t="inlineStr">
        <x:is>
          <x:t xml:space="preserve">Monk Core Monk Traits Primary Ability Dexterity and Wisdom Hit Point Die D8 per Monk level Saving Throw Proficiencies Strength and Dexterity Skill Proficiencies Choose 2: Acrobatics, Athletics, History, Insight, Religion, or Stealth Weapon Proficiencies Simple weapons and Martial weapons that have the Light property Tool Proficiencies Choose one type of Artisan’s Tools or Musical Instrument (see “Equipment”) Armor Training None Starting Equipment Choose A or B: (A) Spear, 5 Daggers, Artisan’s Tools or Musical Instrument chosen for the tool proficiency above, Explorer’s Pack, and 11 GP; or (B) 50 GP Becoming a Monk … As a Level 1 Character • Gain all the traits in the Core Monk Traits table. • Gain the Monk’s level 1 features, which are listed in the Monk Features table. As a Multiclass Character • Gain the Hit Point Die trait from the Core Monk Traits table. • Gain the Monk’s level 1 features, which are listed in the Monk Features table. Monk Class Features As a Monk, you gain the following class features when you reach the specified Monk levels. These features are listed in the Monk Features table. Level 1: Martial Arts Your practice of martial arts gives you mastery of combat styles that use your Unarmed Strike and Monk weapons, which are the following: • Simple Melee weapons • Martial Melee weapons that have the Light property You gain the following benefits while you are unarmed or wielding only Monk weapons and you aren’t wearing armor or wielding a Shield. Bonus Unarmed Strike. You can make an Unarmed Strike as a Bonus Action. Martial Arts Die. You can roll 1d6 in place of the normal damage of your Unarmed Strike or Monk weapons. This die changes as you gain Monk levels, as shown in the Martial Arts column of the Monk Features table. Dexterous Attacks. You can use your Dexterity modifier instead of your Strength modifier for the attack and damage rolls of your Unarmed Strikes and Monk weapons. In addition, when you use the Grapple or Shove option of your Unarmed Strike, you can use your Dexterity modifier instead of your Strength modifier to determine the save DC. Level 1: Unarmored Defense While you aren’t wearing armor or wielding a Shield, your base Arm</x:t>
        </x:is>
      </x:c>
      <x:c r="I7" s="2" t="inlineStr">
        <x:is>
          <x:t xml:space="preserve">SRD 5.2.1</x:t>
        </x:is>
      </x:c>
      <x:c r="J7" s="2" t="inlineStr">
        <x:is>
          <x:t xml:space="preserve">pp. 28-82</x:t>
        </x:is>
      </x:c>
    </x:row>
    <x:row r="8" ht="18" customHeight="1">
      <x:c r="A8" s="2" t="inlineStr">
        <x:is>
          <x:t xml:space="preserve">Paladin</x:t>
        </x:is>
      </x:c>
      <x:c r="B8" s="2" t="inlineStr">
        <x:is>
          <x:t xml:space="preserve">Strength and Charisma</x:t>
        </x:is>
      </x:c>
      <x:c r="C8" s="2" t="inlineStr">
        <x:is>
          <x:t xml:space="preserve">D10 per Paladin level</x:t>
        </x:is>
      </x:c>
      <x:c r="D8" s="2" t="inlineStr">
        <x:is>
          <x:t xml:space="preserve">Wisdom and Charisma</x:t>
        </x:is>
      </x:c>
      <x:c r="E8" s="2" t="inlineStr">
        <x:is>
          <x:t xml:space="preserve">Choose 2: Athletics, Insight, Intimidation, Medicine, Persuasion, or Religion</x:t>
        </x:is>
      </x:c>
      <x:c r="F8" s="2" t="inlineStr">
        <x:is>
          <x:t xml:space="preserve">Simple and Martial weapons</x:t>
        </x:is>
      </x:c>
      <x:c r="G8" s="2" t="inlineStr">
        <x:is>
          <x:t xml:space="preserve">Light, Medium, and Heavy armor and Shields</x:t>
        </x:is>
      </x:c>
      <x:c r="H8" s="2" t="inlineStr">
        <x:is>
          <x:t xml:space="preserve">Paladin Core Paladin Traits Primary Ability Strength and Charisma Hit Point Die D10 per Paladin level Saving Throw Proficiencies Wisdom and Charisma Skill Proficiencies Choose 2: Athletics, Insight, Intimidation, Medicine, Persuasion, or Religion Weapon Proficiencies Simple and Martial weapons Armor Training Light, Medium, and Heavy armor and Shields Starting Equipment Choose A or B: (A) Chain Mail, Shield, Longsword, 6 Javelins, Holy Symbol, Priest’s Pack, and 9 GP; or (B) 150 GP Becoming a Paladin … As a Level 1 Character • Gain all the traits in the Core Paladin Traits table. • Gain the Paladin’s level 1 features, which are listed in the Paladin Features table. As a Multiclass Character • Gain the following traits from the Core Paladin Traits table: Hit Point Die, proficiency with Martial weapons, and training with Light and Medium armor and Shields. • Gain the Paladin’s level 1 features, which are listed in the Paladin Features table. See the multiclassing rules in “Character Creation” to determine your available spell slots. Paladin Class Features As a Paladin, you gain the following class features when you reach the specified Paladin levels. These features are listed in the Paladin Features table. Level 1: Lay On Hands Your blessed touch can heal wounds. You have a pool of healing power that replenishes when you finish a Long Rest. With that pool, you can restore a total number of Hit Points equal to five times your Paladin level. Paladin Features Proficiency Bonus Channel Divinity Prepared Spells —Spell Slots per Spell Level— Level Class Features 1 2 3 4 5 1 +2 Lay On Hands, Spellcasting, Weapon Mastery — 2 2 — — — — 2 +2 Fighting Style, Paladin’s Smite — 3 2 — — — — 3 +2 Channel Divinity, Paladin Subclass 2 4 3 — — — — 4 +2 Ability Score Improvement 2 5 3 — — — — 5 +3 Extra Attack, Faithful Steed 2 6 4 2 — — — 6 +3 Aura of Protection 2 6 4 2 — — — 7 +3 Subclass feature 2 7 4 3 — — — 8 +3 Ability Score Improvement 2 7 4 3 — — — 9 +4 Abjure Foes 2 9 4 3 2 — — 10 +4 Aura of Courage 2 9 4 3 2 — — 11 +4 Radiant Strikes 3 10 4 3 3 — — 12 +4 Ability Score Improvement 3 10 4 3 3 — — 13 +5 — 3 11 4 3 3 1 — 14 +5 Restoring Touch 3 11 4 3 3 1 — 15 +5 Subclass featu</x:t>
        </x:is>
      </x:c>
      <x:c r="I8" s="2" t="inlineStr">
        <x:is>
          <x:t xml:space="preserve">SRD 5.2.1</x:t>
        </x:is>
      </x:c>
      <x:c r="J8" s="2" t="inlineStr">
        <x:is>
          <x:t xml:space="preserve">pp. 28-82</x:t>
        </x:is>
      </x:c>
    </x:row>
    <x:row r="9" ht="18" customHeight="1">
      <x:c r="A9" s="2" t="inlineStr">
        <x:is>
          <x:t xml:space="preserve">Ranger</x:t>
        </x:is>
      </x:c>
      <x:c r="B9" s="2" t="inlineStr">
        <x:is>
          <x:t xml:space="preserve">Dexterity and Wisdom</x:t>
        </x:is>
      </x:c>
      <x:c r="C9" s="2" t="inlineStr">
        <x:is>
          <x:t xml:space="preserve">D10 per Ranger level</x:t>
        </x:is>
      </x:c>
      <x:c r="D9" s="2" t="inlineStr">
        <x:is>
          <x:t xml:space="preserve">Strength and Dexterity</x:t>
        </x:is>
      </x:c>
      <x:c r="E9" s="2" t="inlineStr">
        <x:is>
          <x:t xml:space="preserve">Choose 3: Animal Handling, Athletics, Insight, Investigation, Nature, Perception, Stealth, or Survival</x:t>
        </x:is>
      </x:c>
      <x:c r="F9" s="2" t="inlineStr">
        <x:is>
          <x:t xml:space="preserve">Simple and Martial weapons</x:t>
        </x:is>
      </x:c>
      <x:c r="G9" s="2" t="inlineStr">
        <x:is>
          <x:t xml:space="preserve">Light and Medium armor and Shields</x:t>
        </x:is>
      </x:c>
      <x:c r="H9" s="2" t="inlineStr">
        <x:is>
          <x:t xml:space="preserve">Ranger Core Ranger Traits Primary Ability Dexterity and Wisdom Hit Point Die D10 per Ranger level Saving Throw Proficiencies Strength and Dexterity Skill Proficiencies Choose 3: Animal Handling, Athletics, Insight, Investigation, Nature, Perception, Stealth, or Survival Weapon Proficiencies Simple and Martial weapons Armor Training Light and Medium armor and Shields Starting Equipment Choose A or B: (A) Studded Leather Armor, Scimitar, Shortsword, Longbow, 20 Arrows, Quiver, Druidic Focus (sprig of mistletoe), Explorer’s Pack, and 7 GP; or (B) 150 GP Becoming a Ranger … As a Level 1 Character • Gain all the traits in the Core Ranger Traits table. • Gain the Ranger’s level 1 features, which are listed in the Ranger Features table. As a Multiclass Character • Gain the following traits from the Core Ranger Traits table: Hit Point Die, proficiency with Martial weapons, proficiency in one skill of your choice from the Ranger’s skill list, and training with Light and Medium armor and Shields. • Gain the Ranger’s level 1 features, which are listed in the Ranger Features table. See the multiclassing rules in “Character Creation” to determine your available spell slots. Ranger Class Features As a Ranger, you gain the following class features when you reach the specified Ranger levels. These features are listed in the Ranger Features table. Level 1: Spellcasting You have learned to channel the magical essence of nature to cast spells. See “Spells” for the rules on spellcasting. The information below details how you use those rules with Ranger spells, which appear in the Ranger spell list later in the class’s description. Spell Slots. The Ranger Features table shows how many spell slots you have to cast your level 1+ spells. You regain all expended slots when you finish a Long Rest. Prepared Spells of Level 1+. You prepare the list of level 1+ spells that are available for you to cast with this feature. To start, choose two level 1 Ranger spells. Cure Wounds and Ensnaring Strike are recommended. The number of spells on your list increases as you gain Ranger levels, as shown in the Prepared Spells column of the Ranger Features table. Whenever that number increases, choose a</x:t>
        </x:is>
      </x:c>
      <x:c r="I9" s="2" t="inlineStr">
        <x:is>
          <x:t xml:space="preserve">SRD 5.2.1</x:t>
        </x:is>
      </x:c>
      <x:c r="J9" s="2" t="inlineStr">
        <x:is>
          <x:t xml:space="preserve">pp. 28-82</x:t>
        </x:is>
      </x:c>
    </x:row>
    <x:row r="10" ht="18" customHeight="1">
      <x:c r="A10" s="2" t="inlineStr">
        <x:is>
          <x:t xml:space="preserve">Rogue</x:t>
        </x:is>
      </x:c>
      <x:c r="B10" s="2" t="inlineStr">
        <x:is>
          <x:t xml:space="preserve">Dexterity</x:t>
        </x:is>
      </x:c>
      <x:c r="C10" s="2" t="inlineStr">
        <x:is>
          <x:t xml:space="preserve">D8 per Rogue level</x:t>
        </x:is>
      </x:c>
      <x:c r="D10" s="2" t="inlineStr">
        <x:is>
          <x:t xml:space="preserve">Dexterity and Intelligence</x:t>
        </x:is>
      </x:c>
      <x:c r="E10" s="2" t="inlineStr">
        <x:is>
          <x:t xml:space="preserve">Choose 4: Acrobatics, Athletics, Deception, Insight, Intimidation, Investigation, Perception, Persuasion, Sleight of Hand, or Stealth</x:t>
        </x:is>
      </x:c>
      <x:c r="F10" s="2" t="inlineStr">
        <x:is>
          <x:t xml:space="preserve">Simple weapons and Martial weapons that have the Finesse or Light property Tool Proficiencies Thieves’ Tools</x:t>
        </x:is>
      </x:c>
      <x:c r="G10" s="2" t="inlineStr">
        <x:is>
          <x:t xml:space="preserve">Light armor</x:t>
        </x:is>
      </x:c>
      <x:c r="H10" s="2" t="inlineStr">
        <x:is>
          <x:t xml:space="preserve">Rogue Core Rogue Traits Primary Ability Dexterity Hit Point Die D8 per Rogue level Saving Throw Proficiencies Dexterity and Intelligence Skill Proficiencies Choose 4: Acrobatics, Athletics, Deception, Insight, Intimidation, Investigation, Perception, Persuasion, Sleight of Hand, or Stealth Weapon Proficiencies Simple weapons and Martial weapons that have the Finesse or Light property Tool Proficiencies Thieves’ Tools Armor Training Light armor Starting Equipment Choose A or B: (A) Leather Armor, 2 Daggers, Shortsword, Shortbow, 20 Arrows, Quiver, Thieves’ Tools, Burglar’s Pack, and 8 GP; or (B) 100 GP Becoming a Rogue … As a Level 1 Character • Gain all the traits in the Core Rogue Traits table. • Gain the Rogue’s level 1 features, which are listed in the Rogue Features table. As a Multiclass Character • Gain the following traits from the Core Rogue Traits table: Hit Point Die, proficiency in one skill of your choice from the Rogue’s skill list, proficiency with Thieves’ Tools, and training with Light armor. • Gain the Rogue’s level 1 features, which are listed in the Rogue Features table. Rogue Class Features As a Rogue, you gain the following class features when you reach the specified Rogue levels. These features are listed in the Rogue Features table. Level 1: Expertise You gain Expertise in two of your skill proficiencies of your choice. Sleight of Hand and Stealth are recommended if you have proficiency in them. At Rogue level 6, you gain Expertise in two more of your skill proficiencies of your choice. Level 1: Sneak Attack You know how to strike subtly and exploit a foe’s distraction. Once per turn, you can deal an extra 1d6 damage to one creature you hit with an attack roll if you have Advantage on the roll and the attack uses a Finesse or a Ranged weapon. The extra damage’s type is the same as the weapon’s type. You don’t need Advantage on the attack roll if at least one of your allies is within 5 feet of the target, the ally doesn’t have the Incapacitated condition, and you don’t have Disadvantage on the attack roll. The extra damage increases as you gain Rogue levels, as shown in the Sneak Attack column of the Rogue Features table. Level 1: Thieves’ </x:t>
        </x:is>
      </x:c>
      <x:c r="I10" s="2" t="inlineStr">
        <x:is>
          <x:t xml:space="preserve">SRD 5.2.1</x:t>
        </x:is>
      </x:c>
      <x:c r="J10" s="2" t="inlineStr">
        <x:is>
          <x:t xml:space="preserve">pp. 28-82</x:t>
        </x:is>
      </x:c>
    </x:row>
    <x:row r="11" ht="18" customHeight="1">
      <x:c r="A11" s="2" t="inlineStr">
        <x:is>
          <x:t xml:space="preserve">Sorcerer</x:t>
        </x:is>
      </x:c>
      <x:c r="B11" s="2" t="inlineStr">
        <x:is>
          <x:t xml:space="preserve">Charisma</x:t>
        </x:is>
      </x:c>
      <x:c r="C11" s="2" t="inlineStr">
        <x:is>
          <x:t xml:space="preserve">D6 per Sorcerer level</x:t>
        </x:is>
      </x:c>
      <x:c r="D11" s="2" t="inlineStr">
        <x:is>
          <x:t xml:space="preserve">Constitution and Charisma</x:t>
        </x:is>
      </x:c>
      <x:c r="E11" s="2" t="inlineStr">
        <x:is>
          <x:t xml:space="preserve">Choose 2: Arcana, Deception, Insight, Intimidation, Persuasion, or Religion</x:t>
        </x:is>
      </x:c>
      <x:c r="F11" s="2" t="inlineStr">
        <x:is>
          <x:t xml:space="preserve">Simple weapons</x:t>
        </x:is>
      </x:c>
      <x:c r="G11" s="2" t="inlineStr">
        <x:is>
          <x:t xml:space="preserve">None</x:t>
        </x:is>
      </x:c>
      <x:c r="H11" s="2" t="inlineStr">
        <x:is>
          <x:t xml:space="preserve">Sorcerer Core Sorcerer Traits Primary Ability Charisma Hit Point Die D6 per Sorcerer level Saving Throw Proficiencies Constitution and Charisma Skill Proficiencies Choose 2: Arcana, Deception, Insight, Intimidation, Persuasion, or Religion Weapon Proficiencies Simple weapons Armor Training None Starting Equipment Choose A or B: (A) Spear, 2 Daggers, Arcane Focus (crystal), Dungeoneer’s Pack, and 28 GP; or (B) 50 GP Becoming a Sorcerer … As a Level 1 Character • Gain all the traits in the Core Sorcerer Traits table. • Gain the Sorcerer’s level 1 features, which are listed in the Sorcerer Features table. As a Multiclass Character • Gain the Hit Point Die from the Core Sorcerer Traits table. • Gain the Sorcerer’s level 1 features, which are listed in the Sorcerer Features table. See the multiclassing rules in “Character Creation” to determine your available spell slots. Sorcerer Class Features As a Sorcerer, you gain the following class features when you reach the specified Sorcerer levels. These features are listed in the Sorcerer Features table. Level 1: Spellcasting Drawing from your innate magic, you can cast spells. See “Spells” for the rules on spellcasting. The information below details how you use those rules with Sorcerer spells, which appear in the Sorcerer spell list later in the class’s description. Cantrips. You know four Sorcerer cantrips of your choice. Light, Prestidigitation, Shocking Grasp, and Sorcerous Burst are recommended. Whenever you gain a Sorcerer level, you can replace one of your cantrips from this feature with another Sorcerer cantrip of your choice. When you reach Sorcerer levels 4 and 10, you learn another Sorcerer cantrip of your choice, as shown in the Cantrips column of the Sorcerer Features table. Spell Slots. The Sorcerer Features table shows how many spell slots you have to cast your level 1+ spells. You regain all expended slots when you finish a Long Rest. Prepared Spells of Level 1+. You prepare the list of level 1+ spells that are available for you to cast with this feature. To start, choose two level 1 Sorcerer spells. Burning Hands and Detect Magic are recommended. The number of spells on your list increases as you gain So</x:t>
        </x:is>
      </x:c>
      <x:c r="I11" s="2" t="inlineStr">
        <x:is>
          <x:t xml:space="preserve">SRD 5.2.1</x:t>
        </x:is>
      </x:c>
      <x:c r="J11" s="2" t="inlineStr">
        <x:is>
          <x:t xml:space="preserve">pp. 28-82</x:t>
        </x:is>
      </x:c>
    </x:row>
    <x:row r="12" ht="18" customHeight="1">
      <x:c r="A12" s="2" t="inlineStr">
        <x:is>
          <x:t xml:space="preserve">Warlock</x:t>
        </x:is>
      </x:c>
      <x:c r="B12" s="2" t="inlineStr">
        <x:is>
          <x:t xml:space="preserve">Charisma</x:t>
        </x:is>
      </x:c>
      <x:c r="C12" s="2" t="inlineStr">
        <x:is>
          <x:t xml:space="preserve">D8 per Warlock level</x:t>
        </x:is>
      </x:c>
      <x:c r="D12" s="2" t="inlineStr">
        <x:is>
          <x:t xml:space="preserve">Wisdom and Charisma</x:t>
        </x:is>
      </x:c>
      <x:c r="E12" s="2" t="inlineStr">
        <x:is>
          <x:t xml:space="preserve">Choose 2: Arcana, Deception, History, Intimidation, Investigation, Nature, or Religion</x:t>
        </x:is>
      </x:c>
      <x:c r="F12" s="2" t="inlineStr">
        <x:is>
          <x:t xml:space="preserve">Simple weapons</x:t>
        </x:is>
      </x:c>
      <x:c r="G12" s="2" t="inlineStr">
        <x:is>
          <x:t xml:space="preserve">Light armor</x:t>
        </x:is>
      </x:c>
      <x:c r="H12" s="2" t="inlineStr">
        <x:is>
          <x:t xml:space="preserve">Warlock Core Warlock Traits Primary Ability Charisma Hit Point Die D8 per Warlock level Saving Throw Proficiencies Wisdom and Charisma Skill Proficiencies Choose 2: Arcana, Deception, History, Intimidation, Investigation, Nature, or Religion Weapon Proficiencies Simple weapons Armor Training Light armor Starting Equipment Choose A or B: (A) Leather Armor, Sickle, 2 Daggers, Arcane Focus (orb), Book (occult lore), Scholar’s Pack, and 15 GP; or (B) 100 GP Becoming a Warlock … As a Level 1 Character • Gain all the traits in the Core Warlock Traits table. • Gain the Warlock’s level 1 features, which are listed in the Warlock Features table. As a Multiclass Character • Gain the following traits from the Core Warlock Traits table: Hit Point Die and training with Light armor. • Gain the Warlock’s level 1 features, which are listed in the Warlock Features table. See the multiclassing rules in “Character Creation” to determine your available spell slots. Warlock Class Features As a Warlock, you gain the following class features when you reach the specified Warlock levels. These features are listed in the Warlock Features table. Level 1: Eldritch Invocations You have unearthed Eldritch Invocations, pieces of forbidden knowledge that imbue you with an abiding magical ability or other lessons. You gain one invocation of your choice, such as Pact of the Tome. Invocations are described in the “Eldritch Invocation Options” section later in this class’s description. Prerequisites. If an invocation has a prerequisite, you must meet it to learn that invocation. For example, if an invocation requires you to be a level 5+ Warlock, you can select the invocation once you reach Warlock level 5. Replacing and Gaining Invocations. Whenever you gain a Warlock level, you can replace one of your invocations with another one for which you qualify. You can’t replace an invocation if it’s a prerequisite for another invocation that you have. When you gain certain Warlock levels, you gain more invocations of your choice, as shown in the Invocations column of the Warlock Features table. You can’t pick the same invocation more than once unless its description says otherwise. Level 1: Pact Magic T</x:t>
        </x:is>
      </x:c>
      <x:c r="I12" s="2" t="inlineStr">
        <x:is>
          <x:t xml:space="preserve">SRD 5.2.1</x:t>
        </x:is>
      </x:c>
      <x:c r="J12" s="2" t="inlineStr">
        <x:is>
          <x:t xml:space="preserve">pp. 28-82</x:t>
        </x:is>
      </x:c>
    </x:row>
    <x:row r="13" ht="18" customHeight="1">
      <x:c r="A13" s="2" t="inlineStr">
        <x:is>
          <x:t xml:space="preserve">Wizard</x:t>
        </x:is>
      </x:c>
      <x:c r="B13" s="2" t="inlineStr">
        <x:is>
          <x:t xml:space="preserve">Intelligence</x:t>
        </x:is>
      </x:c>
      <x:c r="C13" s="2" t="inlineStr">
        <x:is>
          <x:t xml:space="preserve">D6 per Wizard level</x:t>
        </x:is>
      </x:c>
      <x:c r="D13" s="2" t="inlineStr">
        <x:is>
          <x:t xml:space="preserve">Intelligence and Wisdom</x:t>
        </x:is>
      </x:c>
      <x:c r="E13" s="2" t="inlineStr">
        <x:is>
          <x:t xml:space="preserve">Choose 2: Arcana, History, Insight, Investigation, Medicine, Nature, or Religion</x:t>
        </x:is>
      </x:c>
      <x:c r="F13" s="2" t="inlineStr">
        <x:is>
          <x:t xml:space="preserve">Simple weapons</x:t>
        </x:is>
      </x:c>
      <x:c r="G13" s="2" t="inlineStr">
        <x:is>
          <x:t xml:space="preserve">None</x:t>
        </x:is>
      </x:c>
      <x:c r="H13" s="2" t="inlineStr">
        <x:is>
          <x:t xml:space="preserve">Wizard Core Wizard Traits Primary Ability Intelligence Hit Point Die D6 per Wizard level Saving Throw Proficiencies Intelligence and Wisdom Skill Proficiencies Choose 2: Arcana, History, Insight, Investigation, Medicine, Nature, or Religion Weapon Proficiencies Simple weapons Armor Training None Starting Equipment Choose A or B: (A) 2 Daggers, Arcane Focus (Quarterstaff), Robe, Spellbook, Scholar’s Pack, and 5 GP; or (B) 55 GP Becoming a Wizard … As a Level 1 Character • Gain all the traits in the Core Wizard Traits table. • Gain the Wizard’s level 1 features, which are listed in the Wizard Features table. As a Multiclass Character • Gain the Hit Point Die from the Core Wizard Traits table. • Gain the Wizard’s level 1 features, which are listed in the Wizard Features table. See the multiclassing rules in “Character Creation” to determine your available spell slots. Wizard Class Features As a Wizard, you gain the following class features when you reach the specified Wizard levels. These features are listed in the Wizard Features table. Level 1: Spellcasting As a student of arcane magic, you have learned to cast spells. See “Spells” for the rules on spellcasting. The information below details how you use those rules with Wizard spells, which appear in the Wizard spell list later in the class’s description. Cantrips. You know three Wizard cantrips of your choice. Light, Mage Hand, and Ray of Frost are recommended. Whenever you finish a Long Rest, you can replace one of your cantrips from this feature with another Wizard cantrip of your choice. Wizard Features Proficiency Bonus Prepared Spells ——Spell Slots per Spell Level—— Level Class Features Cantrips 1 2 3 4 5 6 7 8 9 1 +2 Spellcasting, Ritual Adept, Arcane Recovery 3 4 2 — — — — — — — — 2 +2 Scholar 3 5 3 — — — — — — — — 3 +2 Wizard Subclass 3 6 4 2 — — — — — — — 4 +2 Ability Score Improvement 4 7 4 3 — — — — — — — 5 +3 Memorize Spell 4 9 4 3 2 — — — — — — 6 +3 Subclass feature 4 10 4 3 3 — — — — — — 7 +3 — 4 11 4 3 3 1 — — — — — 8 +3 Ability Score Improvement 4 12 4 3 3 2 — — — — — 9 +4 — 4 14 4 3 3 3 1 — — — — 10 +4 Subclass feature 5 15 4 3 3 3 2 — — — — 11 +4 — 5 16 4 3 3 3 2 1 — — — 12 +4 Ability Score Imp</x:t>
        </x:is>
      </x:c>
      <x:c r="I13" s="2" t="inlineStr">
        <x:is>
          <x:t xml:space="preserve">SRD 5.2.1</x:t>
        </x:is>
      </x:c>
      <x:c r="J13" s="2" t="inlineStr">
        <x:is>
          <x:t xml:space="preserve">pp. 28-82</x:t>
        </x:is>
      </x:c>
    </x:row>
  </x:sheetData>
  <x:pageMargins left="0.7" right="0.7" top="0.75" bottom="0.75" header="0.3" footer="0.3"/>
</x:worksheet>
</file>

<file path=xl/worksheets/sheet21.xml><?xml version="1.0" encoding="utf-8"?>
<x:worksheet xmlns:x="http://schemas.openxmlformats.org/spreadsheetml/2006/main">
  <x:sheetViews>
    <x:sheetView showGridLines="1" workbookViewId="0"/>
  </x:sheetViews>
  <x:sheetFormatPr baseColWidth="8" defaultRowHeight="15"/>
  <x:cols>
    <x:col min="1" max="1" width="11" customWidth="1"/>
    <x:col min="2" max="2" width="26" customWidth="1"/>
    <x:col min="3" max="3" width="45" customWidth="1"/>
    <x:col min="4" max="4" width="11" customWidth="1"/>
    <x:col min="5" max="5" width="11" customWidth="1"/>
  </x:cols>
  <x:sheetData>
    <x:row r="1" ht="18" customHeight="1">
      <x:c r="A1" s="5" t="inlineStr">
        <x:is>
          <x:t xml:space="preserve">Class</x:t>
        </x:is>
      </x:c>
      <x:c r="B1" s="9" t="inlineStr">
        <x:is>
          <x:t xml:space="preserve">Subclass</x:t>
        </x:is>
      </x:c>
      <x:c r="C1" s="9" t="inlineStr">
        <x:is>
          <x:t xml:space="preserve">Summary</x:t>
        </x:is>
      </x:c>
      <x:c r="D1" s="9" t="inlineStr">
        <x:is>
          <x:t xml:space="preserve">Source</x:t>
        </x:is>
      </x:c>
      <x:c r="E1" s="9" t="inlineStr">
        <x:is>
          <x:t xml:space="preserve">Page Ref</x:t>
        </x:is>
      </x:c>
    </x:row>
    <x:row r="2" ht="18" customHeight="1">
      <x:c r="A2" s="2" t="inlineStr">
        <x:is>
          <x:t xml:space="preserve">Barbarian</x:t>
        </x:is>
      </x:c>
      <x:c r="B2" s="2" t="inlineStr">
        <x:is>
          <x:t xml:space="preserve">Path of the Berserker</x:t>
        </x:is>
      </x:c>
      <x:c r="C2" s="2" t="inlineStr">
        <x:is>
          <x:t xml:space="preserve">Path of the Berserker subclass is detailed after this class’s description. A subclass is a specialization that grants you features at certain Barbarian levels. For the rest of your career, you gain each of your subclass’s features that are of your Barbarian level or lower. Level 3: Primal Knowledge You gain proficiency in another skill of your choice from the skill list available to Barbarians at level 1. In addition, while your Rage is active, you can channel primal power when you attempt certain tasks; whenever you make an ability check using one of the following skills, you can make it as a Strength check even if it normally uses a different ability: Acrobatics, Intimidation, Perception, Stealth, or Survival. When you use this ability, your Strength represents primal power coursing through you, honing your agility, bearing, and senses. Level 4: Ability Score Improvement You gain the Ability Score Improvement feat (see “Feats”) or another feat of your choice for which you qualify. You gain this feature again at Barbarian levels 8, 12, and 16. Level 5: Extra Attack You can attack twice instead of once whenever you take the Attack action on your turn. Level 5: Fast Movement Your speed increases by 10 feet while you aren’t wearing Heavy armor. Level 7: Feral Instinct Your instincts are so honed that you have Advantage on Initiative rolls. Level 7: Instinctive Pounce As part of the Bonus Action you take to enter your Rage, you can move up to half your Speed. Level 9: Brutal Strike If you use Reckless Attack, you can forgo any Advantage on one Strength-based attack roll of your choice on your turn. The chosen attack roll mustn’t have Disadvantage. If the chosen attack roll hits, the target takes an extra 1d10 damage of the same type dealt by</x:t>
        </x:is>
      </x:c>
      <x:c r="D2" s="2" t="inlineStr">
        <x:is>
          <x:t xml:space="preserve">SRD 5.2.1</x:t>
        </x:is>
      </x:c>
      <x:c r="E2" s="2" t="inlineStr">
        <x:is>
          <x:t xml:space="preserve">pp. 30-82</x:t>
        </x:is>
      </x:c>
    </x:row>
    <x:row r="3" ht="18" customHeight="1">
      <x:c r="A3" s="2" t="inlineStr">
        <x:is>
          <x:t xml:space="preserve">Bard</x:t>
        </x:is>
      </x:c>
      <x:c r="B3" s="2" t="inlineStr">
        <x:is>
          <x:t xml:space="preserve">College of Lore</x:t>
        </x:is>
      </x:c>
      <x:c r="C3" s="2" t="inlineStr">
        <x:is>
          <x:t xml:space="preserve">College of Lore Plumb the Depths of Magical Knowledge Bards of the College of Lore collect spells and secrets from diverse sources, such as scholarly tomes, mystical rites, and peasant tales. The college’s members gather in libraries and universities to share their lore with one another. They also meet at festivals or affairs of state, where they can expose corruption, unravel lies, and poke fun at self-important figures of authority. Level 3: Bonus Proficiencies You gain proficiency with three skills of your choice. Level 3: Cutting Words You learn to use your wit to supernaturally distract, confuse, and otherwise sap the confidence and competence of others. When a creature that you can see within 60 feet of yourself makes a damage roll or succeeds on an ability check or attack roll, you can take a Reaction to expend one use of your Bardic Inspiration; roll your Bardic Inspiration die, and subtract the number rolled from the creature’s roll, reducing the damage or potentially turning the success into a failure. Level 6: Magical Discoveries You learn two spells of your choice. These spells can come from the Cleric, Druid, or Wizard spell list or any combination thereof (see a class’s section for its spell list). A spell you choose must be a cantrip or a spell for which you have spell slots, as shown in the Bard Features table. You always have the chosen spells prepared, and whenever you gain a Bard level, you can replace one of the spells with another spell that meets these requirements. Level 14: Peerless Skill When you make an ability check or attack roll and fail, you can expend one use of Bardic Inspiration; roll the Bardic Inspiration die, and add the number rolled to the d20, potentially turning a failure into a success. On a fa</x:t>
        </x:is>
      </x:c>
      <x:c r="D3" s="2" t="inlineStr">
        <x:is>
          <x:t xml:space="preserve">SRD 5.2.1</x:t>
        </x:is>
      </x:c>
      <x:c r="E3" s="2" t="inlineStr">
        <x:is>
          <x:t xml:space="preserve">pp. 30-82</x:t>
        </x:is>
      </x:c>
    </x:row>
    <x:row r="4" ht="18" customHeight="1">
      <x:c r="A4" s="2" t="inlineStr">
        <x:is>
          <x:t xml:space="preserve">Cleric</x:t>
        </x:is>
      </x:c>
      <x:c r="B4" s="2" t="inlineStr">
        <x:is>
          <x:t xml:space="preserve">Life Domain</x:t>
        </x:is>
      </x:c>
      <x:c r="C4" s="2" t="inlineStr">
        <x:is>
          <x:t xml:space="preserve">Life Domain Soothe the Hurts of the World The Life Domain focuses on the positive energy that helps sustain all life in the multiverse. Clerics who tap into this domain are masters of healing, using that life force to cure many hurts. Existence itself relies on the positive energy associated with this domain, so a Cleric of almost any religious tradition might choose it. This domain is particularly associated with agricultural deities, gods of healing or endurance, and gods of home and community. Religious orders of healing also seek the magic of this domain. Level 3: Disciple of Life When a spell you cast with a spell slot restores Hit Points to a creature, that creature regains additional Hit Points on the turn you cast the spell. The additional Hit Points equal 2 plus the spell slot’s level. Level 3: Life Domain Spells Your connection to this divine domain ensures you always have certain spells ready. When you reach a Cleric level specified in the Life Domain Spells table, you thereafter always have the listed spells prepared. Life Domain Spells Cleric Level Prepared Spells 3 Aid, Bless, Cure Wounds, Lesser Restoration 5 Mass Healing Word, Revivify 7 Aura of Life, Death Ward 9 Greater Restoration, Mass Cure Wounds Level 3: Preserve Life As a Magic action, you present your Holy Symbol and expend a use of your Channel Divinity to evoke healing energy that can restore a number of Hit Points equal to five times your Cleric level. Choose Bloodied creatures within 30 feet of yourself (which can include you), and divide those Hit Points among them. This feature can restore a creature to no more than half its Hit Point maximum. Level 6: Blessed Healer The healing spells you cast on others heal you as well. Immediately after you cast a spell wit</x:t>
        </x:is>
      </x:c>
      <x:c r="D4" s="2" t="inlineStr">
        <x:is>
          <x:t xml:space="preserve">SRD 5.2.1</x:t>
        </x:is>
      </x:c>
      <x:c r="E4" s="2" t="inlineStr">
        <x:is>
          <x:t xml:space="preserve">pp. 30-82</x:t>
        </x:is>
      </x:c>
    </x:row>
    <x:row r="5" ht="18" customHeight="1">
      <x:c r="A5" s="2" t="inlineStr">
        <x:is>
          <x:t xml:space="preserve">Druid</x:t>
        </x:is>
      </x:c>
      <x:c r="B5" s="2" t="inlineStr">
        <x:is>
          <x:t xml:space="preserve">Circle of the Land</x:t>
        </x:is>
      </x:c>
      <x:c r="C5" s="2" t="inlineStr">
        <x:is>
          <x:t xml:space="preserve">Circle of the Land Celebrate Connection to the Natural World The Circle of the Land comprises mystics and sages who safeguard ancient knowledge and rites. These Druids meet within sacred circles of trees or standing stones to whisper primal secrets in Druidic. The circle’s wisest members preside as the chief priests of their communities. Level 3: Circle of the Land Spells Whenever you finish a Long Rest, choose one type of land: arid, polar, temperate, or tropical. Consult the table below that corresponds to the chosen type; you have the spells listed for your Druid level and lower prepared. Arid Land Druid Level Circle Spells 3 Blur, Burning Hands, Fire Bolt 5 Fireball 7 Blight 9 Wall of Stone Polar Land Druid Level Circle Spells 3 Fog Cloud, Hold Person, Ray of Frost 5 Sleet Storm 7 Ice Storm 9 Cone of Cold Temperate Land Druid Level Circle Spells 3 Misty Step, Shocking Grasp, Sleep 5 Lightning Bolt 7 Freedom of Movement 9 Tree Stride Tropical Land Druid Level Circle Spells 3 Acid Splash, Ray of Sickness, Web 5 Stinking Cloud 7 Polymorph 9 Insect Plague Level 3: Land’s Aid As a Magic action, you can expend a use of your Wild Shape and choose a point within 60 feet of yourself. Vitality-giving flowers and life-draining thorns appear for a moment in a 10-foot-radius Sphere centered on that point. Each creature of your choice in the Sphere must make a Constitution saving throw against your spell save DC, taking 2d6 Necrotic damage on a failed save or half as much damage on a successful one. One creature of your choice in that area regains 2d6 Hit Points. The damage and healing increase by 1d6 when you reach Druid levels 10 (3d6) and 14 (4d6). Level 6: Natural Recovery You can cast one of the level 1+ spells that you have prepared from your Circle</x:t>
        </x:is>
      </x:c>
      <x:c r="D5" s="2" t="inlineStr">
        <x:is>
          <x:t xml:space="preserve">SRD 5.2.1</x:t>
        </x:is>
      </x:c>
      <x:c r="E5" s="2" t="inlineStr">
        <x:is>
          <x:t xml:space="preserve">pp. 30-82</x:t>
        </x:is>
      </x:c>
    </x:row>
    <x:row r="6" ht="18" customHeight="1">
      <x:c r="A6" s="2" t="inlineStr">
        <x:is>
          <x:t xml:space="preserve">Fighter</x:t>
        </x:is>
      </x:c>
      <x:c r="B6" s="2" t="inlineStr">
        <x:is>
          <x:t xml:space="preserve">Champion</x:t>
        </x:is>
      </x:c>
      <x:c r="C6" s="2" t="inlineStr">
        <x:is>
          <x:t xml:space="preserve">Champion 6 +4 4 While active, your Rage follows the rules below. Damage Resistance. You have Resistance to Bludgeoning, Piercing, and Slashing damage. Rage Damage. When you make an attack using Strength—with either a weapon or an Unarmed Strike—and deal damage to the target, you gain a bonus to the damage that increases as you gain levels as a Barbarian, as shown in the Rage Damage column of the Barbarian Features table. Strength Advantage. You have Advantage on Strength checks and Strength saving throws. No Concentration or Spells. You can’t maintain Concentration, and you can’t cast spells. Duration. The Rage lasts until the end of your next turn, and it ends early if you don Heavy armor or have the Incapacitated condition. If your Rage is still active on your next turn, you can extend the Rage for another round by doing one of the following: • Make an attack roll against an enemy. • Force an enemy to make a saving throw. • Take a Bonus Action to extend your Rage. Each time the Rage is extended, it lasts until the end of your next turn. You can maintain a Rage for up to 10 minutes. Level 1: Unarmored Defense While you aren’t wearing any armor, your base Armor Class equals 10 plus your Dexterity and Constitution modifiers. You can use a Shield and still gain this benefit. Level 1: Weapon Mastery Your training with weapons allows you to use the mastery properties of two kinds of Simple or Martial Melee weapons of your choice, such as Greataxes and Handaxes. Whenever you finish a Long Rest, you can practice weapon drills and change one of those weapon choices. When you reach certain Barbarian levels, you gain the ability to use the mastery properties of more kinds of weapons, as shown in the Weapon Mastery column of the Ba</x:t>
        </x:is>
      </x:c>
      <x:c r="D6" s="2" t="inlineStr">
        <x:is>
          <x:t xml:space="preserve">SRD 5.2.1</x:t>
        </x:is>
      </x:c>
      <x:c r="E6" s="2" t="inlineStr">
        <x:is>
          <x:t xml:space="preserve">pp. 30-82</x:t>
        </x:is>
      </x:c>
    </x:row>
    <x:row r="7" ht="18" customHeight="1">
      <x:c r="A7" s="2" t="inlineStr">
        <x:is>
          <x:t xml:space="preserve">Monk</x:t>
        </x:is>
      </x:c>
      <x:c r="B7" s="2" t="inlineStr">
        <x:is>
          <x:t xml:space="preserve">Warrior of the Open Hand</x:t>
        </x:is>
      </x:c>
      <x:c r="C7" s="2" t="inlineStr">
        <x:is>
          <x:t xml:space="preserve"/>
        </x:is>
      </x:c>
      <x:c r="D7" s="2" t="inlineStr">
        <x:is>
          <x:t xml:space="preserve">SRD 5.2.1</x:t>
        </x:is>
      </x:c>
      <x:c r="E7" s="2" t="inlineStr">
        <x:is>
          <x:t xml:space="preserve">pp. 30-82</x:t>
        </x:is>
      </x:c>
    </x:row>
    <x:row r="8" ht="18" customHeight="1">
      <x:c r="A8" s="2" t="inlineStr">
        <x:is>
          <x:t xml:space="preserve">Paladin</x:t>
        </x:is>
      </x:c>
      <x:c r="B8" s="2" t="inlineStr">
        <x:is>
          <x:t xml:space="preserve">Oath of Devotion</x:t>
        </x:is>
      </x:c>
      <x:c r="C8" s="2" t="inlineStr">
        <x:is>
          <x:t xml:space="preserve">Oath of Devotion Uphold the Ideals of Justice and Order The Oath of Devotion binds Paladins to the ideals of justice and order. These Paladins meet the archetype of the knight in shining armor. They hold themselves to the highest standards of conduct, and some—for better or worse—hold the rest of the world to the same standards. Many who swear this oath are devoted to gods of law and good and use their gods’ tenets as the measure of personal devotion. Others hold angels as their ideals and incorporate images of angelic wings into their helmets or coats of arms. These paladins share the following tenets: • Let your word be your promise. • Protect the weak and never fear to act. • Let your honorable deeds be an example. Level 3: Oath of Devotion Spells The magic of your oath ensures you always have certain spells ready; when you reach a Paladin level specified in the Oath of Devotion Spells table, you thereafter always have the listed spells prepared. Oath of Devotion Spells Paladin Level Spells 3 Protection from Evil and Good, Shield of Faith 5 Aid, Zone of Truth 9 Beacon of Hope, Dispel Magic 13 Freedom of Movement, Guardian of Faith 17 Commune, Flame Strike Level 3: Sacred Weapon When you take the Attack action, you can expend one use of your Channel Divinity to imbue one Melee weapon that you are holding with positive energy. For 10 minutes or until you use this feature again, you add your Charisma modifier to attack rolls you make with that weapon (minimum bonus of +1), and each time you hit with it, you cause it to deal its normal damage type or Radiant damage. The weapon also emits Bright Light in a 20-foot radius and Dim Light 20 feet beyond that. You can end this effect early (no action required). This effect also ends if</x:t>
        </x:is>
      </x:c>
      <x:c r="D8" s="2" t="inlineStr">
        <x:is>
          <x:t xml:space="preserve">SRD 5.2.1</x:t>
        </x:is>
      </x:c>
      <x:c r="E8" s="2" t="inlineStr">
        <x:is>
          <x:t xml:space="preserve">pp. 30-82</x:t>
        </x:is>
      </x:c>
    </x:row>
    <x:row r="9" ht="18" customHeight="1">
      <x:c r="A9" s="2" t="inlineStr">
        <x:is>
          <x:t xml:space="preserve">Ranger</x:t>
        </x:is>
      </x:c>
      <x:c r="B9" s="2" t="inlineStr">
        <x:is>
          <x:t xml:space="preserve">Hunter</x:t>
        </x:is>
      </x:c>
      <x:c r="C9" s="2" t="inlineStr">
        <x:is>
          <x:t xml:space="preserve">Hunter’s Mark spell prepared. You can cast it twice without expending a spell slot, and you regain all expended uses of this ability when you finish a Long Rest. The number of times you can cast the spell without a spell slot increases when you reach certain Ranger levels, as shown in the Favored Enemy column of the Ranger Features table. Level 1: Weapon Mastery Your training with weapons allows you to use the mastery properties of two kinds of weapons of your Ranger Features Proficiency Bonus Favored Enemy Prepared Spells —Spell Slots per Spell Level— Level Class Features 1 2 3 4 5 1 +2 Spellcasting, Favored Enemy, Weapon Mastery 2 2 2 — — — — 2 +2 Deft Explorer, Fighting Style 2 3 2 — — — — 3 +2 Ranger Subclass 2 4 3 — — — — 4 +2 Ability Score Improvement 2 5 3 — — — — 5 +3 Extra Attack 3 6 4 2 — — — 6 +3 Roving 3 6 4 2 — — — 7 +3 Subclass feature 3 7 4 3 — — — 8 +3 Ability Score Improvement 3 7 4 3 — — — 9 +4 Expertise 4 9 4 3 2 — — 10 +4 Tireless 4 9 4 3 2 — — 11 +4 Subclass feature 4 10 4 3 3 — — 12 +4 Ability Score Improvement 4 10 4 3 3 — — 13 +5 Relentless Hunter 5 11 4 3 3 1 — 14 +5 Nature’s Veil 5 11 4 3 3 1 — 15 +5 Subclass feature 5 12 4 3 3 2 — 16 +5 Ability Score Improvement 5 12 4 3 3 2 — 17 +6 Precise Hunter 6 14 4 3 3 3 1 18 +6 Feral Senses 6 14 4 3 3 3 1 19 +6 Epic Boon 6 15 4 3 3 3 2 20 +6 Foe Slayer 6 15 4 3 3 3 2 choice with which you have proficiency, such as Longbows and Shortswords. Whenever you finish a Long Rest, you can change the kinds of weapons you chose. For example, you could switch to using the mastery properties of Scimitars and Longswords. Level 2: Deft Explorer Thanks to your travels, you gain the following benefits. Expertise. Choose one of your skill proficiencies with which you lack Expertise. You gain Expe</x:t>
        </x:is>
      </x:c>
      <x:c r="D9" s="2" t="inlineStr">
        <x:is>
          <x:t xml:space="preserve">SRD 5.2.1</x:t>
        </x:is>
      </x:c>
      <x:c r="E9" s="2" t="inlineStr">
        <x:is>
          <x:t xml:space="preserve">pp. 30-82</x:t>
        </x:is>
      </x:c>
    </x:row>
    <x:row r="10" ht="18" customHeight="1">
      <x:c r="A10" s="2" t="inlineStr">
        <x:is>
          <x:t xml:space="preserve">Rogue</x:t>
        </x:is>
      </x:c>
      <x:c r="B10" s="2" t="inlineStr">
        <x:is>
          <x:t xml:space="preserve">Thief</x:t>
        </x:is>
      </x:c>
      <x:c r="C10" s="2" t="inlineStr">
        <x:is>
          <x:t xml:space="preserve">Thief subclass is detailed after this class’s description. A subclass is a specialization that grants you features at certain Rogue levels. For the rest of your career, you gain each of your subclass’s features that are of your Rogue level or lower. Level 3: Steady Aim As a Bonus Action, you give yourself Advantage on your next attack roll on the current turn. You can use this feature only if you haven’t moved during this turn, and after you use it, your Speed is 0 until the end of the current turn. Rogue Features Level Proficiency Bonus Class Features Sneak Attack 1 +2 Expertise, Sneak Attack, Thieves’ Cant, Weapon Mastery 1d6 2 +2 Cunning Action 1d6 3 +2 Rogue Subclass, Steady Aim 2d6 4 +2 Ability Score Improvement 2d6 5 +3 Cunning Strike, Uncanny Dodge 3d6 6 +3 Expertise 3d6 7 +3 Evasion, Reliable Talent 4d6 8 +3 Ability Score Improvement 4d6 9 +4 Subclass feature 5d6 10 +4 Ability Score Improvement 5d6 11 +4 Improved Cunning Strike 6d6 12 +4 Ability Score Improvement 6d6 13 +5 Subclass feature 7d6 14 +5 Devious Strikes 7d6 15 +5 Slippery Mind 8d6 16 +5 Ability Score Improvement 8d6 17 +6 Subclass feature 9d6 18 +6 Elusive 9d6 19 +6 Epic Boon 10d6 20 +6 Stroke of Luck 10d6 Level 4: Ability Score Improvement You gain the Ability Score Improvement feat (see “Feats”) or another feat of your choice for which you qualify. You gain this feature again at Rogue levels 8, 10, 12, and 16. Level 5: Cunning Strike You’ve developed cunning ways to use your Sneak Attack. When you deal Sneak Attack damage, you can add one of the following Cunning Strike effects. Each effect has a die cost, which is the number of Sneak Attack damage dice you must forgo to add the effect. You remove the die before rolling, and the effect occurs immediately after the attack’s dam</x:t>
        </x:is>
      </x:c>
      <x:c r="D10" s="2" t="inlineStr">
        <x:is>
          <x:t xml:space="preserve">SRD 5.2.1</x:t>
        </x:is>
      </x:c>
      <x:c r="E10" s="2" t="inlineStr">
        <x:is>
          <x:t xml:space="preserve">pp. 30-82</x:t>
        </x:is>
      </x:c>
    </x:row>
    <x:row r="11" ht="18" customHeight="1">
      <x:c r="A11" s="2" t="inlineStr">
        <x:is>
          <x:t xml:space="preserve">Sorcerer</x:t>
        </x:is>
      </x:c>
      <x:c r="B11" s="2" t="inlineStr">
        <x:is>
          <x:t xml:space="preserve">Draconic Sorcery</x:t>
        </x:is>
      </x:c>
      <x:c r="C11" s="2" t="inlineStr">
        <x:is>
          <x:t xml:space="preserve">Draconic Sorcery subclass is detailed after this class’s description. A subclass is a specialization that grants you features at certain Sorcerer levels. For the rest of your career, you gain each of your subclass’s features that are of your Sorcerer level or lower. Level 4: Ability Score Improvement You gain the Ability Score Improvement feat (see “Feats”) or another feat of your choice for which you qualify. You gain this feature again at Sorcerer levels 8, 12, and 16. Level 5: Sorcerous Restoration When you finish a Short Rest, you can regain expended Sorcery Points, but no more than a number equal to half your Sorcerer level (round down). Once you use this feature, you can’t do so again until you finish a Long Rest. Level 7: Sorcery Incarnate If you have no uses of Innate Sorcery left, you can use it if you spend 2 Sorcery Points when you take the Bonus Action to activate it. In addition, while your Innate Sorcery feature is active, you can use up to two of your Metamagic options on each spell you cast. Level 19: Epic Boon You gain an Epic Boon feat (see “Feats”) or another feat of your choice for which you qualify. Boon of Dimensional Travel is recommended. Level 20: Arcane Apotheosis While your Innate Sorcery feature is active, you can use one Metamagic option on each of your turns without spending Sorcery Points on it. Metamagic Options The following options are available to your Meta magic feature. The options are presented in alphabetical order. Careful Spell Cost: 1 Sorcery Point When you cast a spell that forces other creatures to make a saving throw, you can protect some of those creatures from the spell’s full force. To do so, spend 1 Sorcery Point and choose a number of those creatures up to your Charisma modifier (minimum</x:t>
        </x:is>
      </x:c>
      <x:c r="D11" s="2" t="inlineStr">
        <x:is>
          <x:t xml:space="preserve">SRD 5.2.1</x:t>
        </x:is>
      </x:c>
      <x:c r="E11" s="2" t="inlineStr">
        <x:is>
          <x:t xml:space="preserve">pp. 30-82</x:t>
        </x:is>
      </x:c>
    </x:row>
    <x:row r="12" ht="18" customHeight="1">
      <x:c r="A12" s="2" t="inlineStr">
        <x:is>
          <x:t xml:space="preserve">Warlock</x:t>
        </x:is>
      </x:c>
      <x:c r="B12" s="2" t="inlineStr">
        <x:is>
          <x:t xml:space="preserve">Fiend Patron</x:t>
        </x:is>
      </x:c>
      <x:c r="C12" s="2" t="inlineStr">
        <x:is>
          <x:t xml:space="preserve">Fiend Patron subclass is detailed after this class’s description. A subclass is a specialization that grants you features at certain Warlock levels. For the rest of your career, you gain each of your subclass’s features that are of your Warlock level or lower. Level 4: Ability Score Improvement You gain the Ability Score Improvement feat (see “Feats”) or another feat of your choice for which you qualify. You gain this feature again at Warlock levels 8, 12, and 16. Level 9: Contact Patron In the past, you usually contacted your patron through intermediaries. Now you can communicate directly; you always have the Contact Other Plane spell prepared. With this feature, you can cast the spell without expending a spell slot to contact your patron, and you automatically succeed on the spell’s saving throw. Once you cast the spell with this feature, you can’t do so in this way again until you finish a Long Rest. Level 11: Mystic Arcanum Your patron grants you a magical secret called an arcanum. Choose one level 6 Warlock spell as this arcanum. You can cast your arcanum spell once without expending a spell slot, and you must finish a Long Rest before you can cast it in this way again. As shown in the Warlock Features table, you gain another Warlock spell of your choice that can be cast in this way when you reach Warlock levels 13 (level 7 spell), 15 (level 8 spell), and 17 (level 9 spell). You regain all uses of your Mystic Arcanum when you finish a Long Rest. Whenever you gain a Warlock level, you can replace one of your arcanum spells with another Warlock spell of the same level. Level 19: Epic Boon You gain an Epic Boon feat (see “Feats”) or another feat of your choice for which you qualify. Boon of Fate is recommended. Level 20: Eldritc</x:t>
        </x:is>
      </x:c>
      <x:c r="D12" s="2" t="inlineStr">
        <x:is>
          <x:t xml:space="preserve">SRD 5.2.1</x:t>
        </x:is>
      </x:c>
      <x:c r="E12" s="2" t="inlineStr">
        <x:is>
          <x:t xml:space="preserve">pp. 30-82</x:t>
        </x:is>
      </x:c>
    </x:row>
    <x:row r="13" ht="18" customHeight="1">
      <x:c r="A13" s="2" t="inlineStr">
        <x:is>
          <x:t xml:space="preserve">Wizard</x:t>
        </x:is>
      </x:c>
      <x:c r="B13" s="2" t="inlineStr">
        <x:is>
          <x:t xml:space="preserve">Evoker</x:t>
        </x:is>
      </x:c>
      <x:c r="C13" s="2" t="inlineStr">
        <x:is>
          <x:t xml:space="preserve">Evoker subclass is detailed after this class’s description. A subclass is a specialization that grants you features at certain Wizard levels. For the rest of your career, you gain each of your subclass’s features that are of your Wizard level or lower. Level 4: Ability Score Improvement You gain the Ability Score Improvement feat (see “Feats”) or another feat of your choice for which you qualify. You gain this feature again at Wizard levels 8, 12, and 16. Level 5: Memorize Spell Whenever you finish a Short Rest, you can study your spellbook and replace one of the level 1+ Wizard spells you have prepared for your Spellcasting feature with another level 1+ spell from the book. Level 18: Spell Mastery You have achieved such mastery over certain spells that you can cast them at will. Choose a level 1 and a level 2 spell in your spellbook that have a casting time of an action. You always have those spells prepared, and you can cast them at their lowest level without expending a spell slot. To cast either spell at a higher level, you must expend a spell slot. Whenever you finish a Long Rest, you can study your spellbook and replace one of those spells with an eligible spell of the same level from the book. Level 19: Epic Boon You gain an Epic Boon feat (see “Feats”) or another feat of your choice for which you qualify. Boon of Spell Recall is recommended. Level 20: Signature Spells Choose two level 3 spells in your spellbook as your signature spells. You always have these spells prepared, and you can cast each of them once at level 3 without expending a spell slot. When you do so, you can’t cast them in this way again until you finish a Short or Long Rest. To cast either spell at a higher level, you must expend a spell slot. Wizard Spell List</x:t>
        </x:is>
      </x:c>
      <x:c r="D13" s="2" t="inlineStr">
        <x:is>
          <x:t xml:space="preserve">SRD 5.2.1</x:t>
        </x:is>
      </x:c>
      <x:c r="E13" s="2" t="inlineStr">
        <x:is>
          <x:t xml:space="preserve">pp. 30-82</x:t>
        </x:is>
      </x:c>
    </x:row>
  </x:sheetData>
  <x:pageMargins left="0.7" right="0.7" top="0.75" bottom="0.75" header="0.3" footer="0.3"/>
</x:worksheet>
</file>

<file path=xl/worksheets/sheet22.xml><?xml version="1.0" encoding="utf-8"?>
<x:worksheet xmlns:x="http://schemas.openxmlformats.org/spreadsheetml/2006/main">
  <x:sheetViews>
    <x:sheetView showGridLines="1" workbookViewId="0"/>
  </x:sheetViews>
  <x:sheetFormatPr baseColWidth="8" defaultRowHeight="15"/>
  <x:cols>
    <x:col min="1" max="1" width="30" customWidth="1"/>
    <x:col min="2" max="2" width="16" customWidth="1"/>
    <x:col min="3" max="3" width="38" customWidth="1"/>
    <x:col min="4" max="4" width="45" customWidth="1"/>
    <x:col min="5" max="5" width="11" customWidth="1"/>
    <x:col min="6" max="6" width="11" customWidth="1"/>
  </x:cols>
  <x:sheetData>
    <x:row r="1" ht="18" customHeight="1">
      <x:c r="A1" s="5" t="inlineStr">
        <x:is>
          <x:t xml:space="preserve">Feat</x:t>
        </x:is>
      </x:c>
      <x:c r="B1" s="9" t="inlineStr">
        <x:is>
          <x:t xml:space="preserve">Category</x:t>
        </x:is>
      </x:c>
      <x:c r="C1" s="9" t="inlineStr">
        <x:is>
          <x:t xml:space="preserve">Prerequisite</x:t>
        </x:is>
      </x:c>
      <x:c r="D1" s="9" t="inlineStr">
        <x:is>
          <x:t xml:space="preserve">Summary</x:t>
        </x:is>
      </x:c>
      <x:c r="E1" s="9" t="inlineStr">
        <x:is>
          <x:t xml:space="preserve">Source</x:t>
        </x:is>
      </x:c>
      <x:c r="F1" s="9" t="inlineStr">
        <x:is>
          <x:t xml:space="preserve">Page Ref</x:t>
        </x:is>
      </x:c>
    </x:row>
    <x:row r="2" ht="18" customHeight="1">
      <x:c r="A2" s="2" t="inlineStr">
        <x:is>
          <x:t xml:space="preserve">Alert</x:t>
        </x:is>
      </x:c>
      <x:c r="B2" s="2" t="inlineStr">
        <x:is>
          <x:t xml:space="preserve">Origin</x:t>
        </x:is>
      </x:c>
      <x:c r="C2" s="2" t="inlineStr">
        <x:is>
          <x:t xml:space="preserve"/>
        </x:is>
      </x:c>
      <x:c r="D2" s="2" t="inlineStr">
        <x:is>
          <x:t xml:space="preserve">Alert Origin Feat You gain the following benefits. Initiative Proficiency. When you roll Initiative, you can add your Proficiency Bonus to the roll. Initiative Swap. Immediately after you roll Initiative, you can swap your Initiative with the Initiative of one willing ally in the same combat. You can’t make this swap if you or the ally has the Incapacitated condition.</x:t>
        </x:is>
      </x:c>
      <x:c r="E2" s="2" t="inlineStr">
        <x:is>
          <x:t xml:space="preserve">SRD 5.2.1</x:t>
        </x:is>
      </x:c>
      <x:c r="F2" s="2" t="inlineStr">
        <x:is>
          <x:t xml:space="preserve">pp. 87-88</x:t>
        </x:is>
      </x:c>
    </x:row>
    <x:row r="3" ht="18" customHeight="1">
      <x:c r="A3" s="2" t="inlineStr">
        <x:is>
          <x:t xml:space="preserve">Magic Initiate</x:t>
        </x:is>
      </x:c>
      <x:c r="B3" s="2" t="inlineStr">
        <x:is>
          <x:t xml:space="preserve">Origin</x:t>
        </x:is>
      </x:c>
      <x:c r="C3" s="2" t="inlineStr">
        <x:is>
          <x:t xml:space="preserve"/>
        </x:is>
      </x:c>
      <x:c r="D3" s="2" t="inlineStr">
        <x:is>
          <x:t xml:space="preserve">Magic Initiate Origin Feat You gain the following benefits. Two Cantrips. You learn two cantrips of your choice from the Cleric, Druid, or Wizard spell list. Intelligence, Wisdom, or Charisma is your spellcasting ability for this feat’s spells (choose when you select this feat). Level 1 Spell. Choose a level 1 spell from the same list you selected for this feat’s cantrips. You always have that spell prepared. You can cast it once without a spell slot, and you regain the ability to cast it in that way when you finish a Long Rest. You can also cast the spell using any spell slots you have. Spell Change. Whenever you gain a new level, you can replace one of the spells you chose for this feat with a different spell of the same level from the chosen spell list. Repeatable. You can take this feat more than once, but you must choose a different spell list each time.</x:t>
        </x:is>
      </x:c>
      <x:c r="E3" s="2" t="inlineStr">
        <x:is>
          <x:t xml:space="preserve">SRD 5.2.1</x:t>
        </x:is>
      </x:c>
      <x:c r="F3" s="2" t="inlineStr">
        <x:is>
          <x:t xml:space="preserve">pp. 87-88</x:t>
        </x:is>
      </x:c>
    </x:row>
    <x:row r="4" ht="18" customHeight="1">
      <x:c r="A4" s="2" t="inlineStr">
        <x:is>
          <x:t xml:space="preserve">Savage Attacker</x:t>
        </x:is>
      </x:c>
      <x:c r="B4" s="2" t="inlineStr">
        <x:is>
          <x:t xml:space="preserve">Origin</x:t>
        </x:is>
      </x:c>
      <x:c r="C4" s="2" t="inlineStr">
        <x:is>
          <x:t xml:space="preserve"/>
        </x:is>
      </x:c>
      <x:c r="D4" s="2" t="inlineStr">
        <x:is>
          <x:t xml:space="preserve">Savage Attacker Origin Feat You’ve trained to deal particularly damaging strikes. Once per turn when you hit a target with a weapon, you can roll the weapon’s damage dice twice and use either roll against the target.</x:t>
        </x:is>
      </x:c>
      <x:c r="E4" s="2" t="inlineStr">
        <x:is>
          <x:t xml:space="preserve">SRD 5.2.1</x:t>
        </x:is>
      </x:c>
      <x:c r="F4" s="2" t="inlineStr">
        <x:is>
          <x:t xml:space="preserve">pp. 87-88</x:t>
        </x:is>
      </x:c>
    </x:row>
    <x:row r="5" ht="18" customHeight="1">
      <x:c r="A5" s="2" t="inlineStr">
        <x:is>
          <x:t xml:space="preserve">Skilled</x:t>
        </x:is>
      </x:c>
      <x:c r="B5" s="2" t="inlineStr">
        <x:is>
          <x:t xml:space="preserve">Origin</x:t>
        </x:is>
      </x:c>
      <x:c r="C5" s="2" t="inlineStr">
        <x:is>
          <x:t xml:space="preserve"/>
        </x:is>
      </x:c>
      <x:c r="D5" s="2" t="inlineStr">
        <x:is>
          <x:t xml:space="preserve">Skilled Origin Feat You gain proficiency in any combination of three skills or tools of your choice. Repeatable. You can take this feat more than once. General Feats</x:t>
        </x:is>
      </x:c>
      <x:c r="E5" s="2" t="inlineStr">
        <x:is>
          <x:t xml:space="preserve">SRD 5.2.1</x:t>
        </x:is>
      </x:c>
      <x:c r="F5" s="2" t="inlineStr">
        <x:is>
          <x:t xml:space="preserve">pp. 87-88</x:t>
        </x:is>
      </x:c>
    </x:row>
    <x:row r="6" ht="18" customHeight="1">
      <x:c r="A6" s="2" t="inlineStr">
        <x:is>
          <x:t xml:space="preserve">Ability Score Improvement</x:t>
        </x:is>
      </x:c>
      <x:c r="B6" s="2" t="inlineStr">
        <x:is>
          <x:t xml:space="preserve">General</x:t>
        </x:is>
      </x:c>
      <x:c r="C6" s="2" t="inlineStr">
        <x:is>
          <x:t xml:space="preserve">Level 4+</x:t>
        </x:is>
      </x:c>
      <x:c r="D6" s="2" t="inlineStr">
        <x:is>
          <x:t xml:space="preserve">Ability Score Improvement General Feat (Prerequisite: Level 4+) Increase one ability score of your choice by 2, or increase two ability scores of your choice by 1. This feat can’t increase an ability score above 20. Repeatable. You can take this feat more than once.</x:t>
        </x:is>
      </x:c>
      <x:c r="E6" s="2" t="inlineStr">
        <x:is>
          <x:t xml:space="preserve">SRD 5.2.1</x:t>
        </x:is>
      </x:c>
      <x:c r="F6" s="2" t="inlineStr">
        <x:is>
          <x:t xml:space="preserve">pp. 87-88</x:t>
        </x:is>
      </x:c>
    </x:row>
    <x:row r="7" ht="18" customHeight="1">
      <x:c r="A7" s="2" t="inlineStr">
        <x:is>
          <x:t xml:space="preserve">Grappler</x:t>
        </x:is>
      </x:c>
      <x:c r="B7" s="2" t="inlineStr">
        <x:is>
          <x:t xml:space="preserve">General</x:t>
        </x:is>
      </x:c>
      <x:c r="C7" s="2" t="inlineStr">
        <x:is>
          <x:t xml:space="preserve">Level 4+, Strength or 
Dexterity 13+</x:t>
        </x:is>
      </x:c>
      <x:c r="D7" s="2" t="inlineStr">
        <x:is>
          <x:t xml:space="preserve">Grappler General Feat (Prerequisite: Level 4+, Strength or Dexterity 13+) You gain the following benefits. Ability Score Increase. Increase your Strength or Dexterity score by 1, to a maximum of 20. Punch and Grab. When you hit a creature with an Unarmed Strike as part of the Attack action on your turn, you can use both the Damage and the Grapple option. You can use this benefit only once per turn. Attack Advantage. You have Advantage on attack rolls against a creature Grappled by you. Fast Wrestler. You don’t have to spend extra movement to move a creature Grappled by you if the creature is your size or smaller. Fighting Style Feats</x:t>
        </x:is>
      </x:c>
      <x:c r="E7" s="2" t="inlineStr">
        <x:is>
          <x:t xml:space="preserve">SRD 5.2.1</x:t>
        </x:is>
      </x:c>
      <x:c r="F7" s="2" t="inlineStr">
        <x:is>
          <x:t xml:space="preserve">pp. 87-88</x:t>
        </x:is>
      </x:c>
    </x:row>
    <x:row r="8" ht="18" customHeight="1">
      <x:c r="A8" s="2" t="inlineStr">
        <x:is>
          <x:t xml:space="preserve">Archery</x:t>
        </x:is>
      </x:c>
      <x:c r="B8" s="2" t="inlineStr">
        <x:is>
          <x:t xml:space="preserve">Fighting Style</x:t>
        </x:is>
      </x:c>
      <x:c r="C8" s="2" t="inlineStr">
        <x:is>
          <x:t xml:space="preserve">Fighting Style 
Feature</x:t>
        </x:is>
      </x:c>
      <x:c r="D8" s="2" t="inlineStr">
        <x:is>
          <x:t xml:space="preserve">Archery Fighting Style Feat (Prerequisite: Fighting Style Feature) You gain a +2 bonus to attack rolls you make with Ranged weapons.</x:t>
        </x:is>
      </x:c>
      <x:c r="E8" s="2" t="inlineStr">
        <x:is>
          <x:t xml:space="preserve">SRD 5.2.1</x:t>
        </x:is>
      </x:c>
      <x:c r="F8" s="2" t="inlineStr">
        <x:is>
          <x:t xml:space="preserve">pp. 87-88</x:t>
        </x:is>
      </x:c>
    </x:row>
    <x:row r="9" ht="18" customHeight="1">
      <x:c r="A9" s="2" t="inlineStr">
        <x:is>
          <x:t xml:space="preserve">Defense</x:t>
        </x:is>
      </x:c>
      <x:c r="B9" s="2" t="inlineStr">
        <x:is>
          <x:t xml:space="preserve">Fighting Style</x:t>
        </x:is>
      </x:c>
      <x:c r="C9" s="2" t="inlineStr">
        <x:is>
          <x:t xml:space="preserve">Fighting Style 
Feature</x:t>
        </x:is>
      </x:c>
      <x:c r="D9" s="2" t="inlineStr">
        <x:is>
          <x:t xml:space="preserve">Defense Fighting Style Feat (Prerequisite: Fighting Style Feature) While you’re wearing Light, Medium, or Heavy armor, you gain a +1 bonus to Armor Class.</x:t>
        </x:is>
      </x:c>
      <x:c r="E9" s="2" t="inlineStr">
        <x:is>
          <x:t xml:space="preserve">SRD 5.2.1</x:t>
        </x:is>
      </x:c>
      <x:c r="F9" s="2" t="inlineStr">
        <x:is>
          <x:t xml:space="preserve">pp. 87-88</x:t>
        </x:is>
      </x:c>
    </x:row>
    <x:row r="10" ht="18" customHeight="1">
      <x:c r="A10" s="2" t="inlineStr">
        <x:is>
          <x:t xml:space="preserve">Great Weapon Fighting</x:t>
        </x:is>
      </x:c>
      <x:c r="B10" s="2" t="inlineStr">
        <x:is>
          <x:t xml:space="preserve">Fighting Style</x:t>
        </x:is>
      </x:c>
      <x:c r="C10" s="2" t="inlineStr">
        <x:is>
          <x:t xml:space="preserve">Fighting Style 
Feature</x:t>
        </x:is>
      </x:c>
      <x:c r="D10" s="2" t="inlineStr">
        <x:is>
          <x:t xml:space="preserve">Great Weapon Fighting Fighting Style Feat (Prerequisite: Fighting Style Feature) When you roll damage for an attack you make with a Melee weapon that you are holding with two hands, you can treat any 1 or 2 on a damage die as a 3. The weapon must have the Two-Handed or Versatile property to gain this benefit.</x:t>
        </x:is>
      </x:c>
      <x:c r="E10" s="2" t="inlineStr">
        <x:is>
          <x:t xml:space="preserve">SRD 5.2.1</x:t>
        </x:is>
      </x:c>
      <x:c r="F10" s="2" t="inlineStr">
        <x:is>
          <x:t xml:space="preserve">pp. 87-88</x:t>
        </x:is>
      </x:c>
    </x:row>
    <x:row r="11" ht="18" customHeight="1">
      <x:c r="A11" s="2" t="inlineStr">
        <x:is>
          <x:t xml:space="preserve">Two-Weapon Fighting</x:t>
        </x:is>
      </x:c>
      <x:c r="B11" s="2" t="inlineStr">
        <x:is>
          <x:t xml:space="preserve">Fighting Style</x:t>
        </x:is>
      </x:c>
      <x:c r="C11" s="2" t="inlineStr">
        <x:is>
          <x:t xml:space="preserve">Fighting Style 
Feature</x:t>
        </x:is>
      </x:c>
      <x:c r="D11" s="2" t="inlineStr">
        <x:is>
          <x:t xml:space="preserve">Two-Weapon Fighting Fighting Style Feat (Prerequisite: Fighting Style Feature) When you make an extra attack as a result of using a weapon that has the Light property, you can add your ability modifier to the damage of that attack if you aren’t already adding it to the damage. Epic Boon Feats</x:t>
        </x:is>
      </x:c>
      <x:c r="E11" s="2" t="inlineStr">
        <x:is>
          <x:t xml:space="preserve">SRD 5.2.1</x:t>
        </x:is>
      </x:c>
      <x:c r="F11" s="2" t="inlineStr">
        <x:is>
          <x:t xml:space="preserve">pp. 87-88</x:t>
        </x:is>
      </x:c>
    </x:row>
    <x:row r="12" ht="18" customHeight="1">
      <x:c r="A12" s="2" t="inlineStr">
        <x:is>
          <x:t xml:space="preserve">Boon of Combat Prowess</x:t>
        </x:is>
      </x:c>
      <x:c r="B12" s="2" t="inlineStr">
        <x:is>
          <x:t xml:space="preserve">Epic Boon</x:t>
        </x:is>
      </x:c>
      <x:c r="C12" s="2" t="inlineStr">
        <x:is>
          <x:t xml:space="preserve">Level 19+</x:t>
        </x:is>
      </x:c>
      <x:c r="D12" s="2" t="inlineStr">
        <x:is>
          <x:t xml:space="preserve">Boon of Combat Prowess Epic Boon Feat (Prerequisite: Level 19+) You gain the following benefits. Ability Score Increase. Increase one ability score of your choice by 1, to a maximum of 30. Peerless Aim. When you miss with an attack roll, you can hit instead. Once you use this benefit, you can’t use it again until the start of your next turn.</x:t>
        </x:is>
      </x:c>
      <x:c r="E12" s="2" t="inlineStr">
        <x:is>
          <x:t xml:space="preserve">SRD 5.2.1</x:t>
        </x:is>
      </x:c>
      <x:c r="F12" s="2" t="inlineStr">
        <x:is>
          <x:t xml:space="preserve">pp. 87-88</x:t>
        </x:is>
      </x:c>
    </x:row>
    <x:row r="13" ht="18" customHeight="1">
      <x:c r="A13" s="2" t="inlineStr">
        <x:is>
          <x:t xml:space="preserve">Boon of Dimensional Travel</x:t>
        </x:is>
      </x:c>
      <x:c r="B13" s="2" t="inlineStr">
        <x:is>
          <x:t xml:space="preserve">Epic Boon</x:t>
        </x:is>
      </x:c>
      <x:c r="C13" s="2" t="inlineStr">
        <x:is>
          <x:t xml:space="preserve">Level 19+</x:t>
        </x:is>
      </x:c>
      <x:c r="D13" s="2" t="inlineStr">
        <x:is>
          <x:t xml:space="preserve">Boon of Dimensional Travel Epic Boon Feat (Prerequisite: Level 19+) You gain the following benefits. Ability Score Increase. Increase one ability score of your choice by 1, to a maximum of 30. Blink Steps. Immediately after you take the Attack action or the Magic action, you can teleport up to 30 feet to an unoccupied space you can see.</x:t>
        </x:is>
      </x:c>
      <x:c r="E13" s="2" t="inlineStr">
        <x:is>
          <x:t xml:space="preserve">SRD 5.2.1</x:t>
        </x:is>
      </x:c>
      <x:c r="F13" s="2" t="inlineStr">
        <x:is>
          <x:t xml:space="preserve">pp. 87-88</x:t>
        </x:is>
      </x:c>
    </x:row>
    <x:row r="14" ht="18" customHeight="1">
      <x:c r="A14" s="2" t="inlineStr">
        <x:is>
          <x:t xml:space="preserve">Boon of Fate</x:t>
        </x:is>
      </x:c>
      <x:c r="B14" s="2" t="inlineStr">
        <x:is>
          <x:t xml:space="preserve">Epic Boon</x:t>
        </x:is>
      </x:c>
      <x:c r="C14" s="2" t="inlineStr">
        <x:is>
          <x:t xml:space="preserve">Level 19+</x:t>
        </x:is>
      </x:c>
      <x:c r="D14" s="2" t="inlineStr">
        <x:is>
          <x:t xml:space="preserve">Boon of Fate Epic Boon Feat (Prerequisite: Level 19+) You gain the following benefits. Ability Score Increase. Increase one ability score of your choice by 1, to a maximum of 30. Improve Fate. When you or another creature within 60 feet of you succeeds on or fails a D20 Test, you can roll 2d4 and apply the total rolled as a bonus or penalty to the d20 roll. Once you use this benefit, you can’t use it again until you roll Initiative or finish a Short or Long Rest.</x:t>
        </x:is>
      </x:c>
      <x:c r="E14" s="2" t="inlineStr">
        <x:is>
          <x:t xml:space="preserve">SRD 5.2.1</x:t>
        </x:is>
      </x:c>
      <x:c r="F14" s="2" t="inlineStr">
        <x:is>
          <x:t xml:space="preserve">pp. 87-88</x:t>
        </x:is>
      </x:c>
    </x:row>
    <x:row r="15" ht="18" customHeight="1">
      <x:c r="A15" s="2" t="inlineStr">
        <x:is>
          <x:t xml:space="preserve">Boon of Irresistible Offense</x:t>
        </x:is>
      </x:c>
      <x:c r="B15" s="2" t="inlineStr">
        <x:is>
          <x:t xml:space="preserve">Epic Boon</x:t>
        </x:is>
      </x:c>
      <x:c r="C15" s="2" t="inlineStr">
        <x:is>
          <x:t xml:space="preserve">Level 19+</x:t>
        </x:is>
      </x:c>
      <x:c r="D15" s="2" t="inlineStr">
        <x:is>
          <x:t xml:space="preserve">Boon of Irresistible Offense Epic Boon Feat (Prerequisite: Level 19+) You gain the following benefits. Ability Score Increase. Increase your Strength or Dexterity score by 1, to a maximum of 30. Overcome Defenses. The Bludgeoning, Piercing, and Slashing damage you deal always ignores Resistance. Overwhelming Strike. When you roll a 20 on the d20 for an attack roll, you can deal extra damage to the target equal to the ability score increased by this feat. The extra damage’s type is the same as the attack’s type. Boon of Spell Recall Epic Boon Feat (Prerequisite: Level 19+, Spellcasting Feature) You gain the following benefits. Ability Score Increase. Increase your Intelligence, Wisdom, or Charisma score by 1, to a maximum of 30. Free Casting. Whenever you cast a spell with a level 1–4 spell slot, roll 1d4. If the number you roll is the same as the slot’s level, the slot isn’t expended.</x:t>
        </x:is>
      </x:c>
      <x:c r="E15" s="2" t="inlineStr">
        <x:is>
          <x:t xml:space="preserve">SRD 5.2.1</x:t>
        </x:is>
      </x:c>
      <x:c r="F15" s="2" t="inlineStr">
        <x:is>
          <x:t xml:space="preserve">pp. 87-88</x:t>
        </x:is>
      </x:c>
    </x:row>
    <x:row r="16" ht="18" customHeight="1">
      <x:c r="A16" s="2" t="inlineStr">
        <x:is>
          <x:t xml:space="preserve">Boon of the Night Spirit</x:t>
        </x:is>
      </x:c>
      <x:c r="B16" s="2" t="inlineStr">
        <x:is>
          <x:t xml:space="preserve">Epic Boon</x:t>
        </x:is>
      </x:c>
      <x:c r="C16" s="2" t="inlineStr">
        <x:is>
          <x:t xml:space="preserve">Level 19+</x:t>
        </x:is>
      </x:c>
      <x:c r="D16" s="2" t="inlineStr">
        <x:is>
          <x:t xml:space="preserve">Boon of the Night Spirit Epic Boon Feat (Prerequisite: Level 19+) You gain the following benefits. Ability Score Increase. Increase one ability score of your choice by 1, to a maximum of 30. Merge with Shadows. While within Dim Light or Darkness, you can give yourself the Invisible condition as a Bonus Action. The condition ends on you immediately after you take an action, a Bonus Action, or a Reaction. Shadowy Form. While within Dim Light or Darkness, you have Resistance to all damage except Psychic and Radiant.</x:t>
        </x:is>
      </x:c>
      <x:c r="E16" s="2" t="inlineStr">
        <x:is>
          <x:t xml:space="preserve">SRD 5.2.1</x:t>
        </x:is>
      </x:c>
      <x:c r="F16" s="2" t="inlineStr">
        <x:is>
          <x:t xml:space="preserve">pp. 87-88</x:t>
        </x:is>
      </x:c>
    </x:row>
    <x:row r="17" ht="18" customHeight="1">
      <x:c r="A17" s="2" t="inlineStr">
        <x:is>
          <x:t xml:space="preserve">Boon of Truesight</x:t>
        </x:is>
      </x:c>
      <x:c r="B17" s="2" t="inlineStr">
        <x:is>
          <x:t xml:space="preserve">Epic Boon</x:t>
        </x:is>
      </x:c>
      <x:c r="C17" s="2" t="inlineStr">
        <x:is>
          <x:t xml:space="preserve">Level 19+</x:t>
        </x:is>
      </x:c>
      <x:c r="D17" s="2" t="inlineStr">
        <x:is>
          <x:t xml:space="preserve">Boon of Truesight Epic Boon Feat (Prerequisite: Level 19+) You gain the following benefits. Ability Score Increase. Increase one ability score of your choice by 1, to a maximum of 30. Truesight. You have Truesight with a range of 60 feet.</x:t>
        </x:is>
      </x:c>
      <x:c r="E17" s="2" t="inlineStr">
        <x:is>
          <x:t xml:space="preserve">SRD 5.2.1</x:t>
        </x:is>
      </x:c>
      <x:c r="F17" s="2" t="inlineStr">
        <x:is>
          <x:t xml:space="preserve">pp. 87-88</x:t>
        </x:is>
      </x:c>
    </x:row>
  </x:sheetData>
  <x:pageMargins left="0.7" right="0.7" top="0.75" bottom="0.75" header="0.3" footer="0.3"/>
</x:worksheet>
</file>

<file path=xl/worksheets/sheet23.xml><?xml version="1.0" encoding="utf-8"?>
<x:worksheet xmlns:x="http://schemas.openxmlformats.org/spreadsheetml/2006/main">
  <x:sheetViews>
    <x:sheetView showGridLines="1" workbookViewId="0"/>
  </x:sheetViews>
  <x:sheetFormatPr baseColWidth="8" defaultRowHeight="15"/>
  <x:cols>
    <x:col min="1" max="1" width="14" customWidth="1"/>
    <x:col min="2" max="2" width="37" customWidth="1"/>
    <x:col min="3" max="3" width="10" customWidth="1"/>
    <x:col min="4" max="4" width="15" customWidth="1"/>
    <x:col min="5" max="5" width="10" customWidth="1"/>
  </x:cols>
  <x:sheetData>
    <x:row r="1" ht="18" customHeight="1">
      <x:c r="A1" s="5" t="inlineStr">
        <x:is>
          <x:t xml:space="preserve">Ability</x:t>
        </x:is>
      </x:c>
      <x:c r="B1" s="9" t="inlineStr">
        <x:is>
          <x:t xml:space="preserve">Measures</x:t>
        </x:is>
      </x:c>
      <x:c r="D1" s="9" t="inlineStr">
        <x:is>
          <x:t xml:space="preserve">Ability Score</x:t>
        </x:is>
      </x:c>
      <x:c r="E1" s="9" t="inlineStr">
        <x:is>
          <x:t xml:space="preserve">Modifier</x:t>
        </x:is>
      </x:c>
    </x:row>
    <x:row r="2" ht="18" customHeight="1">
      <x:c r="A2" s="2" t="inlineStr">
        <x:is>
          <x:t xml:space="preserve">Strength</x:t>
        </x:is>
      </x:c>
      <x:c r="B2" s="2" t="inlineStr">
        <x:is>
          <x:t xml:space="preserve">Physical might</x:t>
        </x:is>
      </x:c>
      <x:c r="D2" s="2" t="inlineStr">
        <x:is>
          <x:t xml:space="preserve">1</x:t>
        </x:is>
      </x:c>
      <x:c r="E2" s="2" t="inlineStr">
        <x:is>
          <x:t xml:space="preserve">-5</x:t>
        </x:is>
      </x:c>
    </x:row>
    <x:row r="3" ht="18" customHeight="1">
      <x:c r="A3" s="2" t="inlineStr">
        <x:is>
          <x:t xml:space="preserve">Dexterity</x:t>
        </x:is>
      </x:c>
      <x:c r="B3" s="2" t="inlineStr">
        <x:is>
          <x:t xml:space="preserve">Agility, reflexes, and balance</x:t>
        </x:is>
      </x:c>
      <x:c r="D3" s="2" t="inlineStr">
        <x:is>
          <x:t xml:space="preserve">2-3</x:t>
        </x:is>
      </x:c>
      <x:c r="E3" s="2" t="inlineStr">
        <x:is>
          <x:t xml:space="preserve">-4</x:t>
        </x:is>
      </x:c>
    </x:row>
    <x:row r="4" ht="18" customHeight="1">
      <x:c r="A4" s="2" t="inlineStr">
        <x:is>
          <x:t xml:space="preserve">Constitution</x:t>
        </x:is>
      </x:c>
      <x:c r="B4" s="2" t="inlineStr">
        <x:is>
          <x:t xml:space="preserve">Health and stamina</x:t>
        </x:is>
      </x:c>
      <x:c r="D4" s="2" t="inlineStr">
        <x:is>
          <x:t xml:space="preserve">4-5</x:t>
        </x:is>
      </x:c>
      <x:c r="E4" s="2" t="inlineStr">
        <x:is>
          <x:t xml:space="preserve">-3</x:t>
        </x:is>
      </x:c>
    </x:row>
    <x:row r="5" ht="18" customHeight="1">
      <x:c r="A5" s="2" t="inlineStr">
        <x:is>
          <x:t xml:space="preserve">Intelligence</x:t>
        </x:is>
      </x:c>
      <x:c r="B5" s="2" t="inlineStr">
        <x:is>
          <x:t xml:space="preserve">Reasoning and memory</x:t>
        </x:is>
      </x:c>
      <x:c r="D5" s="2" t="inlineStr">
        <x:is>
          <x:t xml:space="preserve">6-7</x:t>
        </x:is>
      </x:c>
      <x:c r="E5" s="2" t="inlineStr">
        <x:is>
          <x:t xml:space="preserve">-2</x:t>
        </x:is>
      </x:c>
    </x:row>
    <x:row r="6" ht="18" customHeight="1">
      <x:c r="A6" s="2" t="inlineStr">
        <x:is>
          <x:t xml:space="preserve">Wisdom</x:t>
        </x:is>
      </x:c>
      <x:c r="B6" s="2" t="inlineStr">
        <x:is>
          <x:t xml:space="preserve">Perceptiveness and mental fortitude</x:t>
        </x:is>
      </x:c>
      <x:c r="D6" s="2" t="inlineStr">
        <x:is>
          <x:t xml:space="preserve">8-9</x:t>
        </x:is>
      </x:c>
      <x:c r="E6" s="2" t="inlineStr">
        <x:is>
          <x:t xml:space="preserve">-1</x:t>
        </x:is>
      </x:c>
    </x:row>
    <x:row r="7" ht="18" customHeight="1">
      <x:c r="A7" s="2" t="inlineStr">
        <x:is>
          <x:t xml:space="preserve">Charisma</x:t>
        </x:is>
      </x:c>
      <x:c r="B7" s="2" t="inlineStr">
        <x:is>
          <x:t xml:space="preserve">Confidence, poise, and charm</x:t>
        </x:is>
      </x:c>
      <x:c r="D7" s="2" t="inlineStr">
        <x:is>
          <x:t xml:space="preserve">10-11</x:t>
        </x:is>
      </x:c>
      <x:c r="E7" s="2" t="inlineStr">
        <x:is>
          <x:t xml:space="preserve">+0</x:t>
        </x:is>
      </x:c>
    </x:row>
    <x:row r="8" ht="18" customHeight="1">
      <x:c r="D8" s="2" t="inlineStr">
        <x:is>
          <x:t xml:space="preserve">12-13</x:t>
        </x:is>
      </x:c>
      <x:c r="E8" s="2" t="inlineStr">
        <x:is>
          <x:t xml:space="preserve">+1</x:t>
        </x:is>
      </x:c>
    </x:row>
    <x:row r="9" ht="18" customHeight="1">
      <x:c r="D9" s="2" t="inlineStr">
        <x:is>
          <x:t xml:space="preserve">14-15</x:t>
        </x:is>
      </x:c>
      <x:c r="E9" s="2" t="inlineStr">
        <x:is>
          <x:t xml:space="preserve">+2</x:t>
        </x:is>
      </x:c>
    </x:row>
    <x:row r="10" ht="18" customHeight="1">
      <x:c r="D10" s="2" t="inlineStr">
        <x:is>
          <x:t xml:space="preserve">16-17</x:t>
        </x:is>
      </x:c>
      <x:c r="E10" s="2" t="inlineStr">
        <x:is>
          <x:t xml:space="preserve">+3</x:t>
        </x:is>
      </x:c>
    </x:row>
    <x:row r="11" ht="18" customHeight="1">
      <x:c r="D11" s="2" t="inlineStr">
        <x:is>
          <x:t xml:space="preserve">18-19</x:t>
        </x:is>
      </x:c>
      <x:c r="E11" s="2" t="inlineStr">
        <x:is>
          <x:t xml:space="preserve">+4</x:t>
        </x:is>
      </x:c>
    </x:row>
    <x:row r="12" ht="18" customHeight="1">
      <x:c r="D12" s="2" t="inlineStr">
        <x:is>
          <x:t xml:space="preserve">20-21</x:t>
        </x:is>
      </x:c>
      <x:c r="E12" s="2" t="inlineStr">
        <x:is>
          <x:t xml:space="preserve">+5</x:t>
        </x:is>
      </x:c>
    </x:row>
    <x:row r="13" ht="18" customHeight="1">
      <x:c r="D13" s="2" t="inlineStr">
        <x:is>
          <x:t xml:space="preserve">22-23</x:t>
        </x:is>
      </x:c>
      <x:c r="E13" s="2" t="inlineStr">
        <x:is>
          <x:t xml:space="preserve">+6</x:t>
        </x:is>
      </x:c>
    </x:row>
    <x:row r="14" ht="18" customHeight="1">
      <x:c r="D14" s="2" t="inlineStr">
        <x:is>
          <x:t xml:space="preserve">24-25</x:t>
        </x:is>
      </x:c>
      <x:c r="E14" s="2" t="inlineStr">
        <x:is>
          <x:t xml:space="preserve">+7</x:t>
        </x:is>
      </x:c>
    </x:row>
    <x:row r="15" ht="18" customHeight="1">
      <x:c r="D15" s="2" t="inlineStr">
        <x:is>
          <x:t xml:space="preserve">26-27</x:t>
        </x:is>
      </x:c>
      <x:c r="E15" s="2" t="inlineStr">
        <x:is>
          <x:t xml:space="preserve">+8</x:t>
        </x:is>
      </x:c>
    </x:row>
    <x:row r="16" ht="18" customHeight="1">
      <x:c r="D16" s="2" t="inlineStr">
        <x:is>
          <x:t xml:space="preserve">28-29</x:t>
        </x:is>
      </x:c>
      <x:c r="E16" s="2" t="inlineStr">
        <x:is>
          <x:t xml:space="preserve">+9</x:t>
        </x:is>
      </x:c>
    </x:row>
    <x:row r="17" ht="18" customHeight="1">
      <x:c r="D17" s="2" t="inlineStr">
        <x:is>
          <x:t xml:space="preserve">30</x:t>
        </x:is>
      </x:c>
      <x:c r="E17" s="2" t="inlineStr">
        <x:is>
          <x:t xml:space="preserve">+10</x:t>
        </x:is>
      </x:c>
    </x:row>
  </x:sheetData>
  <x:pageMargins left="0.7" right="0.7" top="0.75" bottom="0.75" header="0.3" footer="0.3"/>
</x:worksheet>
</file>

<file path=xl/worksheets/sheet24.xml><?xml version="1.0" encoding="utf-8"?>
<x:worksheet xmlns:x="http://schemas.openxmlformats.org/spreadsheetml/2006/main">
  <x:sheetViews>
    <x:sheetView showGridLines="1" workbookViewId="0"/>
  </x:sheetViews>
  <x:sheetFormatPr baseColWidth="8" defaultRowHeight="15"/>
  <x:cols>
    <x:col min="1" max="1" width="45" customWidth="1"/>
    <x:col min="2" max="2" width="10" customWidth="1"/>
    <x:col min="3" max="3" width="15" customWidth="1"/>
    <x:col min="4" max="4" width="35" customWidth="1"/>
    <x:col min="5" max="5" width="41" customWidth="1"/>
    <x:col min="6" max="6" width="10" customWidth="1"/>
    <x:col min="7" max="7" width="45" customWidth="1"/>
    <x:col min="8" max="8" width="33" customWidth="1"/>
    <x:col min="9" max="9" width="45" customWidth="1"/>
    <x:col min="10" max="10" width="11" customWidth="1"/>
    <x:col min="11" max="11" width="13" customWidth="1"/>
  </x:cols>
  <x:sheetData>
    <x:row r="1" ht="18" customHeight="1">
      <x:c r="A1" s="5" t="inlineStr">
        <x:is>
          <x:t xml:space="preserve">Spell</x:t>
        </x:is>
      </x:c>
      <x:c r="B1" s="9" t="inlineStr">
        <x:is>
          <x:t xml:space="preserve">Level</x:t>
        </x:is>
      </x:c>
      <x:c r="C1" s="9" t="inlineStr">
        <x:is>
          <x:t xml:space="preserve">School</x:t>
        </x:is>
      </x:c>
      <x:c r="D1" s="9" t="inlineStr">
        <x:is>
          <x:t xml:space="preserve">Classes</x:t>
        </x:is>
      </x:c>
      <x:c r="E1" s="9" t="inlineStr">
        <x:is>
          <x:t xml:space="preserve">Casting Time</x:t>
        </x:is>
      </x:c>
      <x:c r="F1" s="9" t="inlineStr">
        <x:is>
          <x:t xml:space="preserve">Range</x:t>
        </x:is>
      </x:c>
      <x:c r="G1" s="9" t="inlineStr">
        <x:is>
          <x:t xml:space="preserve">Components</x:t>
        </x:is>
      </x:c>
      <x:c r="H1" s="9" t="inlineStr">
        <x:is>
          <x:t xml:space="preserve">Duration</x:t>
        </x:is>
      </x:c>
      <x:c r="I1" s="9" t="inlineStr">
        <x:is>
          <x:t xml:space="preserve">Description</x:t>
        </x:is>
      </x:c>
      <x:c r="J1" s="9" t="inlineStr">
        <x:is>
          <x:t xml:space="preserve">Source</x:t>
        </x:is>
      </x:c>
      <x:c r="K1" s="9" t="inlineStr">
        <x:is>
          <x:t xml:space="preserve">Page Ref</x:t>
        </x:is>
      </x:c>
    </x:row>
    <x:row r="2" ht="18" customHeight="1">
      <x:c r="A2" s="2" t="inlineStr">
        <x:is>
          <x:t xml:space="preserve">Acid Arrow</x:t>
        </x:is>
      </x:c>
      <x:c r="B2" s="2" t="inlineStr">
        <x:is>
          <x:t xml:space="preserve">2</x:t>
        </x:is>
      </x:c>
      <x:c r="C2" s="2" t="inlineStr">
        <x:is>
          <x:t xml:space="preserve">Evocation</x:t>
        </x:is>
      </x:c>
      <x:c r="D2" s="2" t="inlineStr">
        <x:is>
          <x:t xml:space="preserve">Wizard</x:t>
        </x:is>
      </x:c>
      <x:c r="E2" s="2" t="inlineStr">
        <x:is>
          <x:t xml:space="preserve">Action</x:t>
        </x:is>
      </x:c>
      <x:c r="F2" s="2" t="inlineStr">
        <x:is>
          <x:t xml:space="preserve">90 feet</x:t>
        </x:is>
      </x:c>
      <x:c r="G2" s="2" t="inlineStr">
        <x:is>
          <x:t xml:space="preserve">V, S, M (powdered rhubarb leaf)</x:t>
        </x:is>
      </x:c>
      <x:c r="H2" s="2" t="inlineStr">
        <x:is>
          <x:t xml:space="preserve">Instantaneous</x:t>
        </x:is>
      </x:c>
      <x:c r="I2" s="2" t="inlineStr">
        <x:is>
          <x:t xml:space="preserve">A shimmering green arrow streaks toward a target within range and bursts in a spray of acid. Make a ranged spell attack against the target. On a hit, the target takes 4d4 Acid damage and 2d4 Acid damage at the end of its next turn. On a miss, the arrow splashes the target with acid for half as much of the initial damage only. Using a Higher-Level Spell Slot. The damage (both initial and later) increases by 1d4 for each spell slot level above 2.</x:t>
        </x:is>
      </x:c>
      <x:c r="J2" s="2" t="inlineStr">
        <x:is>
          <x:t xml:space="preserve">SRD 5.2.1</x:t>
        </x:is>
      </x:c>
      <x:c r="K2" s="2" t="inlineStr">
        <x:is>
          <x:t xml:space="preserve">pp. 107-175</x:t>
        </x:is>
      </x:c>
    </x:row>
    <x:row r="3" ht="18" customHeight="1">
      <x:c r="A3" s="2" t="inlineStr">
        <x:is>
          <x:t xml:space="preserve">Acid Splash</x:t>
        </x:is>
      </x:c>
      <x:c r="B3" s="2" t="inlineStr">
        <x:is>
          <x:t xml:space="preserve">Cantrip</x:t>
        </x:is>
      </x:c>
      <x:c r="C3" s="2" t="inlineStr">
        <x:is>
          <x:t xml:space="preserve">Evocation</x:t>
        </x:is>
      </x:c>
      <x:c r="D3" s="2" t="inlineStr">
        <x:is>
          <x:t xml:space="preserve">Sorcerer, Wizard</x:t>
        </x:is>
      </x:c>
      <x:c r="E3" s="2" t="inlineStr">
        <x:is>
          <x:t xml:space="preserve">Action</x:t>
        </x:is>
      </x:c>
      <x:c r="F3" s="2" t="inlineStr">
        <x:is>
          <x:t xml:space="preserve">60 feet</x:t>
        </x:is>
      </x:c>
      <x:c r="G3" s="2" t="inlineStr">
        <x:is>
          <x:t xml:space="preserve">V, S</x:t>
        </x:is>
      </x:c>
      <x:c r="H3" s="2" t="inlineStr">
        <x:is>
          <x:t xml:space="preserve">Instantaneous</x:t>
        </x:is>
      </x:c>
      <x:c r="I3" s="2" t="inlineStr">
        <x:is>
          <x:t xml:space="preserve">You create an acidic bubble at a point within range, where it explodes in a 5-foot-radius Sphere. Each creature in that Sphere must succeed on a Dexterity</x:t>
        </x:is>
      </x:c>
      <x:c r="J3" s="2" t="inlineStr">
        <x:is>
          <x:t xml:space="preserve">SRD 5.2.1</x:t>
        </x:is>
      </x:c>
      <x:c r="K3" s="2" t="inlineStr">
        <x:is>
          <x:t xml:space="preserve">pp. 107-175</x:t>
        </x:is>
      </x:c>
    </x:row>
    <x:row r="4" ht="18" customHeight="1">
      <x:c r="A4" s="2" t="inlineStr">
        <x:is>
          <x:t xml:space="preserve">saving throw or take 1d6 Acid damage.</x:t>
        </x:is>
      </x:c>
      <x:c r="B4" s="2" t="inlineStr">
        <x:is>
          <x:t xml:space="preserve">Cantrip</x:t>
        </x:is>
      </x:c>
      <x:c r="C4" s="2" t="inlineStr">
        <x:is>
          <x:t xml:space="preserve"/>
        </x:is>
      </x:c>
      <x:c r="D4" s="2" t="inlineStr">
        <x:is>
          <x:t xml:space="preserve"/>
        </x:is>
      </x:c>
      <x:c r="E4" s="2" t="inlineStr">
        <x:is>
          <x:t xml:space="preserve"/>
        </x:is>
      </x:c>
      <x:c r="F4" s="2" t="inlineStr">
        <x:is>
          <x:t xml:space="preserve"/>
        </x:is>
      </x:c>
      <x:c r="G4" s="2" t="inlineStr">
        <x:is>
          <x:t xml:space="preserve"/>
        </x:is>
      </x:c>
      <x:c r="H4" s="2" t="inlineStr">
        <x:is>
          <x:t xml:space="preserve"/>
        </x:is>
      </x:c>
      <x:c r="I4" s="2" t="inlineStr">
        <x:is>
          <x:t xml:space="preserve">saving throw or take 1d6 Acid damage. Cantrip Upgrade. The damage increases by 1d6 when you reach levels 5 (2d6), 11 (3d6), and 17 (4d6).</x:t>
        </x:is>
      </x:c>
      <x:c r="J4" s="2" t="inlineStr">
        <x:is>
          <x:t xml:space="preserve">SRD 5.2.1</x:t>
        </x:is>
      </x:c>
      <x:c r="K4" s="2" t="inlineStr">
        <x:is>
          <x:t xml:space="preserve">pp. 107-175</x:t>
        </x:is>
      </x:c>
    </x:row>
    <x:row r="5" ht="18" customHeight="1">
      <x:c r="A5" s="2" t="inlineStr">
        <x:is>
          <x:t xml:space="preserve">Aid</x:t>
        </x:is>
      </x:c>
      <x:c r="B5" s="2" t="inlineStr">
        <x:is>
          <x:t xml:space="preserve">2</x:t>
        </x:is>
      </x:c>
      <x:c r="C5" s="2" t="inlineStr">
        <x:is>
          <x:t xml:space="preserve">Abjuration</x:t>
        </x:is>
      </x:c>
      <x:c r="D5" s="2" t="inlineStr">
        <x:is>
          <x:t xml:space="preserve"/>
        </x:is>
      </x:c>
      <x:c r="E5" s="2" t="inlineStr">
        <x:is>
          <x:t xml:space="preserve">Action</x:t>
        </x:is>
      </x:c>
      <x:c r="F5" s="2" t="inlineStr">
        <x:is>
          <x:t xml:space="preserve">30 feet</x:t>
        </x:is>
      </x:c>
      <x:c r="G5" s="2" t="inlineStr">
        <x:is>
          <x:t xml:space="preserve">V, S, M (a strip of white cloth)</x:t>
        </x:is>
      </x:c>
      <x:c r="H5" s="2" t="inlineStr">
        <x:is>
          <x:t xml:space="preserve">8 hours</x:t>
        </x:is>
      </x:c>
      <x:c r="I5" s="2" t="inlineStr">
        <x:is>
          <x:t xml:space="preserve">Choose up to three creatures within range. Each target’s Hit Point maximum and current Hit Points increase by 5 for the duration. Using a Higher-Level Spell Slot. Each target’s Hit Points increase by 5 for each spell slot level above 2.</x:t>
        </x:is>
      </x:c>
      <x:c r="J5" s="2" t="inlineStr">
        <x:is>
          <x:t xml:space="preserve">SRD 5.2.1</x:t>
        </x:is>
      </x:c>
      <x:c r="K5" s="2" t="inlineStr">
        <x:is>
          <x:t xml:space="preserve">pp. 107-175</x:t>
        </x:is>
      </x:c>
    </x:row>
    <x:row r="6" ht="18" customHeight="1">
      <x:c r="A6" s="2" t="inlineStr">
        <x:is>
          <x:t xml:space="preserve">Alarm</x:t>
        </x:is>
      </x:c>
      <x:c r="B6" s="2" t="inlineStr">
        <x:is>
          <x:t xml:space="preserve">1</x:t>
        </x:is>
      </x:c>
      <x:c r="C6" s="2" t="inlineStr">
        <x:is>
          <x:t xml:space="preserve">Abjuration</x:t>
        </x:is>
      </x:c>
      <x:c r="D6" s="2" t="inlineStr">
        <x:is>
          <x:t xml:space="preserve">Ranger, Wizard</x:t>
        </x:is>
      </x:c>
      <x:c r="E6" s="2" t="inlineStr">
        <x:is>
          <x:t xml:space="preserve">1 minute or Ritual</x:t>
        </x:is>
      </x:c>
      <x:c r="F6" s="2" t="inlineStr">
        <x:is>
          <x:t xml:space="preserve">30 feet</x:t>
        </x:is>
      </x:c>
      <x:c r="G6" s="2" t="inlineStr">
        <x:is>
          <x:t xml:space="preserve">V, S, M (a bell and silver wire)</x:t>
        </x:is>
      </x:c>
      <x:c r="H6" s="2" t="inlineStr">
        <x:is>
          <x:t xml:space="preserve">8 hours</x:t>
        </x:is>
      </x:c>
      <x:c r="I6" s="2" t="inlineStr">
        <x:is>
          <x:t xml:space="preserve">You set an alarm against intrusion. Choose a door, a window, or an area within range that is no larger than a 20-foot Cube. Until the spell ends, an alarm alerts you whenever a creature touches or enters the warded area. When you cast the spell, you can designate creatures that won’t set off the alarm. You also choose whether the alarm is audible or mental: Audible Alarm. The alarm produces the sound of a handbell for 10 seconds within 60 feet of the warded area. Mental Alarm. You are alerted by a mental ping if you are within 1 mile of the warded area. This ping awakens you if you’re asleep.</x:t>
        </x:is>
      </x:c>
      <x:c r="J6" s="2" t="inlineStr">
        <x:is>
          <x:t xml:space="preserve">SRD 5.2.1</x:t>
        </x:is>
      </x:c>
      <x:c r="K6" s="2" t="inlineStr">
        <x:is>
          <x:t xml:space="preserve">pp. 107-175</x:t>
        </x:is>
      </x:c>
    </x:row>
    <x:row r="7" ht="18" customHeight="1">
      <x:c r="A7" s="2" t="inlineStr">
        <x:is>
          <x:t xml:space="preserve">Alter Self</x:t>
        </x:is>
      </x:c>
      <x:c r="B7" s="2" t="inlineStr">
        <x:is>
          <x:t xml:space="preserve">2</x:t>
        </x:is>
      </x:c>
      <x:c r="C7" s="2" t="inlineStr">
        <x:is>
          <x:t xml:space="preserve">Transmutation</x:t>
        </x:is>
      </x:c>
      <x:c r="D7" s="2" t="inlineStr">
        <x:is>
          <x:t xml:space="preserve">Sorcerer, Wizard</x:t>
        </x:is>
      </x:c>
      <x:c r="E7" s="2" t="inlineStr">
        <x:is>
          <x:t xml:space="preserve">Action</x:t>
        </x:is>
      </x:c>
      <x:c r="F7" s="2" t="inlineStr">
        <x:is>
          <x:t xml:space="preserve">Self</x:t>
        </x:is>
      </x:c>
      <x:c r="G7" s="2" t="inlineStr">
        <x:is>
          <x:t xml:space="preserve">V, S</x:t>
        </x:is>
      </x:c>
      <x:c r="H7" s="2" t="inlineStr">
        <x:is>
          <x:t xml:space="preserve">Concentration, up to 1 hour</x:t>
        </x:is>
      </x:c>
      <x:c r="I7" s="2" t="inlineStr">
        <x:is>
          <x:t xml:space="preserve">You alter your physical form. Choose one of the following options. Its effects last for the duration, during which you can take a Magic action to replace the option you chose with a different one. Aquatic Adaptation. You sprout gills and grow webs between your fingers. You can breathe underwater and gain a Swim Speed equal to your Speed. Change Appearance. You alter your appearance. You decide what you look like, including your height, weight, facial features, sound of your voice, hair length, coloration, and other distinguishing characteristics. You can make yourself appear as a member of another species, though none of your statistics change. You can’t appear as a creature of a different size, and your basic shape stays the same; if you’re bipedal, you can’t use this spell to become quadrupedal, for instance. For the duration, you can take a Magic action to change your appearance in this way again. Natural Weapons. You grow claws (Slashing), fangs (Piercing), horns (Piercing), or hooves (Bludgeoning). When you use your Unarmed Strike to deal damage with that new growth, it deals 1d6 damage of the type in parentheses instead of dealing the normal damage for your Unarmed Strike, and you use your spellcasting ability modifier for the attack and damage rolls rather than using Strength.</x:t>
        </x:is>
      </x:c>
      <x:c r="J7" s="2" t="inlineStr">
        <x:is>
          <x:t xml:space="preserve">SRD 5.2.1</x:t>
        </x:is>
      </x:c>
      <x:c r="K7" s="2" t="inlineStr">
        <x:is>
          <x:t xml:space="preserve">pp. 107-175</x:t>
        </x:is>
      </x:c>
    </x:row>
    <x:row r="8" ht="18" customHeight="1">
      <x:c r="A8" s="2" t="inlineStr">
        <x:is>
          <x:t xml:space="preserve">Animal Friendship</x:t>
        </x:is>
      </x:c>
      <x:c r="B8" s="2" t="inlineStr">
        <x:is>
          <x:t xml:space="preserve">1</x:t>
        </x:is>
      </x:c>
      <x:c r="C8" s="2" t="inlineStr">
        <x:is>
          <x:t xml:space="preserve">Enchantment</x:t>
        </x:is>
      </x:c>
      <x:c r="D8" s="2" t="inlineStr">
        <x:is>
          <x:t xml:space="preserve">Bard, Druid, Ranger</x:t>
        </x:is>
      </x:c>
      <x:c r="E8" s="2" t="inlineStr">
        <x:is>
          <x:t xml:space="preserve">Action</x:t>
        </x:is>
      </x:c>
      <x:c r="F8" s="2" t="inlineStr">
        <x:is>
          <x:t xml:space="preserve">30 feet</x:t>
        </x:is>
      </x:c>
      <x:c r="G8" s="2" t="inlineStr">
        <x:is>
          <x:t xml:space="preserve">V, S, M (a morsel of food)</x:t>
        </x:is>
      </x:c>
      <x:c r="H8" s="2" t="inlineStr">
        <x:is>
          <x:t xml:space="preserve">24 hours</x:t>
        </x:is>
      </x:c>
      <x:c r="I8" s="2" t="inlineStr">
        <x:is>
          <x:t xml:space="preserve">Target a Beast that you can see within range. The target must succeed on a Wisdom saving throw or have the Charmed condition for the duration. If you or one of your allies deals damage to the target, the spells ends. Using a Higher-Level Spell Slot. You can target one additional Beast for each spell slot level above 1.</x:t>
        </x:is>
      </x:c>
      <x:c r="J8" s="2" t="inlineStr">
        <x:is>
          <x:t xml:space="preserve">SRD 5.2.1</x:t>
        </x:is>
      </x:c>
      <x:c r="K8" s="2" t="inlineStr">
        <x:is>
          <x:t xml:space="preserve">pp. 107-175</x:t>
        </x:is>
      </x:c>
    </x:row>
    <x:row r="9" ht="18" customHeight="1">
      <x:c r="A9" s="2" t="inlineStr">
        <x:is>
          <x:t xml:space="preserve">Animal Messenger</x:t>
        </x:is>
      </x:c>
      <x:c r="B9" s="2" t="inlineStr">
        <x:is>
          <x:t xml:space="preserve">2</x:t>
        </x:is>
      </x:c>
      <x:c r="C9" s="2" t="inlineStr">
        <x:is>
          <x:t xml:space="preserve">Enchantment</x:t>
        </x:is>
      </x:c>
      <x:c r="D9" s="2" t="inlineStr">
        <x:is>
          <x:t xml:space="preserve">Bard, Druid, Ranger</x:t>
        </x:is>
      </x:c>
      <x:c r="E9" s="2" t="inlineStr">
        <x:is>
          <x:t xml:space="preserve">Action or Ritual</x:t>
        </x:is>
      </x:c>
      <x:c r="F9" s="2" t="inlineStr">
        <x:is>
          <x:t xml:space="preserve">30 feet</x:t>
        </x:is>
      </x:c>
      <x:c r="G9" s="2" t="inlineStr">
        <x:is>
          <x:t xml:space="preserve">V, S, M (a morsel of food)</x:t>
        </x:is>
      </x:c>
      <x:c r="H9" s="2" t="inlineStr">
        <x:is>
          <x:t xml:space="preserve">24 hours</x:t>
        </x:is>
      </x:c>
      <x:c r="I9" s="2" t="inlineStr">
        <x:is>
          <x:t xml:space="preserve">A Tiny Beast of your choice that you can see within range must succeed on a Charisma saving throw, or it attempts to deliver a message for you (if the target’s Challenge Rating isn’t 0, it automatically succeeds). You specify a location you have visited and a recipient who matches a general description, such as “a person dressed in the uniform of the town guard” or “a red-haired dwarf wearing a pointed hat.” You also communicate a message of up to twenty-five words. The Beast travels for the duration toward the specified location, covering about 25 miles per 24 hours or 50 miles if the Beast can fly. When the Beast arrives, it delivers your message to the creature that you described, mimicking your communication. If the Beast doesn’t reach its destination before the spell ends, the message is lost, and the Beast returns to where you cast the spell. Using a Higher-Level Spell Slot. The spell’s duration increases by 48 hours for each spell slot level above 2.</x:t>
        </x:is>
      </x:c>
      <x:c r="J9" s="2" t="inlineStr">
        <x:is>
          <x:t xml:space="preserve">SRD 5.2.1</x:t>
        </x:is>
      </x:c>
      <x:c r="K9" s="2" t="inlineStr">
        <x:is>
          <x:t xml:space="preserve">pp. 107-175</x:t>
        </x:is>
      </x:c>
    </x:row>
    <x:row r="10" ht="18" customHeight="1">
      <x:c r="A10" s="2" t="inlineStr">
        <x:is>
          <x:t xml:space="preserve">Animal Shapes</x:t>
        </x:is>
      </x:c>
      <x:c r="B10" s="2" t="inlineStr">
        <x:is>
          <x:t xml:space="preserve">8</x:t>
        </x:is>
      </x:c>
      <x:c r="C10" s="2" t="inlineStr">
        <x:is>
          <x:t xml:space="preserve">Transmutation</x:t>
        </x:is>
      </x:c>
      <x:c r="D10" s="2" t="inlineStr">
        <x:is>
          <x:t xml:space="preserve">Druid</x:t>
        </x:is>
      </x:c>
      <x:c r="E10" s="2" t="inlineStr">
        <x:is>
          <x:t xml:space="preserve">Action</x:t>
        </x:is>
      </x:c>
      <x:c r="F10" s="2" t="inlineStr">
        <x:is>
          <x:t xml:space="preserve">30 feet</x:t>
        </x:is>
      </x:c>
      <x:c r="G10" s="2" t="inlineStr">
        <x:is>
          <x:t xml:space="preserve">V, S</x:t>
        </x:is>
      </x:c>
      <x:c r="H10" s="2" t="inlineStr">
        <x:is>
          <x:t xml:space="preserve">24 hours</x:t>
        </x:is>
      </x:c>
      <x:c r="I10" s="2" t="inlineStr">
        <x:is>
          <x:t xml:space="preserve">Choose any number of willing creatures that you can see within range. Each target shape-shifts into a Large or smaller Beast of your choice that has a Challenge Rating of 4 or lower. You can choose a different form for each target. On later turns, you can take a Magic action to transform the targets again. A target’s game statistics are replaced by the chosen Beast’s statistics, but the target retains its creature type; Hit Points; Hit Point Dice; alignment; ability to communicate; and Intelligence, Wisdom, and Charisma scores. The target’s actions are limited by the Beast form’s anatomy, and it can’t cast spells. The target’s equipment melds into the new form, and the target can’t use any of that equipment while in that form. The target gains a number of Temporary Hit Points equal to the Hit Points of the first form into which it shape-shifts. These Temporary Hit Points vanish if any remain when the spell ends. The transformation lasts for the duration or until the target ends it as a Bonus Action.</x:t>
        </x:is>
      </x:c>
      <x:c r="J10" s="2" t="inlineStr">
        <x:is>
          <x:t xml:space="preserve">SRD 5.2.1</x:t>
        </x:is>
      </x:c>
      <x:c r="K10" s="2" t="inlineStr">
        <x:is>
          <x:t xml:space="preserve">pp. 107-175</x:t>
        </x:is>
      </x:c>
    </x:row>
    <x:row r="11" ht="18" customHeight="1">
      <x:c r="A11" s="2" t="inlineStr">
        <x:is>
          <x:t xml:space="preserve">Animate Dead</x:t>
        </x:is>
      </x:c>
      <x:c r="B11" s="2" t="inlineStr">
        <x:is>
          <x:t xml:space="preserve">3</x:t>
        </x:is>
      </x:c>
      <x:c r="C11" s="2" t="inlineStr">
        <x:is>
          <x:t xml:space="preserve">Necromancy</x:t>
        </x:is>
      </x:c>
      <x:c r="D11" s="2" t="inlineStr">
        <x:is>
          <x:t xml:space="preserve">Cleric, Wizard</x:t>
        </x:is>
      </x:c>
      <x:c r="E11" s="2" t="inlineStr">
        <x:is>
          <x:t xml:space="preserve">1 minute</x:t>
        </x:is>
      </x:c>
      <x:c r="F11" s="2" t="inlineStr">
        <x:is>
          <x:t xml:space="preserve">10 feet</x:t>
        </x:is>
      </x:c>
      <x:c r="G11" s="2" t="inlineStr">
        <x:is>
          <x:t xml:space="preserve">V, S, M (a drop of blood, a piece of flesh,</x:t>
        </x:is>
      </x:c>
      <x:c r="H11" s="2" t="inlineStr">
        <x:is>
          <x:t xml:space="preserve">Instantaneous</x:t>
        </x:is>
      </x:c>
      <x:c r="I11" s="2" t="inlineStr">
        <x:is>
          <x:t xml:space="preserve">Choose a pile of bones or a corpse of a Medium or Small Humanoid within range. The target becomes an Undead creature: a Skeleton if you chose bones or a Zombie if you chose a corpse (see “Monsters” for the stat blocks). On each of your turns, you can take a Bonus Action to mentally command any creature you made with this spell if the creature is within 60 feet of you (if you control multiple creatures, you can command any of them at the same time, issuing the same command to each one). You decide what action the creature will take and where it will move on its next turn, or you can issue a general command, such as to guard a chamber or corridor. If you issue no commands, the creature takes the Dodge action and moves only to avoid harm. Once given an order, the creature continues to follow it until its task is complete. The creature is under your control for 24 hours, after which it stops obeying any command you’ve given it. To maintain control of the creature for another 24 hours, you must cast this spell on the creature again before the current 24-hour period ends. This use of the spell reasserts your control over up to four creatures you have animated with this spell rather than animating a new creature. Using a Higher-Level Spell Slot. You animate or reassert control over two additional Undead creatures for each spell slot level above 3. Each of the creatures must come from a different corpse or pile of bones.</x:t>
        </x:is>
      </x:c>
      <x:c r="J11" s="2" t="inlineStr">
        <x:is>
          <x:t xml:space="preserve">SRD 5.2.1</x:t>
        </x:is>
      </x:c>
      <x:c r="K11" s="2" t="inlineStr">
        <x:is>
          <x:t xml:space="preserve">pp. 107-175</x:t>
        </x:is>
      </x:c>
    </x:row>
    <x:row r="12" ht="18" customHeight="1">
      <x:c r="A12" s="2" t="inlineStr">
        <x:is>
          <x:t xml:space="preserve">Animate Objects</x:t>
        </x:is>
      </x:c>
      <x:c r="B12" s="2" t="inlineStr">
        <x:is>
          <x:t xml:space="preserve">5</x:t>
        </x:is>
      </x:c>
      <x:c r="C12" s="2" t="inlineStr">
        <x:is>
          <x:t xml:space="preserve">Transmutation</x:t>
        </x:is>
      </x:c>
      <x:c r="D12" s="2" t="inlineStr">
        <x:is>
          <x:t xml:space="preserve">Bard, Sorcerer, Wizard</x:t>
        </x:is>
      </x:c>
      <x:c r="E12" s="2" t="inlineStr">
        <x:is>
          <x:t xml:space="preserve">Action</x:t>
        </x:is>
      </x:c>
      <x:c r="F12" s="2" t="inlineStr">
        <x:is>
          <x:t xml:space="preserve">120 feet</x:t>
        </x:is>
      </x:c>
      <x:c r="G12" s="2" t="inlineStr">
        <x:is>
          <x:t xml:space="preserve">V, S</x:t>
        </x:is>
      </x:c>
      <x:c r="H12" s="2" t="inlineStr">
        <x:is>
          <x:t xml:space="preserve">Concentration, up to 1 minute</x:t>
        </x:is>
      </x:c>
      <x:c r="I12" s="2" t="inlineStr">
        <x:is>
          <x:t xml:space="preserve">Objects animate at your command. Choose a number of nonmagical objects within range that aren’t being worn or carried, aren’t fixed to a surface, and aren’t Gargantuan. The maximum number of objects is equal to your spellcasting ability modifier; for this number, a Medium or smaller target counts as one object, a Large target counts as two, and a Huge target counts as three. Each target animates, sprouts legs, and becomes a Construct that uses the Animated Object stat block; this creature is under your control until the spell ends or until it is reduced to 0 Hit Points. Each creature you make with this spell is an ally to you and your allies. In combat, it shares your Initiative count and takes its turn immediately after yours. Until the spell ends, you can take a Bonus Action to mentally command any creature you made with this spell if the creature is within 500 feet of you (if you control multiple creatures, you can command any of them at the same time, issuing the same command to each one). If you issue no commands, the creature takes the Dodge action and moves only to avoid harm. When the creature drops to 0 Hit Points, it reverts to its object form, and any remaining damage carries over to that form. Using a Higher-Level Spell Slot. The creature’s Slam damage increases by 1d4 (Medium or smaller), 1d6 (Large), or 1d12 (Huge) for each spell slot level above 5. or make attacks with Ranged or Reach weapons through the barrier. If you move so that an affected creature is forced to pass through the barrier, the spell ends.</x:t>
        </x:is>
      </x:c>
      <x:c r="J12" s="2" t="inlineStr">
        <x:is>
          <x:t xml:space="preserve">SRD 5.2.1</x:t>
        </x:is>
      </x:c>
      <x:c r="K12" s="2" t="inlineStr">
        <x:is>
          <x:t xml:space="preserve">pp. 107-175</x:t>
        </x:is>
      </x:c>
    </x:row>
    <x:row r="13" ht="18" customHeight="1">
      <x:c r="A13" s="2" t="inlineStr">
        <x:is>
          <x:t xml:space="preserve">Antimagic Field</x:t>
        </x:is>
      </x:c>
      <x:c r="B13" s="2" t="inlineStr">
        <x:is>
          <x:t xml:space="preserve">8</x:t>
        </x:is>
      </x:c>
      <x:c r="C13" s="2" t="inlineStr">
        <x:is>
          <x:t xml:space="preserve">Abjuration</x:t>
        </x:is>
      </x:c>
      <x:c r="D13" s="2" t="inlineStr">
        <x:is>
          <x:t xml:space="preserve">Cleric, Wizard</x:t>
        </x:is>
      </x:c>
      <x:c r="E13" s="2" t="inlineStr">
        <x:is>
          <x:t xml:space="preserve">Action</x:t>
        </x:is>
      </x:c>
      <x:c r="F13" s="2" t="inlineStr">
        <x:is>
          <x:t xml:space="preserve">Self</x:t>
        </x:is>
      </x:c>
      <x:c r="G13" s="2" t="inlineStr">
        <x:is>
          <x:t xml:space="preserve">V, S, M (iron filings)</x:t>
        </x:is>
      </x:c>
      <x:c r="H13" s="2" t="inlineStr">
        <x:is>
          <x:t xml:space="preserve">Concentration, up to 1 hour</x:t>
        </x:is>
      </x:c>
      <x:c r="I13" s="2" t="inlineStr">
        <x:is>
          <x:t xml:space="preserve">An aura of antimagic surrounds you in 10-foot Emanation. No one can cast spells, take Magic actions, or create other magical effects inside the aura, and those things can’t target or otherwise affect anything inside it. Magical properties of magic items don’t work inside the aura or on anything inside it. Areas of effect created by spells or other magic can’t extend into the aura, and no one can teleport into or out of it or use planar travel there. Portals close temporarily while in the aura. Ongoing spells, except those cast by an Artifact or a deity, are suppressed in the area. While an effect is suppressed, it doesn’t function, but the time it spends suppressed counts against its duration. Dispel Magic has no effect on the aura, and the auras created by different Antimagic Field spells don’t nullify each other.</x:t>
        </x:is>
      </x:c>
      <x:c r="J13" s="2" t="inlineStr">
        <x:is>
          <x:t xml:space="preserve">SRD 5.2.1</x:t>
        </x:is>
      </x:c>
      <x:c r="K13" s="2" t="inlineStr">
        <x:is>
          <x:t xml:space="preserve">pp. 107-175</x:t>
        </x:is>
      </x:c>
    </x:row>
    <x:row r="14" ht="18" customHeight="1">
      <x:c r="A14" s="2" t="inlineStr">
        <x:is>
          <x:t xml:space="preserve">Antipathy/Sympathy</x:t>
        </x:is>
      </x:c>
      <x:c r="B14" s="2" t="inlineStr">
        <x:is>
          <x:t xml:space="preserve">8</x:t>
        </x:is>
      </x:c>
      <x:c r="C14" s="2" t="inlineStr">
        <x:is>
          <x:t xml:space="preserve">Enchantment</x:t>
        </x:is>
      </x:c>
      <x:c r="D14" s="2" t="inlineStr">
        <x:is>
          <x:t xml:space="preserve">Bard, Druid, Wizard</x:t>
        </x:is>
      </x:c>
      <x:c r="E14" s="2" t="inlineStr">
        <x:is>
          <x:t xml:space="preserve">1 hour</x:t>
        </x:is>
      </x:c>
      <x:c r="F14" s="2" t="inlineStr">
        <x:is>
          <x:t xml:space="preserve">60 feet</x:t>
        </x:is>
      </x:c>
      <x:c r="G14" s="2" t="inlineStr">
        <x:is>
          <x:t xml:space="preserve">V, S, M (a mix of vinegar and honey)</x:t>
        </x:is>
      </x:c>
      <x:c r="H14" s="2" t="inlineStr">
        <x:is>
          <x:t xml:space="preserve">10 days</x:t>
        </x:is>
      </x:c>
      <x:c r="I14" s="2" t="inlineStr">
        <x:is>
          <x:t xml:space="preserve">As you cast the spell, choose whether it creates antipathy or sympathy, and target one creature or object that is Huge or smaller. Then specify a kind of creature, such as red dragons, goblins, or vampires. A creature of the chosen kind makes a Wisdom saving throw when it comes within 120 feet of the target. Your choice of antipathy or sympathy determines what happens to a creature when it fails that save: Antipathy. The creature has the Frightened condition. The Frightened creature must use its movement on its turns to get as far away as possible from the target, moving by the safest route. Sympathy. The creature has the Charmed condition. The Charmed creature must use its movement on its turns to get as close as possible to the target, moving by the safest route. If the creature is within 5 feet of the target, the creature can’t willingly move away. If the target damages the Charmed creature, that creature can make a Animated Object Huge or Smaller Construct, Unaligned AC 15 HP 10 (Medium or smaller), 20 (Large), 40 (Huge) Speed 30 ft. MOD SAVE MOD SAVE MOD SAVE Str 16 +3 +3 Dex 10 +0 +0 Con 10 +0 +0 Int 3 −4 −4 Wis 3 −4 −4 Cha 1 −5 −5 Immunities Poison, Psychic; Charmed, Exhaustion, Frightened, Paralyzed, Poisoned Senses Blindsight 30 ft.; Passive Perception 6 Languages Understands the languages you know CR None (XP 0; PB equals your Proficiency Bonus) Actions Slam. Melee Attack Roll: Bonus equals your spell attack modifier, reach 5 ft. Hit: Force damage equal to 1d4 + 3 (Medium or smaller), 2d6 + 3 + your spellcasting ability modifier (Large), or 2d12 + 3 + your spellcasting ability modifier (Huge).</x:t>
        </x:is>
      </x:c>
      <x:c r="J14" s="2" t="inlineStr">
        <x:is>
          <x:t xml:space="preserve">SRD 5.2.1</x:t>
        </x:is>
      </x:c>
      <x:c r="K14" s="2" t="inlineStr">
        <x:is>
          <x:t xml:space="preserve">pp. 107-175</x:t>
        </x:is>
      </x:c>
    </x:row>
    <x:row r="15" ht="18" customHeight="1">
      <x:c r="A15" s="2" t="inlineStr">
        <x:is>
          <x:t xml:space="preserve">Antilife Shell</x:t>
        </x:is>
      </x:c>
      <x:c r="B15" s="2" t="inlineStr">
        <x:is>
          <x:t xml:space="preserve">5</x:t>
        </x:is>
      </x:c>
      <x:c r="C15" s="2" t="inlineStr">
        <x:is>
          <x:t xml:space="preserve">Abjuration</x:t>
        </x:is>
      </x:c>
      <x:c r="D15" s="2" t="inlineStr">
        <x:is>
          <x:t xml:space="preserve">Druid</x:t>
        </x:is>
      </x:c>
      <x:c r="E15" s="2" t="inlineStr">
        <x:is>
          <x:t xml:space="preserve">Action</x:t>
        </x:is>
      </x:c>
      <x:c r="F15" s="2" t="inlineStr">
        <x:is>
          <x:t xml:space="preserve">Self</x:t>
        </x:is>
      </x:c>
      <x:c r="G15" s="2" t="inlineStr">
        <x:is>
          <x:t xml:space="preserve">V, S</x:t>
        </x:is>
      </x:c>
      <x:c r="H15" s="2" t="inlineStr">
        <x:is>
          <x:t xml:space="preserve">Concentration, up to 1 hour</x:t>
        </x:is>
      </x:c>
      <x:c r="I15" s="2" t="inlineStr">
        <x:is>
          <x:t xml:space="preserve">An aura extends from you in a 10-foot Emanation for the duration. The aura prevents creatures other than Constructs and Undead from passing or reaching through it. An affected creature can cast spells Wisdom saving throw to end the effect, as described below. Ending the Effect. If the Frightened or Charmed creature ends its turn more than 120 feet away from the target, the creature makes a Wisdom saving throw. On a successful save, the creature is no longer affected by the target. A creature that successfully saves against this effect is immune to it for 1 minute, after which it can be affected again.</x:t>
        </x:is>
      </x:c>
      <x:c r="J15" s="2" t="inlineStr">
        <x:is>
          <x:t xml:space="preserve">SRD 5.2.1</x:t>
        </x:is>
      </x:c>
      <x:c r="K15" s="2" t="inlineStr">
        <x:is>
          <x:t xml:space="preserve">pp. 107-175</x:t>
        </x:is>
      </x:c>
    </x:row>
    <x:row r="16" ht="18" customHeight="1">
      <x:c r="A16" s="2" t="inlineStr">
        <x:is>
          <x:t xml:space="preserve">Arcane Eye</x:t>
        </x:is>
      </x:c>
      <x:c r="B16" s="2" t="inlineStr">
        <x:is>
          <x:t xml:space="preserve">4</x:t>
        </x:is>
      </x:c>
      <x:c r="C16" s="2" t="inlineStr">
        <x:is>
          <x:t xml:space="preserve">Divination</x:t>
        </x:is>
      </x:c>
      <x:c r="D16" s="2" t="inlineStr">
        <x:is>
          <x:t xml:space="preserve">Wizard</x:t>
        </x:is>
      </x:c>
      <x:c r="E16" s="2" t="inlineStr">
        <x:is>
          <x:t xml:space="preserve">Action</x:t>
        </x:is>
      </x:c>
      <x:c r="F16" s="2" t="inlineStr">
        <x:is>
          <x:t xml:space="preserve">30 feet</x:t>
        </x:is>
      </x:c>
      <x:c r="G16" s="2" t="inlineStr">
        <x:is>
          <x:t xml:space="preserve">V, S, M (a bit of bat fur)</x:t>
        </x:is>
      </x:c>
      <x:c r="H16" s="2" t="inlineStr">
        <x:is>
          <x:t xml:space="preserve">Concentration, up to 1 hour</x:t>
        </x:is>
      </x:c>
      <x:c r="I16" s="2" t="inlineStr">
        <x:is>
          <x:t xml:space="preserve">You create an Invisible, invulnerable eye within range that hovers for the duration. You mentally receive visual information from the eye, which can see in every direction. It also has Darkvision with a range of 30 feet. As a Bonus Action, you can move the eye up to 30 feet in any direction. A solid barrier blocks the eye’s movement, but the eye can pass through an opening as small as 1 inch in diameter.</x:t>
        </x:is>
      </x:c>
      <x:c r="J16" s="2" t="inlineStr">
        <x:is>
          <x:t xml:space="preserve">SRD 5.2.1</x:t>
        </x:is>
      </x:c>
      <x:c r="K16" s="2" t="inlineStr">
        <x:is>
          <x:t xml:space="preserve">pp. 107-175</x:t>
        </x:is>
      </x:c>
    </x:row>
    <x:row r="17" ht="18" customHeight="1">
      <x:c r="A17" s="2" t="inlineStr">
        <x:is>
          <x:t xml:space="preserve">Arcane Hand</x:t>
        </x:is>
      </x:c>
      <x:c r="B17" s="2" t="inlineStr">
        <x:is>
          <x:t xml:space="preserve">5</x:t>
        </x:is>
      </x:c>
      <x:c r="C17" s="2" t="inlineStr">
        <x:is>
          <x:t xml:space="preserve">Evocation</x:t>
        </x:is>
      </x:c>
      <x:c r="D17" s="2" t="inlineStr">
        <x:is>
          <x:t xml:space="preserve">Sorcerer, Wizard</x:t>
        </x:is>
      </x:c>
      <x:c r="E17" s="2" t="inlineStr">
        <x:is>
          <x:t xml:space="preserve">Action</x:t>
        </x:is>
      </x:c>
      <x:c r="F17" s="2" t="inlineStr">
        <x:is>
          <x:t xml:space="preserve">120 feet</x:t>
        </x:is>
      </x:c>
      <x:c r="G17" s="2" t="inlineStr">
        <x:is>
          <x:t xml:space="preserve">V, S, M (an eggshell and a glove)</x:t>
        </x:is>
      </x:c>
      <x:c r="H17" s="2" t="inlineStr">
        <x:is>
          <x:t xml:space="preserve">Concentration, up to 1 minute</x:t>
        </x:is>
      </x:c>
      <x:c r="I17" s="2" t="inlineStr">
        <x:is>
          <x:t xml:space="preserve">You create a Large hand of shimmering magical energy in an unoccupied space that you can see within range. The hand lasts for the duration, and it moves at your command, mimicking the movements of your own hand. The hand is an object that has AC 20 and Hit Points equal to your Hit Point maximum. If it drops to 0 Hit Points, the spell ends. The hand doesn’t occupy its space. When you cast the spell and as a Bonus Action on your later turns, you can move the hand up to 60 feet and then cause one of the following effects: Clenched Fist. The hand strikes a target within 5 feet of it. Make a melee spell attack. On a hit, the target takes 5d8 Force damage. Forceful Hand. The hand attempts to push a Huge or smaller creature within 5 feet of it. The target must succeed on a Strength saving throw, or the hand pushes the target up to 5 feet plus a number of feet equal to five times your spellcasting ability modifier. The hand moves with the target, remaining within 5 feet of it. Grasping Hand. The hand attempts to grapple a Huge or smaller creature within 5 feet of it. The target must succeed on a Dexterity saving throw, or the target has the Grappled condition, with an escape DC equal to your spell save DC. While the hand grapples the target, you can take a Bonus Action to cause the hand to crush it, dealing Bludgeoning damage to the target equal to 4d6 plus your spellcasting ability modifier. Interposing Hand. The hand grants you Half Cover against attacks and other effects that originate from its space or that pass through it. In addition, its space counts as Difficult Terrain for your enemies. Using a Higher-Level Spell Slot. The damage of the Clenched Fist increases by 2d8 and the damage of the Grasping Hand increases by 2d6 for each spell slot level above 5.</x:t>
        </x:is>
      </x:c>
      <x:c r="J17" s="2" t="inlineStr">
        <x:is>
          <x:t xml:space="preserve">SRD 5.2.1</x:t>
        </x:is>
      </x:c>
      <x:c r="K17" s="2" t="inlineStr">
        <x:is>
          <x:t xml:space="preserve">pp. 107-175</x:t>
        </x:is>
      </x:c>
    </x:row>
    <x:row r="18" ht="18" customHeight="1">
      <x:c r="A18" s="2" t="inlineStr">
        <x:is>
          <x:t xml:space="preserve">Arcane Lock</x:t>
        </x:is>
      </x:c>
      <x:c r="B18" s="2" t="inlineStr">
        <x:is>
          <x:t xml:space="preserve">2</x:t>
        </x:is>
      </x:c>
      <x:c r="C18" s="2" t="inlineStr">
        <x:is>
          <x:t xml:space="preserve">Abjuration</x:t>
        </x:is>
      </x:c>
      <x:c r="D18" s="2" t="inlineStr">
        <x:is>
          <x:t xml:space="preserve">Wizard</x:t>
        </x:is>
      </x:c>
      <x:c r="E18" s="2" t="inlineStr">
        <x:is>
          <x:t xml:space="preserve">Action</x:t>
        </x:is>
      </x:c>
      <x:c r="F18" s="2" t="inlineStr">
        <x:is>
          <x:t xml:space="preserve">Touch</x:t>
        </x:is>
      </x:c>
      <x:c r="G18" s="2" t="inlineStr">
        <x:is>
          <x:t xml:space="preserve">V, S, M (gold dust worth 25+ GP, which</x:t>
        </x:is>
      </x:c>
      <x:c r="H18" s="2" t="inlineStr">
        <x:is>
          <x:t xml:space="preserve">Until dispelled</x:t>
        </x:is>
      </x:c>
      <x:c r="I18" s="2" t="inlineStr">
        <x:is>
          <x:t xml:space="preserve">You touch a closed door, window, gate, container, or hatch and magically lock it for the duration. This lock can’t be unlocked by any nonmagical means. You and any creatures you designate when you cast the spell can open and close the object despite the lock. You can also set a password that, when spoken within 5 feet of the object, unlocks it for 1 minute.</x:t>
        </x:is>
      </x:c>
      <x:c r="J18" s="2" t="inlineStr">
        <x:is>
          <x:t xml:space="preserve">SRD 5.2.1</x:t>
        </x:is>
      </x:c>
      <x:c r="K18" s="2" t="inlineStr">
        <x:is>
          <x:t xml:space="preserve">pp. 107-175</x:t>
        </x:is>
      </x:c>
    </x:row>
    <x:row r="19" ht="18" customHeight="1">
      <x:c r="A19" s="2" t="inlineStr">
        <x:is>
          <x:t xml:space="preserve">Arcane Sword</x:t>
        </x:is>
      </x:c>
      <x:c r="B19" s="2" t="inlineStr">
        <x:is>
          <x:t xml:space="preserve">7</x:t>
        </x:is>
      </x:c>
      <x:c r="C19" s="2" t="inlineStr">
        <x:is>
          <x:t xml:space="preserve">Evocation</x:t>
        </x:is>
      </x:c>
      <x:c r="D19" s="2" t="inlineStr">
        <x:is>
          <x:t xml:space="preserve">Bard, Wizard</x:t>
        </x:is>
      </x:c>
      <x:c r="E19" s="2" t="inlineStr">
        <x:is>
          <x:t xml:space="preserve">Action</x:t>
        </x:is>
      </x:c>
      <x:c r="F19" s="2" t="inlineStr">
        <x:is>
          <x:t xml:space="preserve">90 feet</x:t>
        </x:is>
      </x:c>
      <x:c r="G19" s="2" t="inlineStr">
        <x:is>
          <x:t xml:space="preserve">V, S, M (a miniature sword worth</x:t>
        </x:is>
      </x:c>
      <x:c r="H19" s="2" t="inlineStr">
        <x:is>
          <x:t xml:space="preserve">Concentration, up to 1 minute</x:t>
        </x:is>
      </x:c>
      <x:c r="I19" s="2" t="inlineStr">
        <x:is>
          <x:t xml:space="preserve">You create a spectral sword that hovers within range. It lasts for the duration. When the sword appears, you make a melee spell attack against a target within 5 feet of the sword. On a hit, the target takes Force damage equal to 4d12 plus your spellcasting ability modifier. On your later turns, you can take a Bonus Action to move the sword up to 30 feet to a spot you can see and repeat the attack against the same target or a different one.</x:t>
        </x:is>
      </x:c>
      <x:c r="J19" s="2" t="inlineStr">
        <x:is>
          <x:t xml:space="preserve">SRD 5.2.1</x:t>
        </x:is>
      </x:c>
      <x:c r="K19" s="2" t="inlineStr">
        <x:is>
          <x:t xml:space="preserve">pp. 107-175</x:t>
        </x:is>
      </x:c>
    </x:row>
    <x:row r="20" ht="18" customHeight="1">
      <x:c r="A20" s="2" t="inlineStr">
        <x:is>
          <x:t xml:space="preserve">Arcanist’s Magic Aura</x:t>
        </x:is>
      </x:c>
      <x:c r="B20" s="2" t="inlineStr">
        <x:is>
          <x:t xml:space="preserve">2</x:t>
        </x:is>
      </x:c>
      <x:c r="C20" s="2" t="inlineStr">
        <x:is>
          <x:t xml:space="preserve">Illusion</x:t>
        </x:is>
      </x:c>
      <x:c r="D20" s="2" t="inlineStr">
        <x:is>
          <x:t xml:space="preserve">Wizard</x:t>
        </x:is>
      </x:c>
      <x:c r="E20" s="2" t="inlineStr">
        <x:is>
          <x:t xml:space="preserve">Action</x:t>
        </x:is>
      </x:c>
      <x:c r="F20" s="2" t="inlineStr">
        <x:is>
          <x:t xml:space="preserve">Touch</x:t>
        </x:is>
      </x:c>
      <x:c r="G20" s="2" t="inlineStr">
        <x:is>
          <x:t xml:space="preserve">V, S, M (a small square of silk)</x:t>
        </x:is>
      </x:c>
      <x:c r="H20" s="2" t="inlineStr">
        <x:is>
          <x:t xml:space="preserve">24 hours</x:t>
        </x:is>
      </x:c>
      <x:c r="I20" s="2" t="inlineStr">
        <x:is>
          <x:t xml:space="preserve">With a touch, you place an illusion on a willing creature or an object that isn’t being worn or carried. A creature gains the Mask effect below, and an object gains the False Aura effect below. The effect lasts for the duration. If you cast the spell on the same target every day for 30 days, the illusion lasts until dispelled. Mask (Creature). Choose a creature type other than the target’s actual type. Spells and other magical effects treat the target as if it were a creature of the chosen type. False Aura (Object). You change the way the target appears to spells and magical effects that detect magical auras, such as Detect Magic. You can make a nonmagical object appear magical, make a magic item appear nonmagical, or change the object’s aura so that it appears to belong to a school of magic you choose.</x:t>
        </x:is>
      </x:c>
      <x:c r="J20" s="2" t="inlineStr">
        <x:is>
          <x:t xml:space="preserve">SRD 5.2.1</x:t>
        </x:is>
      </x:c>
      <x:c r="K20" s="2" t="inlineStr">
        <x:is>
          <x:t xml:space="preserve">pp. 107-175</x:t>
        </x:is>
      </x:c>
    </x:row>
    <x:row r="21" ht="18" customHeight="1">
      <x:c r="A21" s="2" t="inlineStr">
        <x:is>
          <x:t xml:space="preserve">Astral Projection</x:t>
        </x:is>
      </x:c>
      <x:c r="B21" s="2" t="inlineStr">
        <x:is>
          <x:t xml:space="preserve">9</x:t>
        </x:is>
      </x:c>
      <x:c r="C21" s="2" t="inlineStr">
        <x:is>
          <x:t xml:space="preserve">Necromancy</x:t>
        </x:is>
      </x:c>
      <x:c r="D21" s="2" t="inlineStr">
        <x:is>
          <x:t xml:space="preserve">Cleric, Warlock, Wizard</x:t>
        </x:is>
      </x:c>
      <x:c r="E21" s="2" t="inlineStr">
        <x:is>
          <x:t xml:space="preserve">1 hour</x:t>
        </x:is>
      </x:c>
      <x:c r="F21" s="2" t="inlineStr">
        <x:is>
          <x:t xml:space="preserve">10 feet</x:t>
        </x:is>
      </x:c>
      <x:c r="G21" s="2" t="inlineStr">
        <x:is>
          <x:t xml:space="preserve">V, S, M (for each of the spell’s targets,</x:t>
        </x:is>
      </x:c>
      <x:c r="H21" s="2" t="inlineStr">
        <x:is>
          <x:t xml:space="preserve">Until dispelled</x:t>
        </x:is>
      </x:c>
      <x:c r="I21" s="2" t="inlineStr">
        <x:is>
          <x:t xml:space="preserve">You and up to eight willing creatures within range project your astral bodies into the Astral Plane (the spell ends instantly if you are already on that plane). Each target’s body is left behind in a state of suspended animation; it has the Unconscious condition, doesn’t need food or air, and doesn’t age. A target’s astral form resembles its body in almost every way, replicating its game statistics and possessions. The principal difference is the addition of a silvery cord that trails from between the shoulder blades of the astral form. The cord fades from view after 1 foot. If the cord is cut—which happens only when an effect states that it does so—the target’s body and astral form both die. A target’s astral form can travel through the Astral Plane. The moment an astral form leaves that plane, the target’s body and possessions travel along the silver cord, causing the target to re-enter its body on the new plane. Any damage or other effects that apply to an astral form have no effect on the target’s body and vice versa. If a target’s body or astral form drops to 0 Hit Points, the spell ends for that target. The spell ends for all the targets if you take a Magic action to dismiss it. When the spell ends for a target who isn’t dead, the target reappears in its body and exits the state of suspended animation.</x:t>
        </x:is>
      </x:c>
      <x:c r="J21" s="2" t="inlineStr">
        <x:is>
          <x:t xml:space="preserve">SRD 5.2.1</x:t>
        </x:is>
      </x:c>
      <x:c r="K21" s="2" t="inlineStr">
        <x:is>
          <x:t xml:space="preserve">pp. 107-175</x:t>
        </x:is>
      </x:c>
    </x:row>
    <x:row r="22" ht="18" customHeight="1">
      <x:c r="A22" s="2" t="inlineStr">
        <x:is>
          <x:t xml:space="preserve">Augury</x:t>
        </x:is>
      </x:c>
      <x:c r="B22" s="2" t="inlineStr">
        <x:is>
          <x:t xml:space="preserve">2</x:t>
        </x:is>
      </x:c>
      <x:c r="C22" s="2" t="inlineStr">
        <x:is>
          <x:t xml:space="preserve">Divination</x:t>
        </x:is>
      </x:c>
      <x:c r="D22" s="2" t="inlineStr">
        <x:is>
          <x:t xml:space="preserve">Cleric, Druid, Wizard</x:t>
        </x:is>
      </x:c>
      <x:c r="E22" s="2" t="inlineStr">
        <x:is>
          <x:t xml:space="preserve">1 minute or Ritual</x:t>
        </x:is>
      </x:c>
      <x:c r="F22" s="2" t="inlineStr">
        <x:is>
          <x:t xml:space="preserve">Self</x:t>
        </x:is>
      </x:c>
      <x:c r="G22" s="2" t="inlineStr">
        <x:is>
          <x:t xml:space="preserve">V, S, M (specially marked sticks, bones,</x:t>
        </x:is>
      </x:c>
      <x:c r="H22" s="2" t="inlineStr">
        <x:is>
          <x:t xml:space="preserve">Instantaneous</x:t>
        </x:is>
      </x:c>
      <x:c r="I22" s="2" t="inlineStr">
        <x:is>
          <x:t xml:space="preserve">You receive an omen from an otherworldly entity about the results of a course of action that you plan to take within the next 30 minutes. The GM chooses the omen from the Omens table. Omens Omen For Results That Will Be … Weal Good Woe Bad Weal and woe Good and bad Indifference Neither good nor bad The spell doesn’t account for circumstances, such as other spells, that might change the results. If you cast the spell more than once before finishing a Long Rest, there is a cumulative 25 percent chance for each casting after the first that you get no answer.</x:t>
        </x:is>
      </x:c>
      <x:c r="J22" s="2" t="inlineStr">
        <x:is>
          <x:t xml:space="preserve">SRD 5.2.1</x:t>
        </x:is>
      </x:c>
      <x:c r="K22" s="2" t="inlineStr">
        <x:is>
          <x:t xml:space="preserve">pp. 107-175</x:t>
        </x:is>
      </x:c>
    </x:row>
    <x:row r="23" ht="18" customHeight="1">
      <x:c r="A23" s="2" t="inlineStr">
        <x:is>
          <x:t xml:space="preserve">Aura of Life</x:t>
        </x:is>
      </x:c>
      <x:c r="B23" s="2" t="inlineStr">
        <x:is>
          <x:t xml:space="preserve">4</x:t>
        </x:is>
      </x:c>
      <x:c r="C23" s="2" t="inlineStr">
        <x:is>
          <x:t xml:space="preserve">Abjuration</x:t>
        </x:is>
      </x:c>
      <x:c r="D23" s="2" t="inlineStr">
        <x:is>
          <x:t xml:space="preserve">Cleric, Paladin</x:t>
        </x:is>
      </x:c>
      <x:c r="E23" s="2" t="inlineStr">
        <x:is>
          <x:t xml:space="preserve">Action</x:t>
        </x:is>
      </x:c>
      <x:c r="F23" s="2" t="inlineStr">
        <x:is>
          <x:t xml:space="preserve">Self</x:t>
        </x:is>
      </x:c>
      <x:c r="G23" s="2" t="inlineStr">
        <x:is>
          <x:t xml:space="preserve">V</x:t>
        </x:is>
      </x:c>
      <x:c r="H23" s="2" t="inlineStr">
        <x:is>
          <x:t xml:space="preserve">Concentration, up to 10 minutes</x:t>
        </x:is>
      </x:c>
      <x:c r="I23" s="2" t="inlineStr">
        <x:is>
          <x:t xml:space="preserve">An aura radiates from you in a 30-foot Emanation for the duration. While in the aura, you and your allies have Resistance to Necrotic damage, and your Hit Point maximums can’t be reduced. If an ally with 0 Hit Points starts its turn in the aura, that ally regains 1 Hit Point.</x:t>
        </x:is>
      </x:c>
      <x:c r="J23" s="2" t="inlineStr">
        <x:is>
          <x:t xml:space="preserve">SRD 5.2.1</x:t>
        </x:is>
      </x:c>
      <x:c r="K23" s="2" t="inlineStr">
        <x:is>
          <x:t xml:space="preserve">pp. 107-175</x:t>
        </x:is>
      </x:c>
    </x:row>
    <x:row r="24" ht="18" customHeight="1">
      <x:c r="A24" s="2" t="inlineStr">
        <x:is>
          <x:t xml:space="preserve">Awaken</x:t>
        </x:is>
      </x:c>
      <x:c r="B24" s="2" t="inlineStr">
        <x:is>
          <x:t xml:space="preserve">5</x:t>
        </x:is>
      </x:c>
      <x:c r="C24" s="2" t="inlineStr">
        <x:is>
          <x:t xml:space="preserve">Transmutation</x:t>
        </x:is>
      </x:c>
      <x:c r="D24" s="2" t="inlineStr">
        <x:is>
          <x:t xml:space="preserve">Bard, Druid</x:t>
        </x:is>
      </x:c>
      <x:c r="E24" s="2" t="inlineStr">
        <x:is>
          <x:t xml:space="preserve">8 hours</x:t>
        </x:is>
      </x:c>
      <x:c r="F24" s="2" t="inlineStr">
        <x:is>
          <x:t xml:space="preserve">Touch</x:t>
        </x:is>
      </x:c>
      <x:c r="G24" s="2" t="inlineStr">
        <x:is>
          <x:t xml:space="preserve">V, S, M (an agate worth 1,000+ GP, which</x:t>
        </x:is>
      </x:c>
      <x:c r="H24" s="2" t="inlineStr">
        <x:is>
          <x:t xml:space="preserve">Instantaneous</x:t>
        </x:is>
      </x:c>
      <x:c r="I24" s="2" t="inlineStr">
        <x:is>
          <x:t xml:space="preserve">You spend the casting time tracing magical pathways within a precious gemstone, and then touch the target. The target must be either a Beast or Plant creature with an Intelligence of 3 or less or a natural plant that isn’t a creature. The target gains an Intelligence of 10 and the ability to speak one language you know. If the target is a natural plant, it becomes a Plant creature and gains the ability to move its limbs, roots, vines, creepers, and so forth, and it gains senses similar to a human’s. The GM chooses statistics appropriate for the awakened Plant, such as the statistics for the Awakened Shrub or Awakened Tree in “Monsters.” The awakened target has the Charmed condition for 30 days or until you or your allies deal damage to it. When that condition ends, the awakened creature chooses its attitude toward you.</x:t>
        </x:is>
      </x:c>
      <x:c r="J24" s="2" t="inlineStr">
        <x:is>
          <x:t xml:space="preserve">SRD 5.2.1</x:t>
        </x:is>
      </x:c>
      <x:c r="K24" s="2" t="inlineStr">
        <x:is>
          <x:t xml:space="preserve">pp. 107-175</x:t>
        </x:is>
      </x:c>
    </x:row>
    <x:row r="25" ht="18" customHeight="1">
      <x:c r="A25" s="2" t="inlineStr">
        <x:is>
          <x:t xml:space="preserve">Bane</x:t>
        </x:is>
      </x:c>
      <x:c r="B25" s="2" t="inlineStr">
        <x:is>
          <x:t xml:space="preserve">1</x:t>
        </x:is>
      </x:c>
      <x:c r="C25" s="2" t="inlineStr">
        <x:is>
          <x:t xml:space="preserve">Enchantment</x:t>
        </x:is>
      </x:c>
      <x:c r="D25" s="2" t="inlineStr">
        <x:is>
          <x:t xml:space="preserve">Bard, Cleric, Warlock</x:t>
        </x:is>
      </x:c>
      <x:c r="E25" s="2" t="inlineStr">
        <x:is>
          <x:t xml:space="preserve">Action</x:t>
        </x:is>
      </x:c>
      <x:c r="F25" s="2" t="inlineStr">
        <x:is>
          <x:t xml:space="preserve">30 feet</x:t>
        </x:is>
      </x:c>
      <x:c r="G25" s="2" t="inlineStr">
        <x:is>
          <x:t xml:space="preserve">V, S, M (a drop of blood)</x:t>
        </x:is>
      </x:c>
      <x:c r="H25" s="2" t="inlineStr">
        <x:is>
          <x:t xml:space="preserve">Concentration, up to 1 minute</x:t>
        </x:is>
      </x:c>
      <x:c r="I25" s="2" t="inlineStr">
        <x:is>
          <x:t xml:space="preserve">Up to three creatures of your choice that you can see within range must each make a Charisma saving throw. Whenever a target that fails this save makes an attack roll or a saving throw before the spell ends, the target must subtract 1d4 from the attack roll or save. Using a Higher-Level Spell Slot. You can target one additional creature for each spell slot level above 1.</x:t>
        </x:is>
      </x:c>
      <x:c r="J25" s="2" t="inlineStr">
        <x:is>
          <x:t xml:space="preserve">SRD 5.2.1</x:t>
        </x:is>
      </x:c>
      <x:c r="K25" s="2" t="inlineStr">
        <x:is>
          <x:t xml:space="preserve">pp. 107-175</x:t>
        </x:is>
      </x:c>
    </x:row>
    <x:row r="26" ht="18" customHeight="1">
      <x:c r="A26" s="2" t="inlineStr">
        <x:is>
          <x:t xml:space="preserve">Banishment</x:t>
        </x:is>
      </x:c>
      <x:c r="B26" s="2" t="inlineStr">
        <x:is>
          <x:t xml:space="preserve">4</x:t>
        </x:is>
      </x:c>
      <x:c r="C26" s="2" t="inlineStr">
        <x:is>
          <x:t xml:space="preserve">Abjuration</x:t>
        </x:is>
      </x:c>
      <x:c r="D26" s="2" t="inlineStr">
        <x:is>
          <x:t xml:space="preserve"/>
        </x:is>
      </x:c>
      <x:c r="E26" s="2" t="inlineStr">
        <x:is>
          <x:t xml:space="preserve">Action</x:t>
        </x:is>
      </x:c>
      <x:c r="F26" s="2" t="inlineStr">
        <x:is>
          <x:t xml:space="preserve">30 feet</x:t>
        </x:is>
      </x:c>
      <x:c r="G26" s="2" t="inlineStr">
        <x:is>
          <x:t xml:space="preserve">V, S, M (a pentacle)</x:t>
        </x:is>
      </x:c>
      <x:c r="H26" s="2" t="inlineStr">
        <x:is>
          <x:t xml:space="preserve">Concentration, up to 1 minute</x:t>
        </x:is>
      </x:c>
      <x:c r="I26" s="2" t="inlineStr">
        <x:is>
          <x:t xml:space="preserve">One creature that you can see within range must succeed on a Charisma saving throw or be transported to a harmless demiplane for the duration. While there, the target has the Incapacitated condition. When the spell ends, the target reappears in the space it left or in the nearest unoccupied space if that space is occupied. If the target is an Aberration, a Celestial, an Elemental, a Fey, or a Fiend, the target doesn’t return if the spell lasts for 1 minute. The target is instead transported to a random location on a plane (GM’s choice) associated with its creature type. Using a Higher-Level Spell Slot. You can target one additional creature for each spell slot level above 4.</x:t>
        </x:is>
      </x:c>
      <x:c r="J26" s="2" t="inlineStr">
        <x:is>
          <x:t xml:space="preserve">SRD 5.2.1</x:t>
        </x:is>
      </x:c>
      <x:c r="K26" s="2" t="inlineStr">
        <x:is>
          <x:t xml:space="preserve">pp. 107-175</x:t>
        </x:is>
      </x:c>
    </x:row>
    <x:row r="27" ht="18" customHeight="1">
      <x:c r="A27" s="2" t="inlineStr">
        <x:is>
          <x:t xml:space="preserve">Barkskin</x:t>
        </x:is>
      </x:c>
      <x:c r="B27" s="2" t="inlineStr">
        <x:is>
          <x:t xml:space="preserve">2</x:t>
        </x:is>
      </x:c>
      <x:c r="C27" s="2" t="inlineStr">
        <x:is>
          <x:t xml:space="preserve">Transmutation</x:t>
        </x:is>
      </x:c>
      <x:c r="D27" s="2" t="inlineStr">
        <x:is>
          <x:t xml:space="preserve">Druid, Ranger</x:t>
        </x:is>
      </x:c>
      <x:c r="E27" s="2" t="inlineStr">
        <x:is>
          <x:t xml:space="preserve">Bonus Action</x:t>
        </x:is>
      </x:c>
      <x:c r="F27" s="2" t="inlineStr">
        <x:is>
          <x:t xml:space="preserve">Touch</x:t>
        </x:is>
      </x:c>
      <x:c r="G27" s="2" t="inlineStr">
        <x:is>
          <x:t xml:space="preserve"/>
        </x:is>
      </x:c>
      <x:c r="H27" s="2" t="inlineStr">
        <x:is>
          <x:t xml:space="preserve">1 hour</x:t>
        </x:is>
      </x:c>
      <x:c r="I27" s="2" t="inlineStr">
        <x:is>
          <x:t xml:space="preserve">You touch a willing creature. Until the spell ends, the target’s skin assumes a bark-like appearance, and the target has an Armor Class of 17 if its AC is lower than that.</x:t>
        </x:is>
      </x:c>
      <x:c r="J27" s="2" t="inlineStr">
        <x:is>
          <x:t xml:space="preserve">SRD 5.2.1</x:t>
        </x:is>
      </x:c>
      <x:c r="K27" s="2" t="inlineStr">
        <x:is>
          <x:t xml:space="preserve">pp. 107-175</x:t>
        </x:is>
      </x:c>
    </x:row>
    <x:row r="28" ht="18" customHeight="1">
      <x:c r="A28" s="2" t="inlineStr">
        <x:is>
          <x:t xml:space="preserve">Beacon of Hope</x:t>
        </x:is>
      </x:c>
      <x:c r="B28" s="2" t="inlineStr">
        <x:is>
          <x:t xml:space="preserve">3</x:t>
        </x:is>
      </x:c>
      <x:c r="C28" s="2" t="inlineStr">
        <x:is>
          <x:t xml:space="preserve">Abjuration</x:t>
        </x:is>
      </x:c>
      <x:c r="D28" s="2" t="inlineStr">
        <x:is>
          <x:t xml:space="preserve">Cleric</x:t>
        </x:is>
      </x:c>
      <x:c r="E28" s="2" t="inlineStr">
        <x:is>
          <x:t xml:space="preserve">Action</x:t>
        </x:is>
      </x:c>
      <x:c r="F28" s="2" t="inlineStr">
        <x:is>
          <x:t xml:space="preserve">30 feet</x:t>
        </x:is>
      </x:c>
      <x:c r="G28" s="2" t="inlineStr">
        <x:is>
          <x:t xml:space="preserve">V, S</x:t>
        </x:is>
      </x:c>
      <x:c r="H28" s="2" t="inlineStr">
        <x:is>
          <x:t xml:space="preserve">Concentration, up to 1 minute</x:t>
        </x:is>
      </x:c>
      <x:c r="I28" s="2" t="inlineStr">
        <x:is>
          <x:t xml:space="preserve">Choose any number of creatures within range. For the duration, each target has Advantage on Wisdom saving throws and Death Saving Throws and regains the maximum number of Hit Points possible from any healing.</x:t>
        </x:is>
      </x:c>
      <x:c r="J28" s="2" t="inlineStr">
        <x:is>
          <x:t xml:space="preserve">SRD 5.2.1</x:t>
        </x:is>
      </x:c>
      <x:c r="K28" s="2" t="inlineStr">
        <x:is>
          <x:t xml:space="preserve">pp. 107-175</x:t>
        </x:is>
      </x:c>
    </x:row>
    <x:row r="29" ht="18" customHeight="1">
      <x:c r="A29" s="2" t="inlineStr">
        <x:is>
          <x:t xml:space="preserve">Befuddlement</x:t>
        </x:is>
      </x:c>
      <x:c r="B29" s="2" t="inlineStr">
        <x:is>
          <x:t xml:space="preserve">8</x:t>
        </x:is>
      </x:c>
      <x:c r="C29" s="2" t="inlineStr">
        <x:is>
          <x:t xml:space="preserve">Enchantment</x:t>
        </x:is>
      </x:c>
      <x:c r="D29" s="2" t="inlineStr">
        <x:is>
          <x:t xml:space="preserve">Bard, Druid, Warlock, Wizard</x:t>
        </x:is>
      </x:c>
      <x:c r="E29" s="2" t="inlineStr">
        <x:is>
          <x:t xml:space="preserve">Action</x:t>
        </x:is>
      </x:c>
      <x:c r="F29" s="2" t="inlineStr">
        <x:is>
          <x:t xml:space="preserve">150 feet</x:t>
        </x:is>
      </x:c>
      <x:c r="G29" s="2" t="inlineStr">
        <x:is>
          <x:t xml:space="preserve">V, S, M (a key ring with no keys)</x:t>
        </x:is>
      </x:c>
      <x:c r="H29" s="2" t="inlineStr">
        <x:is>
          <x:t xml:space="preserve">Instantaneous</x:t>
        </x:is>
      </x:c>
      <x:c r="I29" s="2" t="inlineStr">
        <x:is>
          <x:t xml:space="preserve">You blast the mind of a creature that you can see within range. The target makes an Intelligence saving throw. On a failed save, the target takes 10d12 Psychic damage and can’t cast spells or take the Magic action. At the end of every 30 days, the target repeats the save, ending the effect on a success. The effect can also be ended by the Greater Restoration, Heal, or Wish spell. On a successful save, the target takes half as much damage only.</x:t>
        </x:is>
      </x:c>
      <x:c r="J29" s="2" t="inlineStr">
        <x:is>
          <x:t xml:space="preserve">SRD 5.2.1</x:t>
        </x:is>
      </x:c>
      <x:c r="K29" s="2" t="inlineStr">
        <x:is>
          <x:t xml:space="preserve">pp. 107-175</x:t>
        </x:is>
      </x:c>
    </x:row>
    <x:row r="30" ht="18" customHeight="1">
      <x:c r="A30" s="2" t="inlineStr">
        <x:is>
          <x:t xml:space="preserve">Bestow Curse</x:t>
        </x:is>
      </x:c>
      <x:c r="B30" s="2" t="inlineStr">
        <x:is>
          <x:t xml:space="preserve">3</x:t>
        </x:is>
      </x:c>
      <x:c r="C30" s="2" t="inlineStr">
        <x:is>
          <x:t xml:space="preserve">Necromancy</x:t>
        </x:is>
      </x:c>
      <x:c r="D30" s="2" t="inlineStr">
        <x:is>
          <x:t xml:space="preserve">Bard, Cleric, Wizard</x:t>
        </x:is>
      </x:c>
      <x:c r="E30" s="2" t="inlineStr">
        <x:is>
          <x:t xml:space="preserve">Action</x:t>
        </x:is>
      </x:c>
      <x:c r="F30" s="2" t="inlineStr">
        <x:is>
          <x:t xml:space="preserve">Touch</x:t>
        </x:is>
      </x:c>
      <x:c r="G30" s="2" t="inlineStr">
        <x:is>
          <x:t xml:space="preserve">V, S</x:t>
        </x:is>
      </x:c>
      <x:c r="H30" s="2" t="inlineStr">
        <x:is>
          <x:t xml:space="preserve">Concentration, up to 1 minute</x:t>
        </x:is>
      </x:c>
      <x:c r="I30" s="2" t="inlineStr">
        <x:is>
          <x:t xml:space="preserve">You touch a creature, which must succeed on a Wisdom saving throw or become cursed for the duration. Until the curse ends, the target suffers one of the following effects of your choice: • Choose one ability. The target has Disadvantage on ability checks and saving throws made with that ability. • The target has Disadvantage on attack rolls against you. • In combat, the target must succeed on a Wisdom saving throw at the start of each of its turns or be forced to take the Dodge action on that turn. • If you deal damage to the target with an attack roll or a spell, the target takes an extra 1d8 Necrotic damage. Using a Higher-Level Spell Slot. If you cast this spell using a level 4 spell slot, you can maintain Concentration on it for up to 10 minutes. If you use a level 5+ spell slot, the spell doesn’t require Concentration, and the duration becomes 8 hours (level 5–6 slot) or 24 hours (level 7–8 slot). If you use a level 9 spell slot, the spell lasts until dispelled.</x:t>
        </x:is>
      </x:c>
      <x:c r="J30" s="2" t="inlineStr">
        <x:is>
          <x:t xml:space="preserve">SRD 5.2.1</x:t>
        </x:is>
      </x:c>
      <x:c r="K30" s="2" t="inlineStr">
        <x:is>
          <x:t xml:space="preserve">pp. 107-175</x:t>
        </x:is>
      </x:c>
    </x:row>
    <x:row r="31" ht="18" customHeight="1">
      <x:c r="A31" s="2" t="inlineStr">
        <x:is>
          <x:t xml:space="preserve">Black Tentacles</x:t>
        </x:is>
      </x:c>
      <x:c r="B31" s="2" t="inlineStr">
        <x:is>
          <x:t xml:space="preserve">4</x:t>
        </x:is>
      </x:c>
      <x:c r="C31" s="2" t="inlineStr">
        <x:is>
          <x:t xml:space="preserve">Conjuration</x:t>
        </x:is>
      </x:c>
      <x:c r="D31" s="2" t="inlineStr">
        <x:is>
          <x:t xml:space="preserve">Wizard</x:t>
        </x:is>
      </x:c>
      <x:c r="E31" s="2" t="inlineStr">
        <x:is>
          <x:t xml:space="preserve">Action</x:t>
        </x:is>
      </x:c>
      <x:c r="F31" s="2" t="inlineStr">
        <x:is>
          <x:t xml:space="preserve">90 feet</x:t>
        </x:is>
      </x:c>
      <x:c r="G31" s="2" t="inlineStr">
        <x:is>
          <x:t xml:space="preserve">V, S, M (a tentacle)</x:t>
        </x:is>
      </x:c>
      <x:c r="H31" s="2" t="inlineStr">
        <x:is>
          <x:t xml:space="preserve">Concentration, up to 1 minute</x:t>
        </x:is>
      </x:c>
      <x:c r="I31" s="2" t="inlineStr">
        <x:is>
          <x:t xml:space="preserve">Squirming, ebony tentacles fill a 20-foot square on ground that you can see within range. For the duration, these tentacles turn the ground in that area into Difficult Terrain. Each creature in that area makes a Strength saving throw. On a failed save, it takes 3d6 Bludgeoning damage, and it has the Restrained condition until the spell ends. A creature also makes that save if it enters the area or ends it turn there. A creature makes that save only once per turn. A Restrained creature can take an action to make a Strength (Athletics) check against your spell save DC, ending the condition on itself on a success.</x:t>
        </x:is>
      </x:c>
      <x:c r="J31" s="2" t="inlineStr">
        <x:is>
          <x:t xml:space="preserve">SRD 5.2.1</x:t>
        </x:is>
      </x:c>
      <x:c r="K31" s="2" t="inlineStr">
        <x:is>
          <x:t xml:space="preserve">pp. 107-175</x:t>
        </x:is>
      </x:c>
    </x:row>
    <x:row r="32" ht="18" customHeight="1">
      <x:c r="A32" s="2" t="inlineStr">
        <x:is>
          <x:t xml:space="preserve">Blade Barrier</x:t>
        </x:is>
      </x:c>
      <x:c r="B32" s="2" t="inlineStr">
        <x:is>
          <x:t xml:space="preserve">6</x:t>
        </x:is>
      </x:c>
      <x:c r="C32" s="2" t="inlineStr">
        <x:is>
          <x:t xml:space="preserve">Evocation</x:t>
        </x:is>
      </x:c>
      <x:c r="D32" s="2" t="inlineStr">
        <x:is>
          <x:t xml:space="preserve">Cleric</x:t>
        </x:is>
      </x:c>
      <x:c r="E32" s="2" t="inlineStr">
        <x:is>
          <x:t xml:space="preserve">Action</x:t>
        </x:is>
      </x:c>
      <x:c r="F32" s="2" t="inlineStr">
        <x:is>
          <x:t xml:space="preserve">90 feet</x:t>
        </x:is>
      </x:c>
      <x:c r="G32" s="2" t="inlineStr">
        <x:is>
          <x:t xml:space="preserve">V, S</x:t>
        </x:is>
      </x:c>
      <x:c r="H32" s="2" t="inlineStr">
        <x:is>
          <x:t xml:space="preserve">Concentration, up to 10 minutes</x:t>
        </x:is>
      </x:c>
      <x:c r="I32" s="2" t="inlineStr">
        <x:is>
          <x:t xml:space="preserve">You create a wall of whirling blades made of magical energy. The wall appears within range and lasts for the duration. You make a straight wall up to 100 feet long, 20 feet high, and 5 feet thick, or a ringed wall up to 60 feet in diameter, 20 feet high, and 5 feet thick. The wall provides Three-Quarters Cover, and its space is Difficult Terrain. Any creature in the wall’s space makes a Dexterity saving throw, taking 6d10 Force damage on a failed save or half as much damage on a successful one. A creature also makes that save if it enters the wall’s space or ends it turn there. A creature makes that save only once per turn.</x:t>
        </x:is>
      </x:c>
      <x:c r="J32" s="2" t="inlineStr">
        <x:is>
          <x:t xml:space="preserve">SRD 5.2.1</x:t>
        </x:is>
      </x:c>
      <x:c r="K32" s="2" t="inlineStr">
        <x:is>
          <x:t xml:space="preserve">pp. 107-175</x:t>
        </x:is>
      </x:c>
    </x:row>
    <x:row r="33" ht="18" customHeight="1">
      <x:c r="A33" s="2" t="inlineStr">
        <x:is>
          <x:t xml:space="preserve">Bless</x:t>
        </x:is>
      </x:c>
      <x:c r="B33" s="2" t="inlineStr">
        <x:is>
          <x:t xml:space="preserve">1</x:t>
        </x:is>
      </x:c>
      <x:c r="C33" s="2" t="inlineStr">
        <x:is>
          <x:t xml:space="preserve">Enchantment</x:t>
        </x:is>
      </x:c>
      <x:c r="D33" s="2" t="inlineStr">
        <x:is>
          <x:t xml:space="preserve">Cleric, Paladin</x:t>
        </x:is>
      </x:c>
      <x:c r="E33" s="2" t="inlineStr">
        <x:is>
          <x:t xml:space="preserve">Action</x:t>
        </x:is>
      </x:c>
      <x:c r="F33" s="2" t="inlineStr">
        <x:is>
          <x:t xml:space="preserve">30 feet</x:t>
        </x:is>
      </x:c>
      <x:c r="G33" s="2" t="inlineStr">
        <x:is>
          <x:t xml:space="preserve">V, S, M (a Holy Symbol worth 5+ GP)</x:t>
        </x:is>
      </x:c>
      <x:c r="H33" s="2" t="inlineStr">
        <x:is>
          <x:t xml:space="preserve">Concentration, up to 1 minute</x:t>
        </x:is>
      </x:c>
      <x:c r="I33" s="2" t="inlineStr">
        <x:is>
          <x:t xml:space="preserve">You bless up to three creatures within range. Whenever a target makes an attack roll or a saving throw before the spell ends, the target adds 1d4 to the attack roll or save. Using a Higher-Level Spell Slot. You can target one additional creature for each spell slot level above 1.</x:t>
        </x:is>
      </x:c>
      <x:c r="J33" s="2" t="inlineStr">
        <x:is>
          <x:t xml:space="preserve">SRD 5.2.1</x:t>
        </x:is>
      </x:c>
      <x:c r="K33" s="2" t="inlineStr">
        <x:is>
          <x:t xml:space="preserve">pp. 107-175</x:t>
        </x:is>
      </x:c>
    </x:row>
    <x:row r="34" ht="18" customHeight="1">
      <x:c r="A34" s="2" t="inlineStr">
        <x:is>
          <x:t xml:space="preserve">Blight</x:t>
        </x:is>
      </x:c>
      <x:c r="B34" s="2" t="inlineStr">
        <x:is>
          <x:t xml:space="preserve">4</x:t>
        </x:is>
      </x:c>
      <x:c r="C34" s="2" t="inlineStr">
        <x:is>
          <x:t xml:space="preserve">Necromancy</x:t>
        </x:is>
      </x:c>
      <x:c r="D34" s="2" t="inlineStr">
        <x:is>
          <x:t xml:space="preserve"/>
        </x:is>
      </x:c>
      <x:c r="E34" s="2" t="inlineStr">
        <x:is>
          <x:t xml:space="preserve">Action</x:t>
        </x:is>
      </x:c>
      <x:c r="F34" s="2" t="inlineStr">
        <x:is>
          <x:t xml:space="preserve">30 feet</x:t>
        </x:is>
      </x:c>
      <x:c r="G34" s="2" t="inlineStr">
        <x:is>
          <x:t xml:space="preserve">V, S</x:t>
        </x:is>
      </x:c>
      <x:c r="H34" s="2" t="inlineStr">
        <x:is>
          <x:t xml:space="preserve">Instantaneous</x:t>
        </x:is>
      </x:c>
      <x:c r="I34" s="2" t="inlineStr">
        <x:is>
          <x:t xml:space="preserve">A creature that you can see within range makes a Constitution saving throw, taking 8d8 Necrotic damage on a failed save or half as much damage on a successful one. A Plant creature automatically fails the save. Alternatively, target a nonmagical plant that isn’t a creature, such as a tree or shrub. It doesn’t make a save; it simply withers and dies. Using a Higher-Level Spell Slot. The damage increases by 1d8 for each spell slot level above 4.</x:t>
        </x:is>
      </x:c>
      <x:c r="J34" s="2" t="inlineStr">
        <x:is>
          <x:t xml:space="preserve">SRD 5.2.1</x:t>
        </x:is>
      </x:c>
      <x:c r="K34" s="2" t="inlineStr">
        <x:is>
          <x:t xml:space="preserve">pp. 107-175</x:t>
        </x:is>
      </x:c>
    </x:row>
    <x:row r="35" ht="18" customHeight="1">
      <x:c r="A35" s="2" t="inlineStr">
        <x:is>
          <x:t xml:space="preserve">Blindness/Deafness</x:t>
        </x:is>
      </x:c>
      <x:c r="B35" s="2" t="inlineStr">
        <x:is>
          <x:t xml:space="preserve">2</x:t>
        </x:is>
      </x:c>
      <x:c r="C35" s="2" t="inlineStr">
        <x:is>
          <x:t xml:space="preserve">Transmutation</x:t>
        </x:is>
      </x:c>
      <x:c r="D35" s="2" t="inlineStr">
        <x:is>
          <x:t xml:space="preserve">Bard, Cleric, Sorcerer, Wizard</x:t>
        </x:is>
      </x:c>
      <x:c r="E35" s="2" t="inlineStr">
        <x:is>
          <x:t xml:space="preserve">Action</x:t>
        </x:is>
      </x:c>
      <x:c r="F35" s="2" t="inlineStr">
        <x:is>
          <x:t xml:space="preserve">120 feet</x:t>
        </x:is>
      </x:c>
      <x:c r="G35" s="2" t="inlineStr">
        <x:is>
          <x:t xml:space="preserve">V</x:t>
        </x:is>
      </x:c>
      <x:c r="H35" s="2" t="inlineStr">
        <x:is>
          <x:t xml:space="preserve">1 minute</x:t>
        </x:is>
      </x:c>
      <x:c r="I35" s="2" t="inlineStr">
        <x:is>
          <x:t xml:space="preserve">One creature that you can see within range must succeed on a Constitution saving throw, or it has the Blinded or Deafened condition (your choice) for the duration. At the end of each of its turns, the target repeats the save, ending the spell on itself on a success. Using a Higher-Level Spell Slot. You can target one additional creature for each spell slot level above 2.</x:t>
        </x:is>
      </x:c>
      <x:c r="J35" s="2" t="inlineStr">
        <x:is>
          <x:t xml:space="preserve">SRD 5.2.1</x:t>
        </x:is>
      </x:c>
      <x:c r="K35" s="2" t="inlineStr">
        <x:is>
          <x:t xml:space="preserve">pp. 107-175</x:t>
        </x:is>
      </x:c>
    </x:row>
    <x:row r="36" ht="18" customHeight="1">
      <x:c r="A36" s="2" t="inlineStr">
        <x:is>
          <x:t xml:space="preserve">Blink</x:t>
        </x:is>
      </x:c>
      <x:c r="B36" s="2" t="inlineStr">
        <x:is>
          <x:t xml:space="preserve">3</x:t>
        </x:is>
      </x:c>
      <x:c r="C36" s="2" t="inlineStr">
        <x:is>
          <x:t xml:space="preserve">Transmutation</x:t>
        </x:is>
      </x:c>
      <x:c r="D36" s="2" t="inlineStr">
        <x:is>
          <x:t xml:space="preserve">Sorcerer, Wizard</x:t>
        </x:is>
      </x:c>
      <x:c r="E36" s="2" t="inlineStr">
        <x:is>
          <x:t xml:space="preserve">Action</x:t>
        </x:is>
      </x:c>
      <x:c r="F36" s="2" t="inlineStr">
        <x:is>
          <x:t xml:space="preserve">Self</x:t>
        </x:is>
      </x:c>
      <x:c r="G36" s="2" t="inlineStr">
        <x:is>
          <x:t xml:space="preserve">V, S</x:t>
        </x:is>
      </x:c>
      <x:c r="H36" s="2" t="inlineStr">
        <x:is>
          <x:t xml:space="preserve">1 minute</x:t>
        </x:is>
      </x:c>
      <x:c r="I36" s="2" t="inlineStr">
        <x:is>
          <x:t xml:space="preserve">Roll 1d6 at the end of each of your turns for the duration. On a roll of 4–6, you vanish from your current plane of existence and appear in the Ethereal Plane (the spell ends instantly if you are already on that plane). While on the Ethereal Plane, you can perceive the plane you left, which is cast in shades of gray, but you can’t see anything there more than 60 feet away. You can affect and be affected only by other creatures on the Ethereal Plane, and creatures on the other plane can’t perceive you unless they have a special ability that lets them perceive things on the Ethereal Plane. You return to the other plane at the start of your next turn and when the spell ends if you are on the Ethereal Plane. You return to an unoccupied space of your choice that you can see within 10 feet of the space you left. If no unoccupied space is available within that range, you appear in the nearest unoccupied space.</x:t>
        </x:is>
      </x:c>
      <x:c r="J36" s="2" t="inlineStr">
        <x:is>
          <x:t xml:space="preserve">SRD 5.2.1</x:t>
        </x:is>
      </x:c>
      <x:c r="K36" s="2" t="inlineStr">
        <x:is>
          <x:t xml:space="preserve">pp. 107-175</x:t>
        </x:is>
      </x:c>
    </x:row>
    <x:row r="37" ht="18" customHeight="1">
      <x:c r="A37" s="2" t="inlineStr">
        <x:is>
          <x:t xml:space="preserve">Blur</x:t>
        </x:is>
      </x:c>
      <x:c r="B37" s="2" t="inlineStr">
        <x:is>
          <x:t xml:space="preserve">2</x:t>
        </x:is>
      </x:c>
      <x:c r="C37" s="2" t="inlineStr">
        <x:is>
          <x:t xml:space="preserve">Illusion</x:t>
        </x:is>
      </x:c>
      <x:c r="D37" s="2" t="inlineStr">
        <x:is>
          <x:t xml:space="preserve">Sorcerer, Wizard</x:t>
        </x:is>
      </x:c>
      <x:c r="E37" s="2" t="inlineStr">
        <x:is>
          <x:t xml:space="preserve">Action</x:t>
        </x:is>
      </x:c>
      <x:c r="F37" s="2" t="inlineStr">
        <x:is>
          <x:t xml:space="preserve">Self</x:t>
        </x:is>
      </x:c>
      <x:c r="G37" s="2" t="inlineStr">
        <x:is>
          <x:t xml:space="preserve">V</x:t>
        </x:is>
      </x:c>
      <x:c r="H37" s="2" t="inlineStr">
        <x:is>
          <x:t xml:space="preserve">Concentration, up to 1 minute</x:t>
        </x:is>
      </x:c>
      <x:c r="I37" s="2" t="inlineStr">
        <x:is>
          <x:t xml:space="preserve">Your body becomes blurred. For the duration, any creature has Disadvantage on attack rolls against you. An attacker is immune to this effect if it perceives you with Blindsight or Truesight.</x:t>
        </x:is>
      </x:c>
      <x:c r="J37" s="2" t="inlineStr">
        <x:is>
          <x:t xml:space="preserve">SRD 5.2.1</x:t>
        </x:is>
      </x:c>
      <x:c r="K37" s="2" t="inlineStr">
        <x:is>
          <x:t xml:space="preserve">pp. 107-175</x:t>
        </x:is>
      </x:c>
    </x:row>
    <x:row r="38" ht="18" customHeight="1">
      <x:c r="A38" s="2" t="inlineStr">
        <x:is>
          <x:t xml:space="preserve">Burning Hands</x:t>
        </x:is>
      </x:c>
      <x:c r="B38" s="2" t="inlineStr">
        <x:is>
          <x:t xml:space="preserve">1</x:t>
        </x:is>
      </x:c>
      <x:c r="C38" s="2" t="inlineStr">
        <x:is>
          <x:t xml:space="preserve">Evocation</x:t>
        </x:is>
      </x:c>
      <x:c r="D38" s="2" t="inlineStr">
        <x:is>
          <x:t xml:space="preserve">Sorcerer, Wizard</x:t>
        </x:is>
      </x:c>
      <x:c r="E38" s="2" t="inlineStr">
        <x:is>
          <x:t xml:space="preserve">Action</x:t>
        </x:is>
      </x:c>
      <x:c r="F38" s="2" t="inlineStr">
        <x:is>
          <x:t xml:space="preserve">Self</x:t>
        </x:is>
      </x:c>
      <x:c r="G38" s="2" t="inlineStr">
        <x:is>
          <x:t xml:space="preserve">V, S</x:t>
        </x:is>
      </x:c>
      <x:c r="H38" s="2" t="inlineStr">
        <x:is>
          <x:t xml:space="preserve">Instantaneous</x:t>
        </x:is>
      </x:c>
      <x:c r="I38" s="2" t="inlineStr">
        <x:is>
          <x:t xml:space="preserve">A thin sheet of flames shoots forth from you. Each creature in a 15-foot Cone makes a Dexterity saving throw, taking 3d6 Fire damage on a failed save or half as much damage on a successful one. Flammable objects in the Cone that aren’t being worn or carried start burning. Using a Higher-Level Spell Slot. The damage increases by 1d6 for each spell slot level above 1.</x:t>
        </x:is>
      </x:c>
      <x:c r="J38" s="2" t="inlineStr">
        <x:is>
          <x:t xml:space="preserve">SRD 5.2.1</x:t>
        </x:is>
      </x:c>
      <x:c r="K38" s="2" t="inlineStr">
        <x:is>
          <x:t xml:space="preserve">pp. 107-175</x:t>
        </x:is>
      </x:c>
    </x:row>
    <x:row r="39" ht="18" customHeight="1">
      <x:c r="A39" s="2" t="inlineStr">
        <x:is>
          <x:t xml:space="preserve">Call Lightning</x:t>
        </x:is>
      </x:c>
      <x:c r="B39" s="2" t="inlineStr">
        <x:is>
          <x:t xml:space="preserve">3</x:t>
        </x:is>
      </x:c>
      <x:c r="C39" s="2" t="inlineStr">
        <x:is>
          <x:t xml:space="preserve">Conjuration</x:t>
        </x:is>
      </x:c>
      <x:c r="D39" s="2" t="inlineStr">
        <x:is>
          <x:t xml:space="preserve">Druid</x:t>
        </x:is>
      </x:c>
      <x:c r="E39" s="2" t="inlineStr">
        <x:is>
          <x:t xml:space="preserve">Action</x:t>
        </x:is>
      </x:c>
      <x:c r="F39" s="2" t="inlineStr">
        <x:is>
          <x:t xml:space="preserve">120 feet</x:t>
        </x:is>
      </x:c>
      <x:c r="G39" s="2" t="inlineStr">
        <x:is>
          <x:t xml:space="preserve">V, S</x:t>
        </x:is>
      </x:c>
      <x:c r="H39" s="2" t="inlineStr">
        <x:is>
          <x:t xml:space="preserve">Concentration, up to 10 minutes</x:t>
        </x:is>
      </x:c>
      <x:c r="I39" s="2" t="inlineStr">
        <x:is>
          <x:t xml:space="preserve">A storm cloud appears at a point within range that you can see above yourself. It takes the shape of a Cylinder that is 10 feet tall with a 60-foot radius. When you cast the spell, choose a point you can see under the cloud. A lightning bolt shoots from the cloud to that point. Each creature within 5 feet of that point makes a Dexterity saving throw, taking 3d10 Lightning damage on a failed save or half as much damage on a successful one. Until the spell ends, you can take a Magic action to call down lightning in that way again, targeting the same point or a different one. If you’re outdoors in a storm when you cast this spell, the spell gives you control over that storm instead of creating a new one. Under such conditions, the spell’s damage increases by 1d10. Using a Higher-Level Spell Slot. The damage increases by 1d10 for each spell slot level above 3.</x:t>
        </x:is>
      </x:c>
      <x:c r="J39" s="2" t="inlineStr">
        <x:is>
          <x:t xml:space="preserve">SRD 5.2.1</x:t>
        </x:is>
      </x:c>
      <x:c r="K39" s="2" t="inlineStr">
        <x:is>
          <x:t xml:space="preserve">pp. 107-175</x:t>
        </x:is>
      </x:c>
    </x:row>
    <x:row r="40" ht="18" customHeight="1">
      <x:c r="A40" s="2" t="inlineStr">
        <x:is>
          <x:t xml:space="preserve">Calm Emotions</x:t>
        </x:is>
      </x:c>
      <x:c r="B40" s="2" t="inlineStr">
        <x:is>
          <x:t xml:space="preserve">2</x:t>
        </x:is>
      </x:c>
      <x:c r="C40" s="2" t="inlineStr">
        <x:is>
          <x:t xml:space="preserve">Enchantment</x:t>
        </x:is>
      </x:c>
      <x:c r="D40" s="2" t="inlineStr">
        <x:is>
          <x:t xml:space="preserve">Bard, Cleric</x:t>
        </x:is>
      </x:c>
      <x:c r="E40" s="2" t="inlineStr">
        <x:is>
          <x:t xml:space="preserve">Action</x:t>
        </x:is>
      </x:c>
      <x:c r="F40" s="2" t="inlineStr">
        <x:is>
          <x:t xml:space="preserve">60 feet</x:t>
        </x:is>
      </x:c>
      <x:c r="G40" s="2" t="inlineStr">
        <x:is>
          <x:t xml:space="preserve">V, S</x:t>
        </x:is>
      </x:c>
      <x:c r="H40" s="2" t="inlineStr">
        <x:is>
          <x:t xml:space="preserve">Concentration, up to 1 minute</x:t>
        </x:is>
      </x:c>
      <x:c r="I40" s="2" t="inlineStr">
        <x:is>
          <x:t xml:space="preserve">Each Humanoid in a 20-foot-radius Sphere centered on a point you choose within range must succeed on a Charisma saving throw or be affected by one of the following effects (choose for each creature): • The creature has Immunity to the Charmed and Frightened conditions until the spell ends. If the creature was already Charmed or Frightened, those conditions are suppressed for the duration. • The creature becomes Indifferent about creatures of your choice that it’s Hostile toward. This indifference ends if the target takes damage or witnesses its allies taking damage. When the spell ends, the creature’s attitude returns to normal.</x:t>
        </x:is>
      </x:c>
      <x:c r="J40" s="2" t="inlineStr">
        <x:is>
          <x:t xml:space="preserve">SRD 5.2.1</x:t>
        </x:is>
      </x:c>
      <x:c r="K40" s="2" t="inlineStr">
        <x:is>
          <x:t xml:space="preserve">pp. 107-175</x:t>
        </x:is>
      </x:c>
    </x:row>
    <x:row r="41" ht="18" customHeight="1">
      <x:c r="A41" s="2" t="inlineStr">
        <x:is>
          <x:t xml:space="preserve">Chain Lightning</x:t>
        </x:is>
      </x:c>
      <x:c r="B41" s="2" t="inlineStr">
        <x:is>
          <x:t xml:space="preserve">6</x:t>
        </x:is>
      </x:c>
      <x:c r="C41" s="2" t="inlineStr">
        <x:is>
          <x:t xml:space="preserve">Evocation</x:t>
        </x:is>
      </x:c>
      <x:c r="D41" s="2" t="inlineStr">
        <x:is>
          <x:t xml:space="preserve">Sorcerer, Wizard</x:t>
        </x:is>
      </x:c>
      <x:c r="E41" s="2" t="inlineStr">
        <x:is>
          <x:t xml:space="preserve">Action</x:t>
        </x:is>
      </x:c>
      <x:c r="F41" s="2" t="inlineStr">
        <x:is>
          <x:t xml:space="preserve">150 feet</x:t>
        </x:is>
      </x:c>
      <x:c r="G41" s="2" t="inlineStr">
        <x:is>
          <x:t xml:space="preserve">V, S, M (three silver pins)</x:t>
        </x:is>
      </x:c>
      <x:c r="H41" s="2" t="inlineStr">
        <x:is>
          <x:t xml:space="preserve">Instantaneous</x:t>
        </x:is>
      </x:c>
      <x:c r="I41" s="2" t="inlineStr">
        <x:is>
          <x:t xml:space="preserve">You launch a lightning bolt toward a target you can see within range. Three bolts then leap from that target to as many as three other targets of your choice, each of which must be within 30 feet of the first target. A target can be a creature or an object and can be targeted by only one of the bolts. Each target makes a Dexterity saving throw, taking 10d8 Lightning damage on a failed save or half as much damage on a successful one. Using a Higher-Level Spell Slot. One additional bolt leaps from the first target to another target for each spell slot level above 6.</x:t>
        </x:is>
      </x:c>
      <x:c r="J41" s="2" t="inlineStr">
        <x:is>
          <x:t xml:space="preserve">SRD 5.2.1</x:t>
        </x:is>
      </x:c>
      <x:c r="K41" s="2" t="inlineStr">
        <x:is>
          <x:t xml:space="preserve">pp. 107-175</x:t>
        </x:is>
      </x:c>
    </x:row>
    <x:row r="42" ht="18" customHeight="1">
      <x:c r="A42" s="2" t="inlineStr">
        <x:is>
          <x:t xml:space="preserve">Charm Monster</x:t>
        </x:is>
      </x:c>
      <x:c r="B42" s="2" t="inlineStr">
        <x:is>
          <x:t xml:space="preserve">4</x:t>
        </x:is>
      </x:c>
      <x:c r="C42" s="2" t="inlineStr">
        <x:is>
          <x:t xml:space="preserve">Enchantment</x:t>
        </x:is>
      </x:c>
      <x:c r="D42" s="2" t="inlineStr">
        <x:is>
          <x:t xml:space="preserve"/>
        </x:is>
      </x:c>
      <x:c r="E42" s="2" t="inlineStr">
        <x:is>
          <x:t xml:space="preserve">Action</x:t>
        </x:is>
      </x:c>
      <x:c r="F42" s="2" t="inlineStr">
        <x:is>
          <x:t xml:space="preserve">30 feet</x:t>
        </x:is>
      </x:c>
      <x:c r="G42" s="2" t="inlineStr">
        <x:is>
          <x:t xml:space="preserve">V, S</x:t>
        </x:is>
      </x:c>
      <x:c r="H42" s="2" t="inlineStr">
        <x:is>
          <x:t xml:space="preserve">1 hour</x:t>
        </x:is>
      </x:c>
      <x:c r="I42" s="2" t="inlineStr">
        <x:is>
          <x:t xml:space="preserve">One creature you can see within range makes a Wisdom saving throw. It does so with Advantage if you or your allies are fighting it. On a failed save, the target has the Charmed condition until the spell ends or until you or your allies damage it. The Charmed creature is Friendly to you. When the spell ends, the target knows it was Charmed by you. Using a Higher-Level Spell Slot. You can target one additional creature for each spell slot level above 4.</x:t>
        </x:is>
      </x:c>
      <x:c r="J42" s="2" t="inlineStr">
        <x:is>
          <x:t xml:space="preserve">SRD 5.2.1</x:t>
        </x:is>
      </x:c>
      <x:c r="K42" s="2" t="inlineStr">
        <x:is>
          <x:t xml:space="preserve">pp. 107-175</x:t>
        </x:is>
      </x:c>
    </x:row>
    <x:row r="43" ht="18" customHeight="1">
      <x:c r="A43" s="2" t="inlineStr">
        <x:is>
          <x:t xml:space="preserve">Charm Person</x:t>
        </x:is>
      </x:c>
      <x:c r="B43" s="2" t="inlineStr">
        <x:is>
          <x:t xml:space="preserve">1</x:t>
        </x:is>
      </x:c>
      <x:c r="C43" s="2" t="inlineStr">
        <x:is>
          <x:t xml:space="preserve">Enchantment</x:t>
        </x:is>
      </x:c>
      <x:c r="D43" s="2" t="inlineStr">
        <x:is>
          <x:t xml:space="preserve"/>
        </x:is>
      </x:c>
      <x:c r="E43" s="2" t="inlineStr">
        <x:is>
          <x:t xml:space="preserve">Action</x:t>
        </x:is>
      </x:c>
      <x:c r="F43" s="2" t="inlineStr">
        <x:is>
          <x:t xml:space="preserve">30 feet</x:t>
        </x:is>
      </x:c>
      <x:c r="G43" s="2" t="inlineStr">
        <x:is>
          <x:t xml:space="preserve">V, S</x:t>
        </x:is>
      </x:c>
      <x:c r="H43" s="2" t="inlineStr">
        <x:is>
          <x:t xml:space="preserve">1 hour</x:t>
        </x:is>
      </x:c>
      <x:c r="I43" s="2" t="inlineStr">
        <x:is>
          <x:t xml:space="preserve">One Humanoid you can see within range makes a Wisdom saving throw. It does so with Advantage if you or your allies are fighting it. On a failed save, the target has the Charmed condition until the spell ends or until you or your allies damage it. The Charmed creature is Friendly to you. When the spell ends, the target knows it was Charmed by you. Using a Higher-Level Spell Slot. You can target one additional creature for each spell slot level above 1.</x:t>
        </x:is>
      </x:c>
      <x:c r="J43" s="2" t="inlineStr">
        <x:is>
          <x:t xml:space="preserve">SRD 5.2.1</x:t>
        </x:is>
      </x:c>
      <x:c r="K43" s="2" t="inlineStr">
        <x:is>
          <x:t xml:space="preserve">pp. 107-175</x:t>
        </x:is>
      </x:c>
    </x:row>
    <x:row r="44" ht="18" customHeight="1">
      <x:c r="A44" s="2" t="inlineStr">
        <x:is>
          <x:t xml:space="preserve">Chill Touch</x:t>
        </x:is>
      </x:c>
      <x:c r="B44" s="2" t="inlineStr">
        <x:is>
          <x:t xml:space="preserve">Cantrip</x:t>
        </x:is>
      </x:c>
      <x:c r="C44" s="2" t="inlineStr">
        <x:is>
          <x:t xml:space="preserve">Necromancy</x:t>
        </x:is>
      </x:c>
      <x:c r="D44" s="2" t="inlineStr">
        <x:is>
          <x:t xml:space="preserve">Sorcerer, Warlock, Wizard</x:t>
        </x:is>
      </x:c>
      <x:c r="E44" s="2" t="inlineStr">
        <x:is>
          <x:t xml:space="preserve">Action</x:t>
        </x:is>
      </x:c>
      <x:c r="F44" s="2" t="inlineStr">
        <x:is>
          <x:t xml:space="preserve">Touch</x:t>
        </x:is>
      </x:c>
      <x:c r="G44" s="2" t="inlineStr">
        <x:is>
          <x:t xml:space="preserve">V, S</x:t>
        </x:is>
      </x:c>
      <x:c r="H44" s="2" t="inlineStr">
        <x:is>
          <x:t xml:space="preserve">Instantaneous</x:t>
        </x:is>
      </x:c>
      <x:c r="I44" s="2" t="inlineStr">
        <x:is>
          <x:t xml:space="preserve">Channeling the chill of the grave, make a melee spell attack against a target within reach. On a hit, the target takes 1d10 Necrotic damage, and it can’t re-</x:t>
        </x:is>
      </x:c>
      <x:c r="J44" s="2" t="inlineStr">
        <x:is>
          <x:t xml:space="preserve">SRD 5.2.1</x:t>
        </x:is>
      </x:c>
      <x:c r="K44" s="2" t="inlineStr">
        <x:is>
          <x:t xml:space="preserve">pp. 107-175</x:t>
        </x:is>
      </x:c>
    </x:row>
    <x:row r="45" ht="18" customHeight="1">
      <x:c r="A45" s="2" t="inlineStr">
        <x:is>
          <x:t xml:space="preserve">gain Hit Points until the end of your next turn.</x:t>
        </x:is>
      </x:c>
      <x:c r="B45" s="2" t="inlineStr">
        <x:is>
          <x:t xml:space="preserve">Cantrip</x:t>
        </x:is>
      </x:c>
      <x:c r="C45" s="2" t="inlineStr">
        <x:is>
          <x:t xml:space="preserve"/>
        </x:is>
      </x:c>
      <x:c r="D45" s="2" t="inlineStr">
        <x:is>
          <x:t xml:space="preserve"/>
        </x:is>
      </x:c>
      <x:c r="E45" s="2" t="inlineStr">
        <x:is>
          <x:t xml:space="preserve"/>
        </x:is>
      </x:c>
      <x:c r="F45" s="2" t="inlineStr">
        <x:is>
          <x:t xml:space="preserve"/>
        </x:is>
      </x:c>
      <x:c r="G45" s="2" t="inlineStr">
        <x:is>
          <x:t xml:space="preserve"/>
        </x:is>
      </x:c>
      <x:c r="H45" s="2" t="inlineStr">
        <x:is>
          <x:t xml:space="preserve"/>
        </x:is>
      </x:c>
      <x:c r="I45" s="2" t="inlineStr">
        <x:is>
          <x:t xml:space="preserve">gain Hit Points until the end of your next turn. Cantrip Upgrade. The damage increases by 1d10 when you reach levels 5 (2d10), 11 (3d10), and 17 (4d10).</x:t>
        </x:is>
      </x:c>
      <x:c r="J45" s="2" t="inlineStr">
        <x:is>
          <x:t xml:space="preserve">SRD 5.2.1</x:t>
        </x:is>
      </x:c>
      <x:c r="K45" s="2" t="inlineStr">
        <x:is>
          <x:t xml:space="preserve">pp. 107-175</x:t>
        </x:is>
      </x:c>
    </x:row>
    <x:row r="46" ht="18" customHeight="1">
      <x:c r="A46" s="2" t="inlineStr">
        <x:is>
          <x:t xml:space="preserve">Chromatic Orb</x:t>
        </x:is>
      </x:c>
      <x:c r="B46" s="2" t="inlineStr">
        <x:is>
          <x:t xml:space="preserve">1</x:t>
        </x:is>
      </x:c>
      <x:c r="C46" s="2" t="inlineStr">
        <x:is>
          <x:t xml:space="preserve">Evocation</x:t>
        </x:is>
      </x:c>
      <x:c r="D46" s="2" t="inlineStr">
        <x:is>
          <x:t xml:space="preserve">Sorcerer, Wizard</x:t>
        </x:is>
      </x:c>
      <x:c r="E46" s="2" t="inlineStr">
        <x:is>
          <x:t xml:space="preserve">Action</x:t>
        </x:is>
      </x:c>
      <x:c r="F46" s="2" t="inlineStr">
        <x:is>
          <x:t xml:space="preserve">90 feet</x:t>
        </x:is>
      </x:c>
      <x:c r="G46" s="2" t="inlineStr">
        <x:is>
          <x:t xml:space="preserve">V, S, M (a diamond worth 50+ GP)</x:t>
        </x:is>
      </x:c>
      <x:c r="H46" s="2" t="inlineStr">
        <x:is>
          <x:t xml:space="preserve">Instantaneous</x:t>
        </x:is>
      </x:c>
      <x:c r="I46" s="2" t="inlineStr">
        <x:is>
          <x:t xml:space="preserve">You hurl an orb of energy at a target within range. Choose Acid, Cold, Fire, Lightning, Poison, or Thunder for the type of orb you create, and then make a ranged spell attack against the target. On a hit, the target takes 3d8 damage of the chosen type. If you roll the same number on two or more of the d8s, the orb leaps to a different target of your choice within 30 feet of the target. Make an attack roll against the new target, and make a new damage roll. The orb can’t leap again unless you cast the spell with a level 2+ spell slot. Using a Higher-Level Spell Slot. The damage increases by 1d8 for each spell slot level above 1. The orb can leap a maximum number of times equal to the level of the slot expended, and a creature can be targeted only once by each casting of this spell.</x:t>
        </x:is>
      </x:c>
      <x:c r="J46" s="2" t="inlineStr">
        <x:is>
          <x:t xml:space="preserve">SRD 5.2.1</x:t>
        </x:is>
      </x:c>
      <x:c r="K46" s="2" t="inlineStr">
        <x:is>
          <x:t xml:space="preserve">pp. 107-175</x:t>
        </x:is>
      </x:c>
    </x:row>
    <x:row r="47" ht="18" customHeight="1">
      <x:c r="A47" s="2" t="inlineStr">
        <x:is>
          <x:t xml:space="preserve">Circle of Death</x:t>
        </x:is>
      </x:c>
      <x:c r="B47" s="2" t="inlineStr">
        <x:is>
          <x:t xml:space="preserve">6</x:t>
        </x:is>
      </x:c>
      <x:c r="C47" s="2" t="inlineStr">
        <x:is>
          <x:t xml:space="preserve">Necromancy</x:t>
        </x:is>
      </x:c>
      <x:c r="D47" s="2" t="inlineStr">
        <x:is>
          <x:t xml:space="preserve">Sorcerer, Warlock, Wizard</x:t>
        </x:is>
      </x:c>
      <x:c r="E47" s="2" t="inlineStr">
        <x:is>
          <x:t xml:space="preserve">Action</x:t>
        </x:is>
      </x:c>
      <x:c r="F47" s="2" t="inlineStr">
        <x:is>
          <x:t xml:space="preserve">150 feet</x:t>
        </x:is>
      </x:c>
      <x:c r="G47" s="2" t="inlineStr">
        <x:is>
          <x:t xml:space="preserve">V, S, M (the powder of a crushed black</x:t>
        </x:is>
      </x:c>
      <x:c r="H47" s="2" t="inlineStr">
        <x:is>
          <x:t xml:space="preserve">Instantaneous</x:t>
        </x:is>
      </x:c>
      <x:c r="I47" s="2" t="inlineStr">
        <x:is>
          <x:t xml:space="preserve">Negative energy ripples out in a 60-foot-radius Sphere from a point you choose within range. Each creature in that area makes a Constitution saving throw, taking 8d8 Necrotic damage on a failed save or half as much damage on a successful one. Using a Higher-Level Spell Slot. The damage increases by 2d8 for each spell slot level above 6.</x:t>
        </x:is>
      </x:c>
      <x:c r="J47" s="2" t="inlineStr">
        <x:is>
          <x:t xml:space="preserve">SRD 5.2.1</x:t>
        </x:is>
      </x:c>
      <x:c r="K47" s="2" t="inlineStr">
        <x:is>
          <x:t xml:space="preserve">pp. 107-175</x:t>
        </x:is>
      </x:c>
    </x:row>
    <x:row r="48" ht="18" customHeight="1">
      <x:c r="A48" s="2" t="inlineStr">
        <x:is>
          <x:t xml:space="preserve">Clairvoyance</x:t>
        </x:is>
      </x:c>
      <x:c r="B48" s="2" t="inlineStr">
        <x:is>
          <x:t xml:space="preserve">3</x:t>
        </x:is>
      </x:c>
      <x:c r="C48" s="2" t="inlineStr">
        <x:is>
          <x:t xml:space="preserve">Divination</x:t>
        </x:is>
      </x:c>
      <x:c r="D48" s="2" t="inlineStr">
        <x:is>
          <x:t xml:space="preserve">Bard, Cleric, Sorcerer, Wizard</x:t>
        </x:is>
      </x:c>
      <x:c r="E48" s="2" t="inlineStr">
        <x:is>
          <x:t xml:space="preserve">10 minutes</x:t>
        </x:is>
      </x:c>
      <x:c r="F48" s="2" t="inlineStr">
        <x:is>
          <x:t xml:space="preserve">1 mile</x:t>
        </x:is>
      </x:c>
      <x:c r="G48" s="2" t="inlineStr">
        <x:is>
          <x:t xml:space="preserve">V, S, M (a focus worth 100+ GP, either a</x:t>
        </x:is>
      </x:c>
      <x:c r="H48" s="2" t="inlineStr">
        <x:is>
          <x:t xml:space="preserve">Concentration, up to 10 minutes</x:t>
        </x:is>
      </x:c>
      <x:c r="I48" s="2" t="inlineStr">
        <x:is>
          <x:t xml:space="preserve">You create an Invisible sensor within range in a location familiar to you (a place you have visited or seen before) or in an obvious location that is unfamiliar to you (such as behind a door, around a corner, or in a grove of trees). The intangible, invulnerable sensor remains in place for the duration. When you cast the spell, choose seeing or hearing. You can use the chosen sense through the sensor as if you were in its space. As a Bonus Action, you can switch between seeing and hearing. A creature that sees the sensor (such as a creature benefiting from See Invisibility or Truesight) sees a luminous orb about the size of your fist.</x:t>
        </x:is>
      </x:c>
      <x:c r="J48" s="2" t="inlineStr">
        <x:is>
          <x:t xml:space="preserve">SRD 5.2.1</x:t>
        </x:is>
      </x:c>
      <x:c r="K48" s="2" t="inlineStr">
        <x:is>
          <x:t xml:space="preserve">pp. 107-175</x:t>
        </x:is>
      </x:c>
    </x:row>
    <x:row r="49" ht="18" customHeight="1">
      <x:c r="A49" s="2" t="inlineStr">
        <x:is>
          <x:t xml:space="preserve">Clone</x:t>
        </x:is>
      </x:c>
      <x:c r="B49" s="2" t="inlineStr">
        <x:is>
          <x:t xml:space="preserve">8</x:t>
        </x:is>
      </x:c>
      <x:c r="C49" s="2" t="inlineStr">
        <x:is>
          <x:t xml:space="preserve">Necromancy</x:t>
        </x:is>
      </x:c>
      <x:c r="D49" s="2" t="inlineStr">
        <x:is>
          <x:t xml:space="preserve">Wizard</x:t>
        </x:is>
      </x:c>
      <x:c r="E49" s="2" t="inlineStr">
        <x:is>
          <x:t xml:space="preserve">1 hour</x:t>
        </x:is>
      </x:c>
      <x:c r="F49" s="2" t="inlineStr">
        <x:is>
          <x:t xml:space="preserve">Touch</x:t>
        </x:is>
      </x:c>
      <x:c r="G49" s="2" t="inlineStr">
        <x:is>
          <x:t xml:space="preserve">V, S, M (a diamond worth 1,000+ GP,</x:t>
        </x:is>
      </x:c>
      <x:c r="H49" s="2" t="inlineStr">
        <x:is>
          <x:t xml:space="preserve">Instantaneous</x:t>
        </x:is>
      </x:c>
      <x:c r="I49" s="2" t="inlineStr">
        <x:is>
          <x:t xml:space="preserve">You touch a creature or at least 1 cubic inch of its flesh. An inert duplicate of that creature forms inside the vessel used in the spell’s casting and finishes growing after 120 days; you choose whether the finished clone is the same age as the creature or younger. The clone remains inert and endures indefinitely while its vessel remains undisturbed. If the original creature dies after the clone finishes forming, the creature’s soul transfers to the clone if the soul is free and willing to return. The clone is physically identical to the original and has the same personality, memories, and abilities, but none of the original’s equipment. The creature’s original remains, if any, become inert and can’t be revived, since the creature’s soul is elsewhere.</x:t>
        </x:is>
      </x:c>
      <x:c r="J49" s="2" t="inlineStr">
        <x:is>
          <x:t xml:space="preserve">SRD 5.2.1</x:t>
        </x:is>
      </x:c>
      <x:c r="K49" s="2" t="inlineStr">
        <x:is>
          <x:t xml:space="preserve">pp. 107-175</x:t>
        </x:is>
      </x:c>
    </x:row>
    <x:row r="50" ht="18" customHeight="1">
      <x:c r="A50" s="2" t="inlineStr">
        <x:is>
          <x:t xml:space="preserve">Cloudkill</x:t>
        </x:is>
      </x:c>
      <x:c r="B50" s="2" t="inlineStr">
        <x:is>
          <x:t xml:space="preserve">5</x:t>
        </x:is>
      </x:c>
      <x:c r="C50" s="2" t="inlineStr">
        <x:is>
          <x:t xml:space="preserve">Conjuration</x:t>
        </x:is>
      </x:c>
      <x:c r="D50" s="2" t="inlineStr">
        <x:is>
          <x:t xml:space="preserve">Sorcerer, Wizard</x:t>
        </x:is>
      </x:c>
      <x:c r="E50" s="2" t="inlineStr">
        <x:is>
          <x:t xml:space="preserve">Action</x:t>
        </x:is>
      </x:c>
      <x:c r="F50" s="2" t="inlineStr">
        <x:is>
          <x:t xml:space="preserve">120 feet</x:t>
        </x:is>
      </x:c>
      <x:c r="G50" s="2" t="inlineStr">
        <x:is>
          <x:t xml:space="preserve">V, S</x:t>
        </x:is>
      </x:c>
      <x:c r="H50" s="2" t="inlineStr">
        <x:is>
          <x:t xml:space="preserve">Concentration, up to 10 minutes</x:t>
        </x:is>
      </x:c>
      <x:c r="I50" s="2" t="inlineStr">
        <x:is>
          <x:t xml:space="preserve">You create a 20-foot-radius Sphere of yellow-green fog centered on a point within range. The fog lasts for the duration or until strong wind (such as the one created by Gust of Wind) disperses it, ending the spell. Its area is Heavily Obscured. Each creature in the Sphere makes a Constitution saving throw, taking 5d8 Poison damage on a failed save or half as much damage on a successful one. A creature must also make this save when the Sphere moves into its space and when it enters the Sphere or ends its turn there. A creature makes this save only once per turn. The Sphere moves 10 feet away from you at the start of each of your turns. Using a Higher-Level Spell Slot. The damage increases by 1d8 for each spell slot level above 5.</x:t>
        </x:is>
      </x:c>
      <x:c r="J50" s="2" t="inlineStr">
        <x:is>
          <x:t xml:space="preserve">SRD 5.2.1</x:t>
        </x:is>
      </x:c>
      <x:c r="K50" s="2" t="inlineStr">
        <x:is>
          <x:t xml:space="preserve">pp. 107-175</x:t>
        </x:is>
      </x:c>
    </x:row>
    <x:row r="51" ht="18" customHeight="1">
      <x:c r="A51" s="2" t="inlineStr">
        <x:is>
          <x:t xml:space="preserve">Color Spray</x:t>
        </x:is>
      </x:c>
      <x:c r="B51" s="2" t="inlineStr">
        <x:is>
          <x:t xml:space="preserve">1</x:t>
        </x:is>
      </x:c>
      <x:c r="C51" s="2" t="inlineStr">
        <x:is>
          <x:t xml:space="preserve">Illusion</x:t>
        </x:is>
      </x:c>
      <x:c r="D51" s="2" t="inlineStr">
        <x:is>
          <x:t xml:space="preserve">Bard, Sorcerer, Wizard</x:t>
        </x:is>
      </x:c>
      <x:c r="E51" s="2" t="inlineStr">
        <x:is>
          <x:t xml:space="preserve">Action</x:t>
        </x:is>
      </x:c>
      <x:c r="F51" s="2" t="inlineStr">
        <x:is>
          <x:t xml:space="preserve">Self</x:t>
        </x:is>
      </x:c>
      <x:c r="G51" s="2" t="inlineStr">
        <x:is>
          <x:t xml:space="preserve">V, S, M (a pinch of colorful sand)</x:t>
        </x:is>
      </x:c>
      <x:c r="H51" s="2" t="inlineStr">
        <x:is>
          <x:t xml:space="preserve">Instantaneous</x:t>
        </x:is>
      </x:c>
      <x:c r="I51" s="2" t="inlineStr">
        <x:is>
          <x:t xml:space="preserve">You launch a dazzling array of flashing, colorful light. Each creature in a 15-foot Cone originating from you must succeed on a Constitution saving throw or have the Blinded condition until the end of your next turn.</x:t>
        </x:is>
      </x:c>
      <x:c r="J51" s="2" t="inlineStr">
        <x:is>
          <x:t xml:space="preserve">SRD 5.2.1</x:t>
        </x:is>
      </x:c>
      <x:c r="K51" s="2" t="inlineStr">
        <x:is>
          <x:t xml:space="preserve">pp. 107-175</x:t>
        </x:is>
      </x:c>
    </x:row>
    <x:row r="52" ht="18" customHeight="1">
      <x:c r="A52" s="2" t="inlineStr">
        <x:is>
          <x:t xml:space="preserve">Command</x:t>
        </x:is>
      </x:c>
      <x:c r="B52" s="2" t="inlineStr">
        <x:is>
          <x:t xml:space="preserve">1</x:t>
        </x:is>
      </x:c>
      <x:c r="C52" s="2" t="inlineStr">
        <x:is>
          <x:t xml:space="preserve">Enchantment</x:t>
        </x:is>
      </x:c>
      <x:c r="D52" s="2" t="inlineStr">
        <x:is>
          <x:t xml:space="preserve">Bard, Cleric, Paladin</x:t>
        </x:is>
      </x:c>
      <x:c r="E52" s="2" t="inlineStr">
        <x:is>
          <x:t xml:space="preserve">Action</x:t>
        </x:is>
      </x:c>
      <x:c r="F52" s="2" t="inlineStr">
        <x:is>
          <x:t xml:space="preserve">60 feet</x:t>
        </x:is>
      </x:c>
      <x:c r="G52" s="2" t="inlineStr">
        <x:is>
          <x:t xml:space="preserve">V</x:t>
        </x:is>
      </x:c>
      <x:c r="H52" s="2" t="inlineStr">
        <x:is>
          <x:t xml:space="preserve">Instantaneous</x:t>
        </x:is>
      </x:c>
      <x:c r="I52" s="2" t="inlineStr">
        <x:is>
          <x:t xml:space="preserve">You speak a one-word command to a creature you can see within range. The target must succeed on a Wisdom saving throw or follow the command on its next turn. Choose the command from these options: Approach. The target moves toward you by the shortest and most direct route, ending its turn if it moves within 5 feet of you. Drop. The target drops whatever it is holding and then ends its turn. Flee. The target spends its turn moving away from you by the fastest available means. Grovel. The target has the Prone condition and then ends its turn. Halt. On its turn, the target doesn’t move and takes no action or Bonus Action. Using a Higher-Level Spell Slot. You can affect one additional creature for each spell slot level above 1.</x:t>
        </x:is>
      </x:c>
      <x:c r="J52" s="2" t="inlineStr">
        <x:is>
          <x:t xml:space="preserve">SRD 5.2.1</x:t>
        </x:is>
      </x:c>
      <x:c r="K52" s="2" t="inlineStr">
        <x:is>
          <x:t xml:space="preserve">pp. 107-175</x:t>
        </x:is>
      </x:c>
    </x:row>
    <x:row r="53" ht="18" customHeight="1">
      <x:c r="A53" s="2" t="inlineStr">
        <x:is>
          <x:t xml:space="preserve">Commune</x:t>
        </x:is>
      </x:c>
      <x:c r="B53" s="2" t="inlineStr">
        <x:is>
          <x:t xml:space="preserve">5</x:t>
        </x:is>
      </x:c>
      <x:c r="C53" s="2" t="inlineStr">
        <x:is>
          <x:t xml:space="preserve">Divination</x:t>
        </x:is>
      </x:c>
      <x:c r="D53" s="2" t="inlineStr">
        <x:is>
          <x:t xml:space="preserve">Cleric</x:t>
        </x:is>
      </x:c>
      <x:c r="E53" s="2" t="inlineStr">
        <x:is>
          <x:t xml:space="preserve">1 minute or Ritual</x:t>
        </x:is>
      </x:c>
      <x:c r="F53" s="2" t="inlineStr">
        <x:is>
          <x:t xml:space="preserve">Self</x:t>
        </x:is>
      </x:c>
      <x:c r="G53" s="2" t="inlineStr">
        <x:is>
          <x:t xml:space="preserve">V, S, M (incense)</x:t>
        </x:is>
      </x:c>
      <x:c r="H53" s="2" t="inlineStr">
        <x:is>
          <x:t xml:space="preserve">1 minute</x:t>
        </x:is>
      </x:c>
      <x:c r="I53" s="2" t="inlineStr">
        <x:is>
          <x:t xml:space="preserve">You contact a deity or a divine proxy and ask up to three questions that can be answered with yes or no. You must ask your questions before the spell ends. You receive a correct answer for each question. Divine beings aren’t necessarily omniscient, so you might receive “unclear” as an answer if a question pertains to information that lies beyond the deity’s knowledge. In a case where a one-word answer could be misleading or contrary to the deity’s interests, the GM might offer a short phrase as an answer instead. If you cast the spell more than once before finishing a Long Rest, there is a cumulative 25 percent chance for each casting after the first that you get no answer.</x:t>
        </x:is>
      </x:c>
      <x:c r="J53" s="2" t="inlineStr">
        <x:is>
          <x:t xml:space="preserve">SRD 5.2.1</x:t>
        </x:is>
      </x:c>
      <x:c r="K53" s="2" t="inlineStr">
        <x:is>
          <x:t xml:space="preserve">pp. 107-175</x:t>
        </x:is>
      </x:c>
    </x:row>
    <x:row r="54" ht="18" customHeight="1">
      <x:c r="A54" s="2" t="inlineStr">
        <x:is>
          <x:t xml:space="preserve">Commune with Nature</x:t>
        </x:is>
      </x:c>
      <x:c r="B54" s="2" t="inlineStr">
        <x:is>
          <x:t xml:space="preserve">5</x:t>
        </x:is>
      </x:c>
      <x:c r="C54" s="2" t="inlineStr">
        <x:is>
          <x:t xml:space="preserve">Divination</x:t>
        </x:is>
      </x:c>
      <x:c r="D54" s="2" t="inlineStr">
        <x:is>
          <x:t xml:space="preserve">Druid, Ranger</x:t>
        </x:is>
      </x:c>
      <x:c r="E54" s="2" t="inlineStr">
        <x:is>
          <x:t xml:space="preserve">1 minute or Ritual</x:t>
        </x:is>
      </x:c>
      <x:c r="F54" s="2" t="inlineStr">
        <x:is>
          <x:t xml:space="preserve">Self</x:t>
        </x:is>
      </x:c>
      <x:c r="G54" s="2" t="inlineStr">
        <x:is>
          <x:t xml:space="preserve">V, S</x:t>
        </x:is>
      </x:c>
      <x:c r="H54" s="2" t="inlineStr">
        <x:is>
          <x:t xml:space="preserve">Instantaneous</x:t>
        </x:is>
      </x:c>
      <x:c r="I54" s="2" t="inlineStr">
        <x:is>
          <x:t xml:space="preserve">You commune with nature spirits and gain knowledge of the surrounding area. In the outdoors, the spell gives you knowledge of the area within 3 miles of you. In caves and other natural underground settings, the radius is limited to 300 feet. The spell doesn’t function where nature has been replaced by construction, such as in castles and settlements. Choose three of the following facts; you learn those facts as they pertain to the spell’s area: • Locations of settlements • Locations of portals to other planes of existence • Location of one Challenge Rating 10+ creature (GM’s choice) that is a Celestial, an Elemental, a Fey, a Fiend, or an Undead • The most prevalent kind of plant, mineral, or Beast (you choose which to learn) • Locations of bodies of water For example, you could determine the location of a powerful monster in the area, the locations of bodies of water, and the locations of any towns.</x:t>
        </x:is>
      </x:c>
      <x:c r="J54" s="2" t="inlineStr">
        <x:is>
          <x:t xml:space="preserve">SRD 5.2.1</x:t>
        </x:is>
      </x:c>
      <x:c r="K54" s="2" t="inlineStr">
        <x:is>
          <x:t xml:space="preserve">pp. 107-175</x:t>
        </x:is>
      </x:c>
    </x:row>
    <x:row r="55" ht="18" customHeight="1">
      <x:c r="A55" s="2" t="inlineStr">
        <x:is>
          <x:t xml:space="preserve">Comprehend Languages</x:t>
        </x:is>
      </x:c>
      <x:c r="B55" s="2" t="inlineStr">
        <x:is>
          <x:t xml:space="preserve">1</x:t>
        </x:is>
      </x:c>
      <x:c r="C55" s="2" t="inlineStr">
        <x:is>
          <x:t xml:space="preserve">Divination</x:t>
        </x:is>
      </x:c>
      <x:c r="D55" s="2" t="inlineStr">
        <x:is>
          <x:t xml:space="preserve">Bard, Sorcerer, Warlock, Wizard</x:t>
        </x:is>
      </x:c>
      <x:c r="E55" s="2" t="inlineStr">
        <x:is>
          <x:t xml:space="preserve">Action or Ritual</x:t>
        </x:is>
      </x:c>
      <x:c r="F55" s="2" t="inlineStr">
        <x:is>
          <x:t xml:space="preserve">Self</x:t>
        </x:is>
      </x:c>
      <x:c r="G55" s="2" t="inlineStr">
        <x:is>
          <x:t xml:space="preserve">V, S, M (a pinch of soot and salt)</x:t>
        </x:is>
      </x:c>
      <x:c r="H55" s="2" t="inlineStr">
        <x:is>
          <x:t xml:space="preserve">1 hour</x:t>
        </x:is>
      </x:c>
      <x:c r="I55" s="2" t="inlineStr">
        <x:is>
          <x:t xml:space="preserve">For the duration, you understand the literal meaning of any language that you hear or see signed. You also understand any written language that you see, but you must be touching the surface on which the words are written. It takes about 1 minute to read one page of text. This spell doesn’t decode symbols or secret messages.</x:t>
        </x:is>
      </x:c>
      <x:c r="J55" s="2" t="inlineStr">
        <x:is>
          <x:t xml:space="preserve">SRD 5.2.1</x:t>
        </x:is>
      </x:c>
      <x:c r="K55" s="2" t="inlineStr">
        <x:is>
          <x:t xml:space="preserve">pp. 107-175</x:t>
        </x:is>
      </x:c>
    </x:row>
    <x:row r="56" ht="18" customHeight="1">
      <x:c r="A56" s="2" t="inlineStr">
        <x:is>
          <x:t xml:space="preserve">Compulsion</x:t>
        </x:is>
      </x:c>
      <x:c r="B56" s="2" t="inlineStr">
        <x:is>
          <x:t xml:space="preserve">4</x:t>
        </x:is>
      </x:c>
      <x:c r="C56" s="2" t="inlineStr">
        <x:is>
          <x:t xml:space="preserve">Enchantment</x:t>
        </x:is>
      </x:c>
      <x:c r="D56" s="2" t="inlineStr">
        <x:is>
          <x:t xml:space="preserve">Bard</x:t>
        </x:is>
      </x:c>
      <x:c r="E56" s="2" t="inlineStr">
        <x:is>
          <x:t xml:space="preserve">Action</x:t>
        </x:is>
      </x:c>
      <x:c r="F56" s="2" t="inlineStr">
        <x:is>
          <x:t xml:space="preserve">30 feet</x:t>
        </x:is>
      </x:c>
      <x:c r="G56" s="2" t="inlineStr">
        <x:is>
          <x:t xml:space="preserve">V, S</x:t>
        </x:is>
      </x:c>
      <x:c r="H56" s="2" t="inlineStr">
        <x:is>
          <x:t xml:space="preserve">Concentration, up to 1 minute</x:t>
        </x:is>
      </x:c>
      <x:c r="I56" s="2" t="inlineStr">
        <x:is>
          <x:t xml:space="preserve">Each creature of your choice that you can see within range must succeed on a Wisdom saving throw or have the Charmed condition until the spell ends. For the duration, you can take a Bonus Action to designate a direction that is horizontal to you. Each Charmed target must use as much of its movement as possible to move in that direction on its next turn, taking the safest route. After moving in this way, a target repeats the save, ending the spell on itself on a success.</x:t>
        </x:is>
      </x:c>
      <x:c r="J56" s="2" t="inlineStr">
        <x:is>
          <x:t xml:space="preserve">SRD 5.2.1</x:t>
        </x:is>
      </x:c>
      <x:c r="K56" s="2" t="inlineStr">
        <x:is>
          <x:t xml:space="preserve">pp. 107-175</x:t>
        </x:is>
      </x:c>
    </x:row>
    <x:row r="57" ht="18" customHeight="1">
      <x:c r="A57" s="2" t="inlineStr">
        <x:is>
          <x:t xml:space="preserve">Cone of Cold</x:t>
        </x:is>
      </x:c>
      <x:c r="B57" s="2" t="inlineStr">
        <x:is>
          <x:t xml:space="preserve">5</x:t>
        </x:is>
      </x:c>
      <x:c r="C57" s="2" t="inlineStr">
        <x:is>
          <x:t xml:space="preserve">Evocation</x:t>
        </x:is>
      </x:c>
      <x:c r="D57" s="2" t="inlineStr">
        <x:is>
          <x:t xml:space="preserve">Druid, Sorcerer, Wizard</x:t>
        </x:is>
      </x:c>
      <x:c r="E57" s="2" t="inlineStr">
        <x:is>
          <x:t xml:space="preserve">Action</x:t>
        </x:is>
      </x:c>
      <x:c r="F57" s="2" t="inlineStr">
        <x:is>
          <x:t xml:space="preserve">Self</x:t>
        </x:is>
      </x:c>
      <x:c r="G57" s="2" t="inlineStr">
        <x:is>
          <x:t xml:space="preserve">V, S, M (a small crystal or glass cone)</x:t>
        </x:is>
      </x:c>
      <x:c r="H57" s="2" t="inlineStr">
        <x:is>
          <x:t xml:space="preserve">Instantaneous</x:t>
        </x:is>
      </x:c>
      <x:c r="I57" s="2" t="inlineStr">
        <x:is>
          <x:t xml:space="preserve">You unleash a blast of cold air. Each creature in a 60-foot Cone originating from you makes a Constitution saving throw, taking 8d8 Cold damage on a failed save or half as much damage on a successful one. A creature killed by this spell becomes a frozen statue until it thaws. Using a Higher-Level Spell Slot. The damage increases by 1d8 for each spell slot level above 5.</x:t>
        </x:is>
      </x:c>
      <x:c r="J57" s="2" t="inlineStr">
        <x:is>
          <x:t xml:space="preserve">SRD 5.2.1</x:t>
        </x:is>
      </x:c>
      <x:c r="K57" s="2" t="inlineStr">
        <x:is>
          <x:t xml:space="preserve">pp. 107-175</x:t>
        </x:is>
      </x:c>
    </x:row>
    <x:row r="58" ht="18" customHeight="1">
      <x:c r="A58" s="2" t="inlineStr">
        <x:is>
          <x:t xml:space="preserve">Confusion</x:t>
        </x:is>
      </x:c>
      <x:c r="B58" s="2" t="inlineStr">
        <x:is>
          <x:t xml:space="preserve">4</x:t>
        </x:is>
      </x:c>
      <x:c r="C58" s="2" t="inlineStr">
        <x:is>
          <x:t xml:space="preserve">Enchantment</x:t>
        </x:is>
      </x:c>
      <x:c r="D58" s="2" t="inlineStr">
        <x:is>
          <x:t xml:space="preserve">Bard, Druid, Sorcerer, Wizard</x:t>
        </x:is>
      </x:c>
      <x:c r="E58" s="2" t="inlineStr">
        <x:is>
          <x:t xml:space="preserve">Action</x:t>
        </x:is>
      </x:c>
      <x:c r="F58" s="2" t="inlineStr">
        <x:is>
          <x:t xml:space="preserve">90 feet</x:t>
        </x:is>
      </x:c>
      <x:c r="G58" s="2" t="inlineStr">
        <x:is>
          <x:t xml:space="preserve">V, S, M (three nut shells)</x:t>
        </x:is>
      </x:c>
      <x:c r="H58" s="2" t="inlineStr">
        <x:is>
          <x:t xml:space="preserve">Concentration, up to 1 minute</x:t>
        </x:is>
      </x:c>
      <x:c r="I58" s="2" t="inlineStr">
        <x:is>
          <x:t xml:space="preserve">Each creature in a 10-foot-radius Sphere centered on a point you choose within range must succeed on a Wisdom saving throw, or that target can’t take Bonus Actions or Reactions and must roll 1d10 at the start of each of its turns to determine its behavior for that turn, consulting the table below. 1d10 Behavior for the Turn 1 The target doesn’t take an action, and it uses all its movement to move. Roll 1d4 for the direction: 1, north; 2, east; 3, south; or 4, west. 2–6 The target doesn’t move or take actions. 7–8 The target doesn’t move, and it takes the Attack action to make one melee attack against a random creature within reach. If none are within reach, the target takes no action. 9–10 The target chooses its behavior. At the end of each of its turns, an affected target repeats the save, ending the spell on itself on a success. Using a Higher-Level Spell Slot. The Sphere’s radius increases by 5 feet for each spell slot level above 4.</x:t>
        </x:is>
      </x:c>
      <x:c r="J58" s="2" t="inlineStr">
        <x:is>
          <x:t xml:space="preserve">SRD 5.2.1</x:t>
        </x:is>
      </x:c>
      <x:c r="K58" s="2" t="inlineStr">
        <x:is>
          <x:t xml:space="preserve">pp. 107-175</x:t>
        </x:is>
      </x:c>
    </x:row>
    <x:row r="59" ht="18" customHeight="1">
      <x:c r="A59" s="2" t="inlineStr">
        <x:is>
          <x:t xml:space="preserve">Conjure Animals</x:t>
        </x:is>
      </x:c>
      <x:c r="B59" s="2" t="inlineStr">
        <x:is>
          <x:t xml:space="preserve">3</x:t>
        </x:is>
      </x:c>
      <x:c r="C59" s="2" t="inlineStr">
        <x:is>
          <x:t xml:space="preserve">Conjuration</x:t>
        </x:is>
      </x:c>
      <x:c r="D59" s="2" t="inlineStr">
        <x:is>
          <x:t xml:space="preserve">Druid, Ranger</x:t>
        </x:is>
      </x:c>
      <x:c r="E59" s="2" t="inlineStr">
        <x:is>
          <x:t xml:space="preserve">Action</x:t>
        </x:is>
      </x:c>
      <x:c r="F59" s="2" t="inlineStr">
        <x:is>
          <x:t xml:space="preserve">60 feet</x:t>
        </x:is>
      </x:c>
      <x:c r="G59" s="2" t="inlineStr">
        <x:is>
          <x:t xml:space="preserve">V, S</x:t>
        </x:is>
      </x:c>
      <x:c r="H59" s="2" t="inlineStr">
        <x:is>
          <x:t xml:space="preserve">Concentration, up to 10 minutes</x:t>
        </x:is>
      </x:c>
      <x:c r="I59" s="2" t="inlineStr">
        <x:is>
          <x:t xml:space="preserve">You conjure nature spirits that appear as a Large pack of spectral, intangible animals in an unoccupied space you can see within range. The pack lasts for the duration, and you choose the spirits’ animal form, such as wolves, serpents, or birds. You have Advantage on Strength saving throws while you’re within 5 feet of the pack, and when you move on your turn, you can also move the pack up to 30 feet to an unoccupied space you can see. Whenever the pack moves within 10 feet of a creature you can see and whenever a creature you can see enters a space within 10 feet of the pack or ends its turn there, you can force that creature to make a Dexterity saving throw. On a failed save, the creature takes 3d10 Slashing damage. A creature makes this save only once per turn. Using a Higher-Level Spell Slot. The damage increases by 1d10 for each spell slot level above 3.</x:t>
        </x:is>
      </x:c>
      <x:c r="J59" s="2" t="inlineStr">
        <x:is>
          <x:t xml:space="preserve">SRD 5.2.1</x:t>
        </x:is>
      </x:c>
      <x:c r="K59" s="2" t="inlineStr">
        <x:is>
          <x:t xml:space="preserve">pp. 107-175</x:t>
        </x:is>
      </x:c>
    </x:row>
    <x:row r="60" ht="18" customHeight="1">
      <x:c r="A60" s="2" t="inlineStr">
        <x:is>
          <x:t xml:space="preserve">Conjure Celestial</x:t>
        </x:is>
      </x:c>
      <x:c r="B60" s="2" t="inlineStr">
        <x:is>
          <x:t xml:space="preserve">7</x:t>
        </x:is>
      </x:c>
      <x:c r="C60" s="2" t="inlineStr">
        <x:is>
          <x:t xml:space="preserve">Conjuration</x:t>
        </x:is>
      </x:c>
      <x:c r="D60" s="2" t="inlineStr">
        <x:is>
          <x:t xml:space="preserve">Cleric</x:t>
        </x:is>
      </x:c>
      <x:c r="E60" s="2" t="inlineStr">
        <x:is>
          <x:t xml:space="preserve">Action</x:t>
        </x:is>
      </x:c>
      <x:c r="F60" s="2" t="inlineStr">
        <x:is>
          <x:t xml:space="preserve">90 feet</x:t>
        </x:is>
      </x:c>
      <x:c r="G60" s="2" t="inlineStr">
        <x:is>
          <x:t xml:space="preserve">V, S</x:t>
        </x:is>
      </x:c>
      <x:c r="H60" s="2" t="inlineStr">
        <x:is>
          <x:t xml:space="preserve">Concentration, up to 10 minutes</x:t>
        </x:is>
      </x:c>
      <x:c r="I60" s="2" t="inlineStr">
        <x:is>
          <x:t xml:space="preserve">You conjure a spirit from the Upper Planes, which manifests as a pillar of light in a 10-foot-radius, 40-foot-high Cylinder centered on a point within range. For each creature you can see in the Cylinder, choose which of these lights shines on it: Healing Light. The target regains Hit Points equal to 4d12 plus your spellcasting ability modifier. Searing Light. The target makes a Dexterity saving throw, taking 6d12 Radiant damage on a failed save or half as much damage on a successful one. Until the spell ends, Bright Light fills the Cylinder, and when you move on your turn, you can also move the Cylinder up to 30 feet. Whenever the Cylinder moves into the space of a creature you can see and whenever a creature you can see enters the Cylinder or ends its turn there, you can bathe it in one of the lights. A creature can be affected by this spell only once per turn. Using a Higher-Level Spell Slot. The healing and damage increase by 1d12 for each spell slot level above 7.</x:t>
        </x:is>
      </x:c>
      <x:c r="J60" s="2" t="inlineStr">
        <x:is>
          <x:t xml:space="preserve">SRD 5.2.1</x:t>
        </x:is>
      </x:c>
      <x:c r="K60" s="2" t="inlineStr">
        <x:is>
          <x:t xml:space="preserve">pp. 107-175</x:t>
        </x:is>
      </x:c>
    </x:row>
    <x:row r="61" ht="18" customHeight="1">
      <x:c r="A61" s="2" t="inlineStr">
        <x:is>
          <x:t xml:space="preserve">Conjure Elemental</x:t>
        </x:is>
      </x:c>
      <x:c r="B61" s="2" t="inlineStr">
        <x:is>
          <x:t xml:space="preserve">5</x:t>
        </x:is>
      </x:c>
      <x:c r="C61" s="2" t="inlineStr">
        <x:is>
          <x:t xml:space="preserve">Conjuration</x:t>
        </x:is>
      </x:c>
      <x:c r="D61" s="2" t="inlineStr">
        <x:is>
          <x:t xml:space="preserve">Druid, Wizard</x:t>
        </x:is>
      </x:c>
      <x:c r="E61" s="2" t="inlineStr">
        <x:is>
          <x:t xml:space="preserve">Action</x:t>
        </x:is>
      </x:c>
      <x:c r="F61" s="2" t="inlineStr">
        <x:is>
          <x:t xml:space="preserve">60 feet</x:t>
        </x:is>
      </x:c>
      <x:c r="G61" s="2" t="inlineStr">
        <x:is>
          <x:t xml:space="preserve">V, S</x:t>
        </x:is>
      </x:c>
      <x:c r="H61" s="2" t="inlineStr">
        <x:is>
          <x:t xml:space="preserve">Concentration, up to 10 minutes</x:t>
        </x:is>
      </x:c>
      <x:c r="I61" s="2" t="inlineStr">
        <x:is>
          <x:t xml:space="preserve">You conjure a Large, intangible spirit from the Elemental Planes that appears in an unoccupied space within range. Choose the spirit’s element, which determines its damage type: air (Lightning), earth (Thunder), fire (Fire), or water (Cold). The spirit lasts for the duration. Whenever a creature you can see enters the spirit’s space or starts its turn within 5 feet of the spirit, you can force that creature to make a Dexterity saving throw if the spirit has no creature Restrained. On failed save, the target takes 8d8 damage of the spirit’s type, and the target has the Restrained condition until the spell ends. At the start of each of its turns, the Restrained target repeats the save. On a failed save, the target takes 4d8 damage of the spirit’s type. On a successful save, the target isn’t Restrained by the spirit. Using a Higher-Level Spell Slot. The damage increases by 1d8 for each spell slot level above 5.</x:t>
        </x:is>
      </x:c>
      <x:c r="J61" s="2" t="inlineStr">
        <x:is>
          <x:t xml:space="preserve">SRD 5.2.1</x:t>
        </x:is>
      </x:c>
      <x:c r="K61" s="2" t="inlineStr">
        <x:is>
          <x:t xml:space="preserve">pp. 107-175</x:t>
        </x:is>
      </x:c>
    </x:row>
    <x:row r="62" ht="18" customHeight="1">
      <x:c r="A62" s="2" t="inlineStr">
        <x:is>
          <x:t xml:space="preserve">Conjure Fey</x:t>
        </x:is>
      </x:c>
      <x:c r="B62" s="2" t="inlineStr">
        <x:is>
          <x:t xml:space="preserve">6</x:t>
        </x:is>
      </x:c>
      <x:c r="C62" s="2" t="inlineStr">
        <x:is>
          <x:t xml:space="preserve">Conjuration</x:t>
        </x:is>
      </x:c>
      <x:c r="D62" s="2" t="inlineStr">
        <x:is>
          <x:t xml:space="preserve">Druid</x:t>
        </x:is>
      </x:c>
      <x:c r="E62" s="2" t="inlineStr">
        <x:is>
          <x:t xml:space="preserve">Action</x:t>
        </x:is>
      </x:c>
      <x:c r="F62" s="2" t="inlineStr">
        <x:is>
          <x:t xml:space="preserve">60 feet</x:t>
        </x:is>
      </x:c>
      <x:c r="G62" s="2" t="inlineStr">
        <x:is>
          <x:t xml:space="preserve">V, S</x:t>
        </x:is>
      </x:c>
      <x:c r="H62" s="2" t="inlineStr">
        <x:is>
          <x:t xml:space="preserve">Concentration, up to 10 minutes</x:t>
        </x:is>
      </x:c>
      <x:c r="I62" s="2" t="inlineStr">
        <x:is>
          <x:t xml:space="preserve">You conjure a Medium spirit from the Feywild in an unoccupied space you can see within range. The spirit lasts for the duration, and it looks like a Fey creature of your choice. When the spirit appears, you can make one melee spell attack against a creature within 5 feet of it. On a hit, the target takes Psychic damage equal to 3d12 plus your spellcasting ability modifier, and the target has the Frightened condition until the start of your next turn, with both you and the spirit as the source of the fear. As a Bonus Action on your later turns, you can teleport the spirit to an unoccupied space you can see within 30 feet of the space it left and make the attack against a creature within 5 feet of it. Using a Higher-Level Spell Slot. The damage increases by 1d12 for each spell slot level above 6.</x:t>
        </x:is>
      </x:c>
      <x:c r="J62" s="2" t="inlineStr">
        <x:is>
          <x:t xml:space="preserve">SRD 5.2.1</x:t>
        </x:is>
      </x:c>
      <x:c r="K62" s="2" t="inlineStr">
        <x:is>
          <x:t xml:space="preserve">pp. 107-175</x:t>
        </x:is>
      </x:c>
    </x:row>
    <x:row r="63" ht="18" customHeight="1">
      <x:c r="A63" s="2" t="inlineStr">
        <x:is>
          <x:t xml:space="preserve">Conjure Minor Elementals</x:t>
        </x:is>
      </x:c>
      <x:c r="B63" s="2" t="inlineStr">
        <x:is>
          <x:t xml:space="preserve">4</x:t>
        </x:is>
      </x:c>
      <x:c r="C63" s="2" t="inlineStr">
        <x:is>
          <x:t xml:space="preserve">Conjuration</x:t>
        </x:is>
      </x:c>
      <x:c r="D63" s="2" t="inlineStr">
        <x:is>
          <x:t xml:space="preserve">Druid, Wizard</x:t>
        </x:is>
      </x:c>
      <x:c r="E63" s="2" t="inlineStr">
        <x:is>
          <x:t xml:space="preserve">Action</x:t>
        </x:is>
      </x:c>
      <x:c r="F63" s="2" t="inlineStr">
        <x:is>
          <x:t xml:space="preserve">Self</x:t>
        </x:is>
      </x:c>
      <x:c r="G63" s="2" t="inlineStr">
        <x:is>
          <x:t xml:space="preserve">V, S</x:t>
        </x:is>
      </x:c>
      <x:c r="H63" s="2" t="inlineStr">
        <x:is>
          <x:t xml:space="preserve">Concentration, up to 10 minutes</x:t>
        </x:is>
      </x:c>
      <x:c r="I63" s="2" t="inlineStr">
        <x:is>
          <x:t xml:space="preserve">You conjure spirits from the Elemental Planes that flit around you in a 15-foot Emanation for the duration. Until the spell ends, any attack you make deals an extra 2d8 damage when you hit a creature in the Emanation. This damage is Acid, Cold, Fire, or Lightning (your choice when you make the attack). In addition, the ground in the Emanation is Difficult Terrain for your enemies. Using a Higher-Level Spell Slot. The damage increases by 1d8 for each spell slot level above 4.</x:t>
        </x:is>
      </x:c>
      <x:c r="J63" s="2" t="inlineStr">
        <x:is>
          <x:t xml:space="preserve">SRD 5.2.1</x:t>
        </x:is>
      </x:c>
      <x:c r="K63" s="2" t="inlineStr">
        <x:is>
          <x:t xml:space="preserve">pp. 107-175</x:t>
        </x:is>
      </x:c>
    </x:row>
    <x:row r="64" ht="18" customHeight="1">
      <x:c r="A64" s="2" t="inlineStr">
        <x:is>
          <x:t xml:space="preserve">Conjure Woodland Beings</x:t>
        </x:is>
      </x:c>
      <x:c r="B64" s="2" t="inlineStr">
        <x:is>
          <x:t xml:space="preserve">4</x:t>
        </x:is>
      </x:c>
      <x:c r="C64" s="2" t="inlineStr">
        <x:is>
          <x:t xml:space="preserve">Conjuration</x:t>
        </x:is>
      </x:c>
      <x:c r="D64" s="2" t="inlineStr">
        <x:is>
          <x:t xml:space="preserve">Druid, Ranger</x:t>
        </x:is>
      </x:c>
      <x:c r="E64" s="2" t="inlineStr">
        <x:is>
          <x:t xml:space="preserve">Action</x:t>
        </x:is>
      </x:c>
      <x:c r="F64" s="2" t="inlineStr">
        <x:is>
          <x:t xml:space="preserve">Self</x:t>
        </x:is>
      </x:c>
      <x:c r="G64" s="2" t="inlineStr">
        <x:is>
          <x:t xml:space="preserve">V, S</x:t>
        </x:is>
      </x:c>
      <x:c r="H64" s="2" t="inlineStr">
        <x:is>
          <x:t xml:space="preserve">Concentration, up to 10 minutes</x:t>
        </x:is>
      </x:c>
      <x:c r="I64" s="2" t="inlineStr">
        <x:is>
          <x:t xml:space="preserve">You conjure nature spirits that flit around you in a 10-foot Emanation for the duration. Whenever the Emanation enters the space of a creature you can see and whenever a creature you can see enters the Emanation or ends its turn there, you can force that creature to make a Wisdom saving throw. The creature takes 5d8 Force damage on a failed save or half as much damage on a successful one. A creature makes this save only once per turn. In addition, you can take the Disengage action as a Bonus Action for the spell’s duration. Using a Higher-Level Spell Slot. The damage increases by 1d8 for each spell slot level above 4.</x:t>
        </x:is>
      </x:c>
      <x:c r="J64" s="2" t="inlineStr">
        <x:is>
          <x:t xml:space="preserve">SRD 5.2.1</x:t>
        </x:is>
      </x:c>
      <x:c r="K64" s="2" t="inlineStr">
        <x:is>
          <x:t xml:space="preserve">pp. 107-175</x:t>
        </x:is>
      </x:c>
    </x:row>
    <x:row r="65" ht="18" customHeight="1">
      <x:c r="A65" s="2" t="inlineStr">
        <x:is>
          <x:t xml:space="preserve">Contact Other Plane</x:t>
        </x:is>
      </x:c>
      <x:c r="B65" s="2" t="inlineStr">
        <x:is>
          <x:t xml:space="preserve">5</x:t>
        </x:is>
      </x:c>
      <x:c r="C65" s="2" t="inlineStr">
        <x:is>
          <x:t xml:space="preserve">Divination</x:t>
        </x:is>
      </x:c>
      <x:c r="D65" s="2" t="inlineStr">
        <x:is>
          <x:t xml:space="preserve">Warlock, Wizard</x:t>
        </x:is>
      </x:c>
      <x:c r="E65" s="2" t="inlineStr">
        <x:is>
          <x:t xml:space="preserve">1 minute or Ritual</x:t>
        </x:is>
      </x:c>
      <x:c r="F65" s="2" t="inlineStr">
        <x:is>
          <x:t xml:space="preserve">Self</x:t>
        </x:is>
      </x:c>
      <x:c r="G65" s="2" t="inlineStr">
        <x:is>
          <x:t xml:space="preserve">V</x:t>
        </x:is>
      </x:c>
      <x:c r="H65" s="2" t="inlineStr">
        <x:is>
          <x:t xml:space="preserve">1 minute</x:t>
        </x:is>
      </x:c>
      <x:c r="I65" s="2" t="inlineStr">
        <x:is>
          <x:t xml:space="preserve">You mentally contact a demigod, the spirit of a longdead sage, or some other knowledgeable entity from another plane. Contacting this otherworldly intelligence can break your mind. When you cast this spell, make a DC 15 Intelligence saving throw. On a successful save, you can ask the entity up to five questions. You must ask your questions before the spell ends. The GM answers each question with one word, such as “yes,” “no,” “maybe,” “never,” “irrelevant,” or “unclear” (if the entity doesn’t know the answer to the question). If a one-word answer would be misleading, the GM might instead offer a short phrase as an answer. On a failed save, you take 6d6 Psychic damage and have the Incapacitated condition until you finish a Long Rest. A Greater Restoration spell cast on you ends this effect.</x:t>
        </x:is>
      </x:c>
      <x:c r="J65" s="2" t="inlineStr">
        <x:is>
          <x:t xml:space="preserve">SRD 5.2.1</x:t>
        </x:is>
      </x:c>
      <x:c r="K65" s="2" t="inlineStr">
        <x:is>
          <x:t xml:space="preserve">pp. 107-175</x:t>
        </x:is>
      </x:c>
    </x:row>
    <x:row r="66" ht="18" customHeight="1">
      <x:c r="A66" s="2" t="inlineStr">
        <x:is>
          <x:t xml:space="preserve">Contagion</x:t>
        </x:is>
      </x:c>
      <x:c r="B66" s="2" t="inlineStr">
        <x:is>
          <x:t xml:space="preserve">5</x:t>
        </x:is>
      </x:c>
      <x:c r="C66" s="2" t="inlineStr">
        <x:is>
          <x:t xml:space="preserve">Necromancy</x:t>
        </x:is>
      </x:c>
      <x:c r="D66" s="2" t="inlineStr">
        <x:is>
          <x:t xml:space="preserve">Cleric, Druid</x:t>
        </x:is>
      </x:c>
      <x:c r="E66" s="2" t="inlineStr">
        <x:is>
          <x:t xml:space="preserve">Action</x:t>
        </x:is>
      </x:c>
      <x:c r="F66" s="2" t="inlineStr">
        <x:is>
          <x:t xml:space="preserve">Touch</x:t>
        </x:is>
      </x:c>
      <x:c r="G66" s="2" t="inlineStr">
        <x:is>
          <x:t xml:space="preserve"/>
        </x:is>
      </x:c>
      <x:c r="H66" s="2" t="inlineStr">
        <x:is>
          <x:t xml:space="preserve">7 days</x:t>
        </x:is>
      </x:c>
      <x:c r="I66" s="2" t="inlineStr">
        <x:is>
          <x:t xml:space="preserve">Your touch inflicts a magical contagion. The target must succeed on a Constitution saving throw or take 11d8 Necrotic damage and have the Poisoned condition. Also, choose one ability when you cast the spell. While Poisoned, the target has Disadvantage on saving throws made with the chosen ability. The target must repeat the saving throw at the end of each of its turns until it gets three successes or failures. If the target succeeds on three of these saves, the spell ends on the target. If the target fails three of the saves, the spell lasts for 7 days on it. Whenever the Poisoned target receives an effect that would end the Poisoned condition, the target must succeed on a Constitution saving throw, or the Poisoned condition doesn’t end on it.</x:t>
        </x:is>
      </x:c>
      <x:c r="J66" s="2" t="inlineStr">
        <x:is>
          <x:t xml:space="preserve">SRD 5.2.1</x:t>
        </x:is>
      </x:c>
      <x:c r="K66" s="2" t="inlineStr">
        <x:is>
          <x:t xml:space="preserve">pp. 107-175</x:t>
        </x:is>
      </x:c>
    </x:row>
    <x:row r="67" ht="18" customHeight="1">
      <x:c r="A67" s="2" t="inlineStr">
        <x:is>
          <x:t xml:space="preserve">Contingency</x:t>
        </x:is>
      </x:c>
      <x:c r="B67" s="2" t="inlineStr">
        <x:is>
          <x:t xml:space="preserve">6</x:t>
        </x:is>
      </x:c>
      <x:c r="C67" s="2" t="inlineStr">
        <x:is>
          <x:t xml:space="preserve">Abjuration</x:t>
        </x:is>
      </x:c>
      <x:c r="D67" s="2" t="inlineStr">
        <x:is>
          <x:t xml:space="preserve">Wizard</x:t>
        </x:is>
      </x:c>
      <x:c r="E67" s="2" t="inlineStr">
        <x:is>
          <x:t xml:space="preserve">10 minutes</x:t>
        </x:is>
      </x:c>
      <x:c r="F67" s="2" t="inlineStr">
        <x:is>
          <x:t xml:space="preserve">Self</x:t>
        </x:is>
      </x:c>
      <x:c r="G67" s="2" t="inlineStr">
        <x:is>
          <x:t xml:space="preserve">V, S, M (a gem-encrusted statuette of</x:t>
        </x:is>
      </x:c>
      <x:c r="H67" s="2" t="inlineStr">
        <x:is>
          <x:t xml:space="preserve">10 days</x:t>
        </x:is>
      </x:c>
      <x:c r="I67" s="2" t="inlineStr">
        <x:is>
          <x:t xml:space="preserve">Choose a spell of level 5 or lower that you can cast, that has a casting time of an action, and that can target you. You cast that spell—called the contingent spell—as part of casting Contingency, expending spell slots for both, but the contingent spell doesn’t come into effect. Instead, it takes effect when a certain trigger occurs. You describe that trigger when you cast the two spells. For example, a Contingency cast with Water Breathing might stipulate that Water Breathing comes into effect when you are engulfed in water or a similar liquid. The contingent spell takes effect immediately after the trigger occurs for the first time, whether or not you want it to, and then Contingency ends. The contingent spell takes effect only on you, even if it can normally target others. You can use only one Contingency spell at a time. If you cast this spell again, the effect of another Contingency spell on you ends. Also, Contingency ends on you if its material component is ever not on your person.</x:t>
        </x:is>
      </x:c>
      <x:c r="J67" s="2" t="inlineStr">
        <x:is>
          <x:t xml:space="preserve">SRD 5.2.1</x:t>
        </x:is>
      </x:c>
      <x:c r="K67" s="2" t="inlineStr">
        <x:is>
          <x:t xml:space="preserve">pp. 107-175</x:t>
        </x:is>
      </x:c>
    </x:row>
    <x:row r="68" ht="18" customHeight="1">
      <x:c r="A68" s="2" t="inlineStr">
        <x:is>
          <x:t xml:space="preserve">Continual Flame</x:t>
        </x:is>
      </x:c>
      <x:c r="B68" s="2" t="inlineStr">
        <x:is>
          <x:t xml:space="preserve">2</x:t>
        </x:is>
      </x:c>
      <x:c r="C68" s="2" t="inlineStr">
        <x:is>
          <x:t xml:space="preserve">Evocation</x:t>
        </x:is>
      </x:c>
      <x:c r="D68" s="2" t="inlineStr">
        <x:is>
          <x:t xml:space="preserve">Cleric, Druid, Wizard</x:t>
        </x:is>
      </x:c>
      <x:c r="E68" s="2" t="inlineStr">
        <x:is>
          <x:t xml:space="preserve">Action</x:t>
        </x:is>
      </x:c>
      <x:c r="F68" s="2" t="inlineStr">
        <x:is>
          <x:t xml:space="preserve">Touch</x:t>
        </x:is>
      </x:c>
      <x:c r="G68" s="2" t="inlineStr">
        <x:is>
          <x:t xml:space="preserve">V, S, M (ruby dust worth 50+ GP, which</x:t>
        </x:is>
      </x:c>
      <x:c r="H68" s="2" t="inlineStr">
        <x:is>
          <x:t xml:space="preserve">Until dispelled</x:t>
        </x:is>
      </x:c>
      <x:c r="I68" s="2" t="inlineStr">
        <x:is>
          <x:t xml:space="preserve">A flame springs from an object that you touch. The effect casts Bright Light in a 20-foot radius and Dim Light for an additional 20 feet. It looks like a regular flame, but it creates no heat and consumes no fuel. The flame can be covered or hidden but not smothered or quenched.</x:t>
        </x:is>
      </x:c>
      <x:c r="J68" s="2" t="inlineStr">
        <x:is>
          <x:t xml:space="preserve">SRD 5.2.1</x:t>
        </x:is>
      </x:c>
      <x:c r="K68" s="2" t="inlineStr">
        <x:is>
          <x:t xml:space="preserve">pp. 107-175</x:t>
        </x:is>
      </x:c>
    </x:row>
    <x:row r="69" ht="18" customHeight="1">
      <x:c r="A69" s="2" t="inlineStr">
        <x:is>
          <x:t xml:space="preserve">Control Water</x:t>
        </x:is>
      </x:c>
      <x:c r="B69" s="2" t="inlineStr">
        <x:is>
          <x:t xml:space="preserve">4</x:t>
        </x:is>
      </x:c>
      <x:c r="C69" s="2" t="inlineStr">
        <x:is>
          <x:t xml:space="preserve">Transmutation</x:t>
        </x:is>
      </x:c>
      <x:c r="D69" s="2" t="inlineStr">
        <x:is>
          <x:t xml:space="preserve">Cleric, Druid, Wizard</x:t>
        </x:is>
      </x:c>
      <x:c r="E69" s="2" t="inlineStr">
        <x:is>
          <x:t xml:space="preserve">Action</x:t>
        </x:is>
      </x:c>
      <x:c r="F69" s="2" t="inlineStr">
        <x:is>
          <x:t xml:space="preserve">300 feet</x:t>
        </x:is>
      </x:c>
      <x:c r="G69" s="2" t="inlineStr">
        <x:is>
          <x:t xml:space="preserve">V, S, M (a mixture of water and dust)</x:t>
        </x:is>
      </x:c>
      <x:c r="H69" s="2" t="inlineStr">
        <x:is>
          <x:t xml:space="preserve">Concentration, up to 10 minutes</x:t>
        </x:is>
      </x:c>
      <x:c r="I69" s="2" t="inlineStr">
        <x:is>
          <x:t xml:space="preserve">Until the spell ends, you control any water inside an area you choose that is a Cube up to 100 feet on a side, using one of the following effects. As a Magic action on your later turns, you can repeat the same effect or choose a different one. Flood. You cause the water level of all standing water in the area to rise by as much as 20 feet. If you choose an area in a large body of water, you instead create a 20-foot tall wave that travels from one side of the area to the other and then crashes. Any Huge or smaller vehicles in the wave’s path are carried with it to the other side. Any Huge or smaller vehicles struck by the wave have a 25 percent chance of capsizing. The water level remains elevated until the spell ends or you choose a different effect. If this effect produced a wave, the wave repeats on the start of your next turn while the flood effect lasts. Part Water. You part water in the area and create a trench. The trench extends across the spell’s area, and the separated water forms a wall to either side. The trench remains until the spell ends or you choose a different effect. The water then slowly fills in the trench over the course of the next round until the normal water level is restored. Redirect Flow. You cause flowing water in the area to move in a direction you choose, even if the water has to flow over obstacles, up walls, or in other unlikely directions. The water in the area moves as you direct it, but once it moves beyond the spell’s area, it resumes its flow based on the terrain. The water continues to move in the direction you chose until the spell ends or you choose a different effect. Whirlpool. You cause a whirlpool to form in the center of the area, which must be at least 50 feet square and 25 feet deep. The whirlpool lasts until you choose a different effect or the spell ends. The whirlpool is 5 feet wide at the base, up to 50 feet wide at the top, and 25 feet tall. Any creature in the water and within 25 feet of the whirlpool is pulled 10 feet toward it. When a creature enters the whirlpool for the first time on a turn or ends its turn there, it makes a Strength saving throw. On a failed save, the creature takes 2d8 Bludgeoning damage. On a successful save, the creature takes half as much damage. A creature can swim away from the whirlpool only if it first takes an action to pull away and succeeds on a Strength (Athletics) check against your spell save DC.</x:t>
        </x:is>
      </x:c>
      <x:c r="J69" s="2" t="inlineStr">
        <x:is>
          <x:t xml:space="preserve">SRD 5.2.1</x:t>
        </x:is>
      </x:c>
      <x:c r="K69" s="2" t="inlineStr">
        <x:is>
          <x:t xml:space="preserve">pp. 107-175</x:t>
        </x:is>
      </x:c>
    </x:row>
    <x:row r="70" ht="18" customHeight="1">
      <x:c r="A70" s="2" t="inlineStr">
        <x:is>
          <x:t xml:space="preserve">Control Weather</x:t>
        </x:is>
      </x:c>
      <x:c r="B70" s="2" t="inlineStr">
        <x:is>
          <x:t xml:space="preserve">8</x:t>
        </x:is>
      </x:c>
      <x:c r="C70" s="2" t="inlineStr">
        <x:is>
          <x:t xml:space="preserve">Transmutation</x:t>
        </x:is>
      </x:c>
      <x:c r="D70" s="2" t="inlineStr">
        <x:is>
          <x:t xml:space="preserve">Cleric, Druid, Wizard</x:t>
        </x:is>
      </x:c>
      <x:c r="E70" s="2" t="inlineStr">
        <x:is>
          <x:t xml:space="preserve">10 minutes</x:t>
        </x:is>
      </x:c>
      <x:c r="F70" s="2" t="inlineStr">
        <x:is>
          <x:t xml:space="preserve">Self</x:t>
        </x:is>
      </x:c>
      <x:c r="G70" s="2" t="inlineStr">
        <x:is>
          <x:t xml:space="preserve">V, S, M (burning incense)</x:t>
        </x:is>
      </x:c>
      <x:c r="H70" s="2" t="inlineStr">
        <x:is>
          <x:t xml:space="preserve">Concentration, up to 8 hours</x:t>
        </x:is>
      </x:c>
      <x:c r="I70" s="2" t="inlineStr">
        <x:is>
          <x:t xml:space="preserve">You take control of the weather within 5 miles of you for the duration. You must be outdoors to cast this spell, and it ends early if you go indoors. When you cast the spell, you change the current weather conditions, which are determined by the GM. You can change precipitation, temperature, and wind. It takes 1d4 × 10 minutes for the new conditions to take effect. Once they do so, you can change the conditions again. When the spell ends, the weather gradually returns to normal. When you change the weather conditions, find a current condition on the following tables and change its stage by one, up or down. When changing the wind, you can change its direction. Precipitation Stage Condition 1 Clear 2 Light clouds 3 Overcast or ground fog 4 Rain, hail, or snow 5 Torrential rain, driving hail, or blizzard Temperature Stage Condition 1 Heat wave 2 Hot 3 Warm 4 Cool 5 Cold 6 Freezing Wind Stage Condition 1 Calm 2 Moderate wind 3 Strong wind 4 Gale 5 Storm</x:t>
        </x:is>
      </x:c>
      <x:c r="J70" s="2" t="inlineStr">
        <x:is>
          <x:t xml:space="preserve">SRD 5.2.1</x:t>
        </x:is>
      </x:c>
      <x:c r="K70" s="2" t="inlineStr">
        <x:is>
          <x:t xml:space="preserve">pp. 107-175</x:t>
        </x:is>
      </x:c>
    </x:row>
    <x:row r="71" ht="18" customHeight="1">
      <x:c r="A71" s="2" t="inlineStr">
        <x:is>
          <x:t xml:space="preserve">Counterspell</x:t>
        </x:is>
      </x:c>
      <x:c r="B71" s="2" t="inlineStr">
        <x:is>
          <x:t xml:space="preserve">3</x:t>
        </x:is>
      </x:c>
      <x:c r="C71" s="2" t="inlineStr">
        <x:is>
          <x:t xml:space="preserve">Abjuration</x:t>
        </x:is>
      </x:c>
      <x:c r="D71" s="2" t="inlineStr">
        <x:is>
          <x:t xml:space="preserve">Sorcerer, Warlock, Wizard</x:t>
        </x:is>
      </x:c>
      <x:c r="E71" s="2" t="inlineStr">
        <x:is>
          <x:t xml:space="preserve">Reaction, which you take when you see a</x:t>
        </x:is>
      </x:c>
      <x:c r="F71" s="2" t="inlineStr">
        <x:is>
          <x:t xml:space="preserve">60 feet</x:t>
        </x:is>
      </x:c>
      <x:c r="G71" s="2" t="inlineStr">
        <x:is>
          <x:t xml:space="preserve">S</x:t>
        </x:is>
      </x:c>
      <x:c r="H71" s="2" t="inlineStr">
        <x:is>
          <x:t xml:space="preserve">Instantaneous</x:t>
        </x:is>
      </x:c>
      <x:c r="I71" s="2" t="inlineStr">
        <x:is>
          <x:t xml:space="preserve">You attempt to interrupt a creature in the process of casting a spell. The creature makes a Constitution saving throw. On a failed save, the spell dissipates with no effect, and the action, Bonus Action, or Reaction used to cast it is wasted. If that spell was cast with a spell slot, the slot isn’t expended.</x:t>
        </x:is>
      </x:c>
      <x:c r="J71" s="2" t="inlineStr">
        <x:is>
          <x:t xml:space="preserve">SRD 5.2.1</x:t>
        </x:is>
      </x:c>
      <x:c r="K71" s="2" t="inlineStr">
        <x:is>
          <x:t xml:space="preserve">pp. 107-175</x:t>
        </x:is>
      </x:c>
    </x:row>
    <x:row r="72" ht="18" customHeight="1">
      <x:c r="A72" s="2" t="inlineStr">
        <x:is>
          <x:t xml:space="preserve">Create Food and Water</x:t>
        </x:is>
      </x:c>
      <x:c r="B72" s="2" t="inlineStr">
        <x:is>
          <x:t xml:space="preserve">3</x:t>
        </x:is>
      </x:c>
      <x:c r="C72" s="2" t="inlineStr">
        <x:is>
          <x:t xml:space="preserve">Conjuration</x:t>
        </x:is>
      </x:c>
      <x:c r="D72" s="2" t="inlineStr">
        <x:is>
          <x:t xml:space="preserve">Cleric, Paladin</x:t>
        </x:is>
      </x:c>
      <x:c r="E72" s="2" t="inlineStr">
        <x:is>
          <x:t xml:space="preserve">Action</x:t>
        </x:is>
      </x:c>
      <x:c r="F72" s="2" t="inlineStr">
        <x:is>
          <x:t xml:space="preserve">30 feet</x:t>
        </x:is>
      </x:c>
      <x:c r="G72" s="2" t="inlineStr">
        <x:is>
          <x:t xml:space="preserve">V, S</x:t>
        </x:is>
      </x:c>
      <x:c r="H72" s="2" t="inlineStr">
        <x:is>
          <x:t xml:space="preserve">Instantaneous</x:t>
        </x:is>
      </x:c>
      <x:c r="I72" s="2" t="inlineStr">
        <x:is>
          <x:t xml:space="preserve">You create 45 pounds of food and 30 gallons of fresh water on the ground or in containers within range—both useful in fending off the hazards of malnutrition and dehydration. The food is bland but nourishing and looks like a food of your choice, and the water is clean. The food spoils after 24 hours if uneaten.</x:t>
        </x:is>
      </x:c>
      <x:c r="J72" s="2" t="inlineStr">
        <x:is>
          <x:t xml:space="preserve">SRD 5.2.1</x:t>
        </x:is>
      </x:c>
      <x:c r="K72" s="2" t="inlineStr">
        <x:is>
          <x:t xml:space="preserve">pp. 107-175</x:t>
        </x:is>
      </x:c>
    </x:row>
    <x:row r="73" ht="18" customHeight="1">
      <x:c r="A73" s="2" t="inlineStr">
        <x:is>
          <x:t xml:space="preserve">Create or Destroy Water</x:t>
        </x:is>
      </x:c>
      <x:c r="B73" s="2" t="inlineStr">
        <x:is>
          <x:t xml:space="preserve">1</x:t>
        </x:is>
      </x:c>
      <x:c r="C73" s="2" t="inlineStr">
        <x:is>
          <x:t xml:space="preserve">Transmutation</x:t>
        </x:is>
      </x:c>
      <x:c r="D73" s="2" t="inlineStr">
        <x:is>
          <x:t xml:space="preserve">Cleric, Druid</x:t>
        </x:is>
      </x:c>
      <x:c r="E73" s="2" t="inlineStr">
        <x:is>
          <x:t xml:space="preserve">Action</x:t>
        </x:is>
      </x:c>
      <x:c r="F73" s="2" t="inlineStr">
        <x:is>
          <x:t xml:space="preserve">30 feet</x:t>
        </x:is>
      </x:c>
      <x:c r="G73" s="2" t="inlineStr">
        <x:is>
          <x:t xml:space="preserve">V, S, M (a mix of water and sand)</x:t>
        </x:is>
      </x:c>
      <x:c r="H73" s="2" t="inlineStr">
        <x:is>
          <x:t xml:space="preserve">Instantaneous</x:t>
        </x:is>
      </x:c>
      <x:c r="I73" s="2" t="inlineStr">
        <x:is>
          <x:t xml:space="preserve">You do one of the following: Create Water. You create up to 10 gallons of clean water within range in an open container. Alternatively, the water falls as rain in a 30-foot Cube within range, extinguishing exposed flames there. Destroy Water. You destroy up to 10 gallons of water in an open container within range. Alternatively, you destroy fog in a 30-foot Cube within range. Using a Higher-Level Spell Slot. You create or destroy 10 additional gallons of water, or the size of the Cube increases by 5 feet, for each spell slot level above 1.</x:t>
        </x:is>
      </x:c>
      <x:c r="J73" s="2" t="inlineStr">
        <x:is>
          <x:t xml:space="preserve">SRD 5.2.1</x:t>
        </x:is>
      </x:c>
      <x:c r="K73" s="2" t="inlineStr">
        <x:is>
          <x:t xml:space="preserve">pp. 107-175</x:t>
        </x:is>
      </x:c>
    </x:row>
    <x:row r="74" ht="18" customHeight="1">
      <x:c r="A74" s="2" t="inlineStr">
        <x:is>
          <x:t xml:space="preserve">Create Undead</x:t>
        </x:is>
      </x:c>
      <x:c r="B74" s="2" t="inlineStr">
        <x:is>
          <x:t xml:space="preserve">6</x:t>
        </x:is>
      </x:c>
      <x:c r="C74" s="2" t="inlineStr">
        <x:is>
          <x:t xml:space="preserve">Necromancy</x:t>
        </x:is>
      </x:c>
      <x:c r="D74" s="2" t="inlineStr">
        <x:is>
          <x:t xml:space="preserve">Cleric, Warlock, Wizard</x:t>
        </x:is>
      </x:c>
      <x:c r="E74" s="2" t="inlineStr">
        <x:is>
          <x:t xml:space="preserve">1 minute</x:t>
        </x:is>
      </x:c>
      <x:c r="F74" s="2" t="inlineStr">
        <x:is>
          <x:t xml:space="preserve">10 feet</x:t>
        </x:is>
      </x:c>
      <x:c r="G74" s="2" t="inlineStr">
        <x:is>
          <x:t xml:space="preserve">V, S, M (one 150+ GP black onyx stone</x:t>
        </x:is>
      </x:c>
      <x:c r="H74" s="2" t="inlineStr">
        <x:is>
          <x:t xml:space="preserve">Instantaneous</x:t>
        </x:is>
      </x:c>
      <x:c r="I74" s="2" t="inlineStr">
        <x:is>
          <x:t xml:space="preserve">You can cast this spell only at night. Choose up to three corpses of Medium or Small Humanoids within range. Each one becomes a Ghoul under your control (see “Monsters” for its stat block). As a Bonus Action on each of your turns, you can mentally command any creature you animated with this spell if the creature is within 120 feet of you (if you control multiple creatures, you can command any of them at the same time, issuing the same command to them). You decide what action the creature will take and where it will move on its next turn, or you can issue a general command, such as to guard a particular place. If you issue no commands, the creature takes the Dodge action and moves only to avoid harm. Once given an order, the creature continues to follow the order until its task is complete. The creature is under your control for 24 hours, after which it stops obeying any command you’ve given it. To maintain control of the creature for another 24 hours, you must cast this spell on the creature before the current 24-hour period ends. This use of the spell reasserts your control over up to three creatures you have animated with this spell rather than animating new ones. Using a Higher-Level Spell Slot. If you use a level 7 spell slot, you can animate or reassert control over four Ghouls. If you use a level 8 spell slot, you can animate or reassert control over five Ghouls or two Ghasts or Wights. If you use a level 9 spell slot, you can animate or reassert control over six Ghouls, three Ghasts or Wights, or two Mummies. See “Monsters” for these stat blocks.</x:t>
        </x:is>
      </x:c>
      <x:c r="J74" s="2" t="inlineStr">
        <x:is>
          <x:t xml:space="preserve">SRD 5.2.1</x:t>
        </x:is>
      </x:c>
      <x:c r="K74" s="2" t="inlineStr">
        <x:is>
          <x:t xml:space="preserve">pp. 107-175</x:t>
        </x:is>
      </x:c>
    </x:row>
    <x:row r="75" ht="18" customHeight="1">
      <x:c r="A75" s="2" t="inlineStr">
        <x:is>
          <x:t xml:space="preserve">Creation</x:t>
        </x:is>
      </x:c>
      <x:c r="B75" s="2" t="inlineStr">
        <x:is>
          <x:t xml:space="preserve">5</x:t>
        </x:is>
      </x:c>
      <x:c r="C75" s="2" t="inlineStr">
        <x:is>
          <x:t xml:space="preserve">Illusion</x:t>
        </x:is>
      </x:c>
      <x:c r="D75" s="2" t="inlineStr">
        <x:is>
          <x:t xml:space="preserve">Sorcerer, Wizard</x:t>
        </x:is>
      </x:c>
      <x:c r="E75" s="2" t="inlineStr">
        <x:is>
          <x:t xml:space="preserve">1 minute</x:t>
        </x:is>
      </x:c>
      <x:c r="F75" s="2" t="inlineStr">
        <x:is>
          <x:t xml:space="preserve">30 feet</x:t>
        </x:is>
      </x:c>
      <x:c r="G75" s="2" t="inlineStr">
        <x:is>
          <x:t xml:space="preserve">V, S, M (a paintbrush)</x:t>
        </x:is>
      </x:c>
      <x:c r="H75" s="2" t="inlineStr">
        <x:is>
          <x:t xml:space="preserve">Special</x:t>
        </x:is>
      </x:c>
      <x:c r="I75" s="2" t="inlineStr">
        <x:is>
          <x:t xml:space="preserve">You pull wisps of shadow material from the Shadowfell to create an object within range. It is either an object of vegetable matter (soft goods, rope, wood, and the like) or mineral matter (stone, crystal, metal, and the like). The object must be no larger than a 5-foot Cube, and the object must be of a form and material that you have seen. The spell’s duration depends on the object’s material, as shown in the Materials table. If the object is composed of multiple materials, use the shortest duration. Using any object created by this spell as another spell’s Material component causes the other spell to fail. Materials Material Duration Vegetable matter 24 hours Stone or crystal 12 hours Precious metals 1 hour Gems 10 minutes Adamantine or mithral 1 minute Using a Higher-Level Spell Slot. The Cube increases by 5 feet for each spell slot level above 5.</x:t>
        </x:is>
      </x:c>
      <x:c r="J75" s="2" t="inlineStr">
        <x:is>
          <x:t xml:space="preserve">SRD 5.2.1</x:t>
        </x:is>
      </x:c>
      <x:c r="K75" s="2" t="inlineStr">
        <x:is>
          <x:t xml:space="preserve">pp. 107-175</x:t>
        </x:is>
      </x:c>
    </x:row>
    <x:row r="76" ht="18" customHeight="1">
      <x:c r="A76" s="2" t="inlineStr">
        <x:is>
          <x:t xml:space="preserve">Cure Wounds</x:t>
        </x:is>
      </x:c>
      <x:c r="B76" s="2" t="inlineStr">
        <x:is>
          <x:t xml:space="preserve">1</x:t>
        </x:is>
      </x:c>
      <x:c r="C76" s="2" t="inlineStr">
        <x:is>
          <x:t xml:space="preserve">Abjuration</x:t>
        </x:is>
      </x:c>
      <x:c r="D76" s="2" t="inlineStr">
        <x:is>
          <x:t xml:space="preserve"/>
        </x:is>
      </x:c>
      <x:c r="E76" s="2" t="inlineStr">
        <x:is>
          <x:t xml:space="preserve">Action</x:t>
        </x:is>
      </x:c>
      <x:c r="F76" s="2" t="inlineStr">
        <x:is>
          <x:t xml:space="preserve">Touch</x:t>
        </x:is>
      </x:c>
      <x:c r="G76" s="2" t="inlineStr">
        <x:is>
          <x:t xml:space="preserve">V, S</x:t>
        </x:is>
      </x:c>
      <x:c r="H76" s="2" t="inlineStr">
        <x:is>
          <x:t xml:space="preserve">Instantaneous</x:t>
        </x:is>
      </x:c>
      <x:c r="I76" s="2" t="inlineStr">
        <x:is>
          <x:t xml:space="preserve">A creature you touch regains a number of Hit Points equal to 2d8 plus your spellcasting ability modifier. Using a Higher-Level Spell Slot. The healing increases by 2d8 for each spell slot level above 1.</x:t>
        </x:is>
      </x:c>
      <x:c r="J76" s="2" t="inlineStr">
        <x:is>
          <x:t xml:space="preserve">SRD 5.2.1</x:t>
        </x:is>
      </x:c>
      <x:c r="K76" s="2" t="inlineStr">
        <x:is>
          <x:t xml:space="preserve">pp. 107-175</x:t>
        </x:is>
      </x:c>
    </x:row>
    <x:row r="77" ht="18" customHeight="1">
      <x:c r="A77" s="2" t="inlineStr">
        <x:is>
          <x:t xml:space="preserve">Dancing Lights</x:t>
        </x:is>
      </x:c>
      <x:c r="B77" s="2" t="inlineStr">
        <x:is>
          <x:t xml:space="preserve">Cantrip</x:t>
        </x:is>
      </x:c>
      <x:c r="C77" s="2" t="inlineStr">
        <x:is>
          <x:t xml:space="preserve">Illusion</x:t>
        </x:is>
      </x:c>
      <x:c r="D77" s="2" t="inlineStr">
        <x:is>
          <x:t xml:space="preserve">Bard, Sorcerer, Wizard</x:t>
        </x:is>
      </x:c>
      <x:c r="E77" s="2" t="inlineStr">
        <x:is>
          <x:t xml:space="preserve">Action</x:t>
        </x:is>
      </x:c>
      <x:c r="F77" s="2" t="inlineStr">
        <x:is>
          <x:t xml:space="preserve">120 feet</x:t>
        </x:is>
      </x:c>
      <x:c r="G77" s="2" t="inlineStr">
        <x:is>
          <x:t xml:space="preserve">V, S, M (a bit of phosphorus)</x:t>
        </x:is>
      </x:c>
      <x:c r="H77" s="2" t="inlineStr">
        <x:is>
          <x:t xml:space="preserve">Concentration, up to 1 minute</x:t>
        </x:is>
      </x:c>
      <x:c r="I77" s="2" t="inlineStr">
        <x:is>
          <x:t xml:space="preserve">You create up to four torch-size lights within range, making them appear as torches, lanterns, or glowing orbs that hover for the duration. Alternatively, you combine the four lights into one glowing Medium form that is vaguely humanlike. Whichever form you choose, each light sheds Dim Light in a 10foot radius. As a Bonus Action, you can move the lights up to 60 feet to a space within range. A light must be within 20 feet of another light created by this spell, and a light vanishes if it exceeds the spell’s range.</x:t>
        </x:is>
      </x:c>
      <x:c r="J77" s="2" t="inlineStr">
        <x:is>
          <x:t xml:space="preserve">SRD 5.2.1</x:t>
        </x:is>
      </x:c>
      <x:c r="K77" s="2" t="inlineStr">
        <x:is>
          <x:t xml:space="preserve">pp. 107-175</x:t>
        </x:is>
      </x:c>
    </x:row>
    <x:row r="78" ht="18" customHeight="1">
      <x:c r="A78" s="2" t="inlineStr">
        <x:is>
          <x:t xml:space="preserve">Darkness</x:t>
        </x:is>
      </x:c>
      <x:c r="B78" s="2" t="inlineStr">
        <x:is>
          <x:t xml:space="preserve">2</x:t>
        </x:is>
      </x:c>
      <x:c r="C78" s="2" t="inlineStr">
        <x:is>
          <x:t xml:space="preserve">Evocation</x:t>
        </x:is>
      </x:c>
      <x:c r="D78" s="2" t="inlineStr">
        <x:is>
          <x:t xml:space="preserve">Sorcerer, Warlock, Wizard</x:t>
        </x:is>
      </x:c>
      <x:c r="E78" s="2" t="inlineStr">
        <x:is>
          <x:t xml:space="preserve">Action</x:t>
        </x:is>
      </x:c>
      <x:c r="F78" s="2" t="inlineStr">
        <x:is>
          <x:t xml:space="preserve">60 feet</x:t>
        </x:is>
      </x:c>
      <x:c r="G78" s="2" t="inlineStr">
        <x:is>
          <x:t xml:space="preserve">V, M (bat fur and a piece of coal)</x:t>
        </x:is>
      </x:c>
      <x:c r="H78" s="2" t="inlineStr">
        <x:is>
          <x:t xml:space="preserve">Concentration, up to 10 minutes</x:t>
        </x:is>
      </x:c>
      <x:c r="I78" s="2" t="inlineStr">
        <x:is>
          <x:t xml:space="preserve">For the duration, magical Darkness spreads from a point within range and fills a 15-foot-radius Sphere. Darkvision can’t see through it, and nonmagical light can’t illuminate it. Alternatively, you cast the spell on an object that isn’t being worn or carried, causing the Darkness to fill a 15-foot Emanation originating from that object. Covering that object with something opaque, such as a bowl or helm, blocks the Darkness. If any of this spell’s area overlaps with an area of Bright Light or Dim Light created by a spell of level 2 or lower, that other spell is dispelled.</x:t>
        </x:is>
      </x:c>
      <x:c r="J78" s="2" t="inlineStr">
        <x:is>
          <x:t xml:space="preserve">SRD 5.2.1</x:t>
        </x:is>
      </x:c>
      <x:c r="K78" s="2" t="inlineStr">
        <x:is>
          <x:t xml:space="preserve">pp. 107-175</x:t>
        </x:is>
      </x:c>
    </x:row>
    <x:row r="79" ht="18" customHeight="1">
      <x:c r="A79" s="2" t="inlineStr">
        <x:is>
          <x:t xml:space="preserve">Darkvision</x:t>
        </x:is>
      </x:c>
      <x:c r="B79" s="2" t="inlineStr">
        <x:is>
          <x:t xml:space="preserve">2</x:t>
        </x:is>
      </x:c>
      <x:c r="C79" s="2" t="inlineStr">
        <x:is>
          <x:t xml:space="preserve">Transmutation</x:t>
        </x:is>
      </x:c>
      <x:c r="D79" s="2" t="inlineStr">
        <x:is>
          <x:t xml:space="preserve"/>
        </x:is>
      </x:c>
      <x:c r="E79" s="2" t="inlineStr">
        <x:is>
          <x:t xml:space="preserve">Action</x:t>
        </x:is>
      </x:c>
      <x:c r="F79" s="2" t="inlineStr">
        <x:is>
          <x:t xml:space="preserve">Touch</x:t>
        </x:is>
      </x:c>
      <x:c r="G79" s="2" t="inlineStr">
        <x:is>
          <x:t xml:space="preserve">V, S, M (a dried carrot)</x:t>
        </x:is>
      </x:c>
      <x:c r="H79" s="2" t="inlineStr">
        <x:is>
          <x:t xml:space="preserve">8 hours</x:t>
        </x:is>
      </x:c>
      <x:c r="I79" s="2" t="inlineStr">
        <x:is>
          <x:t xml:space="preserve">For the duration, a willing creature you touch has Darkvision with a range of 150 feet.</x:t>
        </x:is>
      </x:c>
      <x:c r="J79" s="2" t="inlineStr">
        <x:is>
          <x:t xml:space="preserve">SRD 5.2.1</x:t>
        </x:is>
      </x:c>
      <x:c r="K79" s="2" t="inlineStr">
        <x:is>
          <x:t xml:space="preserve">pp. 107-175</x:t>
        </x:is>
      </x:c>
    </x:row>
    <x:row r="80" ht="18" customHeight="1">
      <x:c r="A80" s="2" t="inlineStr">
        <x:is>
          <x:t xml:space="preserve">Daylight</x:t>
        </x:is>
      </x:c>
      <x:c r="B80" s="2" t="inlineStr">
        <x:is>
          <x:t xml:space="preserve">3</x:t>
        </x:is>
      </x:c>
      <x:c r="C80" s="2" t="inlineStr">
        <x:is>
          <x:t xml:space="preserve">Evocation</x:t>
        </x:is>
      </x:c>
      <x:c r="D80" s="2" t="inlineStr">
        <x:is>
          <x:t xml:space="preserve"/>
        </x:is>
      </x:c>
      <x:c r="E80" s="2" t="inlineStr">
        <x:is>
          <x:t xml:space="preserve">Action</x:t>
        </x:is>
      </x:c>
      <x:c r="F80" s="2" t="inlineStr">
        <x:is>
          <x:t xml:space="preserve">60 feet</x:t>
        </x:is>
      </x:c>
      <x:c r="G80" s="2" t="inlineStr">
        <x:is>
          <x:t xml:space="preserve">V, S</x:t>
        </x:is>
      </x:c>
      <x:c r="H80" s="2" t="inlineStr">
        <x:is>
          <x:t xml:space="preserve">1 hour</x:t>
        </x:is>
      </x:c>
      <x:c r="I80" s="2" t="inlineStr">
        <x:is>
          <x:t xml:space="preserve">For the duration, sunlight spreads from a point within range and fills a 60-foot-radius Sphere. The sunlight’s area is Bright Light and sheds Dim Light for an additional 60 feet. Alternatively, you cast the spell on an object that isn’t being worn or carried, causing the sunlight to fill a 60-foot Emanation originating from that object. Covering that object with something opaque, such as a bowl or helm, blocks the sunlight. If any of this spell’s area overlaps with an area of Darkness created by a spell of level 3 or lower, that other spell is dispelled.</x:t>
        </x:is>
      </x:c>
      <x:c r="J80" s="2" t="inlineStr">
        <x:is>
          <x:t xml:space="preserve">SRD 5.2.1</x:t>
        </x:is>
      </x:c>
      <x:c r="K80" s="2" t="inlineStr">
        <x:is>
          <x:t xml:space="preserve">pp. 107-175</x:t>
        </x:is>
      </x:c>
    </x:row>
    <x:row r="81" ht="18" customHeight="1">
      <x:c r="A81" s="2" t="inlineStr">
        <x:is>
          <x:t xml:space="preserve">Death Ward</x:t>
        </x:is>
      </x:c>
      <x:c r="B81" s="2" t="inlineStr">
        <x:is>
          <x:t xml:space="preserve">4</x:t>
        </x:is>
      </x:c>
      <x:c r="C81" s="2" t="inlineStr">
        <x:is>
          <x:t xml:space="preserve">Abjuration</x:t>
        </x:is>
      </x:c>
      <x:c r="D81" s="2" t="inlineStr">
        <x:is>
          <x:t xml:space="preserve">Cleric, Paladin</x:t>
        </x:is>
      </x:c>
      <x:c r="E81" s="2" t="inlineStr">
        <x:is>
          <x:t xml:space="preserve">Action</x:t>
        </x:is>
      </x:c>
      <x:c r="F81" s="2" t="inlineStr">
        <x:is>
          <x:t xml:space="preserve">Touch</x:t>
        </x:is>
      </x:c>
      <x:c r="G81" s="2" t="inlineStr">
        <x:is>
          <x:t xml:space="preserve">V, S</x:t>
        </x:is>
      </x:c>
      <x:c r="H81" s="2" t="inlineStr">
        <x:is>
          <x:t xml:space="preserve">8 hours</x:t>
        </x:is>
      </x:c>
      <x:c r="I81" s="2" t="inlineStr">
        <x:is>
          <x:t xml:space="preserve">You touch a creature and grant it a measure of protection from death. The first time the target would drop to 0 Hit Points before the spell ends, the target instead drops to 1 Hit Point, and the spell ends. If the spell is still in effect when the target is subjected to an effect that would kill it instantly without dealing damage, that effect is negated against the target, and the spell ends.</x:t>
        </x:is>
      </x:c>
      <x:c r="J81" s="2" t="inlineStr">
        <x:is>
          <x:t xml:space="preserve">SRD 5.2.1</x:t>
        </x:is>
      </x:c>
      <x:c r="K81" s="2" t="inlineStr">
        <x:is>
          <x:t xml:space="preserve">pp. 107-175</x:t>
        </x:is>
      </x:c>
    </x:row>
    <x:row r="82" ht="18" customHeight="1">
      <x:c r="A82" s="2" t="inlineStr">
        <x:is>
          <x:t xml:space="preserve">Delayed Blast Fireball</x:t>
        </x:is>
      </x:c>
      <x:c r="B82" s="2" t="inlineStr">
        <x:is>
          <x:t xml:space="preserve">7</x:t>
        </x:is>
      </x:c>
      <x:c r="C82" s="2" t="inlineStr">
        <x:is>
          <x:t xml:space="preserve">Evocation</x:t>
        </x:is>
      </x:c>
      <x:c r="D82" s="2" t="inlineStr">
        <x:is>
          <x:t xml:space="preserve">Sorcerer, Wizard</x:t>
        </x:is>
      </x:c>
      <x:c r="E82" s="2" t="inlineStr">
        <x:is>
          <x:t xml:space="preserve">Action</x:t>
        </x:is>
      </x:c>
      <x:c r="F82" s="2" t="inlineStr">
        <x:is>
          <x:t xml:space="preserve">150 feet</x:t>
        </x:is>
      </x:c>
      <x:c r="G82" s="2" t="inlineStr">
        <x:is>
          <x:t xml:space="preserve">V, S, M (a ball of bat guano and sulfur)</x:t>
        </x:is>
      </x:c>
      <x:c r="H82" s="2" t="inlineStr">
        <x:is>
          <x:t xml:space="preserve">Concentration, up to 1 minute</x:t>
        </x:is>
      </x:c>
      <x:c r="I82" s="2" t="inlineStr">
        <x:is>
          <x:t xml:space="preserve">A beam of yellow light flashes from you, then condenses at a chosen point within range as a glowing bead for the duration. When the spell ends, the bead explodes, and each creature in a 20-foot-radius Sphere centered on that point makes a Dexterity saving throw. A creature takes Fire damage equal to the total accumulated damage on a failed save or half as much damage on a successful one. The spell’s base damage is 12d6, and the damage increases by 1d6 whenever your turn ends and the spell hasn’t ended. If a creature touches the glowing bead before the spell ends, that creature makes a Dexterity saving throw. On a failed save, the spell ends, causing the bead to explode. On a successful save, the creature can throw the bead up to 40 feet. If the thrown bead enters a creature’s space or collides with a solid object, the spell ends, and the bead explodes. When the bead explodes, flammable objects in the explosion that aren’t being worn or carried start burning. Using a Higher-Level Spell Slot. The base damage increases by 1d6 for each spell slot level above 7.</x:t>
        </x:is>
      </x:c>
      <x:c r="J82" s="2" t="inlineStr">
        <x:is>
          <x:t xml:space="preserve">SRD 5.2.1</x:t>
        </x:is>
      </x:c>
      <x:c r="K82" s="2" t="inlineStr">
        <x:is>
          <x:t xml:space="preserve">pp. 107-175</x:t>
        </x:is>
      </x:c>
    </x:row>
    <x:row r="83" ht="18" customHeight="1">
      <x:c r="A83" s="2" t="inlineStr">
        <x:is>
          <x:t xml:space="preserve">Demiplane</x:t>
        </x:is>
      </x:c>
      <x:c r="B83" s="2" t="inlineStr">
        <x:is>
          <x:t xml:space="preserve">8</x:t>
        </x:is>
      </x:c>
      <x:c r="C83" s="2" t="inlineStr">
        <x:is>
          <x:t xml:space="preserve">Conjuration</x:t>
        </x:is>
      </x:c>
      <x:c r="D83" s="2" t="inlineStr">
        <x:is>
          <x:t xml:space="preserve">Sorcerer, Warlock, Wizard</x:t>
        </x:is>
      </x:c>
      <x:c r="E83" s="2" t="inlineStr">
        <x:is>
          <x:t xml:space="preserve">Action</x:t>
        </x:is>
      </x:c>
      <x:c r="F83" s="2" t="inlineStr">
        <x:is>
          <x:t xml:space="preserve">60 feet</x:t>
        </x:is>
      </x:c>
      <x:c r="G83" s="2" t="inlineStr">
        <x:is>
          <x:t xml:space="preserve">S</x:t>
        </x:is>
      </x:c>
      <x:c r="H83" s="2" t="inlineStr">
        <x:is>
          <x:t xml:space="preserve">1 hour</x:t>
        </x:is>
      </x:c>
      <x:c r="I83" s="2" t="inlineStr">
        <x:is>
          <x:t xml:space="preserve">You create a shadowy Medium door on a flat solid surface that you can see within range. This door can be opened and closed, and it leads to a demiplane that is an empty room 30 feet in each dimension, made of wood or stone (your choice). When the spell ends, the door vanishes, and any objects inside the demiplane remain there. Any creatures inside also remain unless they opt to be shunted through the door as it vanishes, landing with the Prone condition in the unoccupied spaces closest to the door’s former space. Each time you cast this spell, you can create a new demiplane or connect the shadowy door to a demiplane you created with a previous casting of this spell. Additionally, if you know the nature and contents of a demiplane created by a casting of this spell by another creature, you can connect the shadowy door to that demiplane instead.</x:t>
        </x:is>
      </x:c>
      <x:c r="J83" s="2" t="inlineStr">
        <x:is>
          <x:t xml:space="preserve">SRD 5.2.1</x:t>
        </x:is>
      </x:c>
      <x:c r="K83" s="2" t="inlineStr">
        <x:is>
          <x:t xml:space="preserve">pp. 107-175</x:t>
        </x:is>
      </x:c>
    </x:row>
    <x:row r="84" ht="18" customHeight="1">
      <x:c r="A84" s="2" t="inlineStr">
        <x:is>
          <x:t xml:space="preserve">Detect Evil and Good</x:t>
        </x:is>
      </x:c>
      <x:c r="B84" s="2" t="inlineStr">
        <x:is>
          <x:t xml:space="preserve">1</x:t>
        </x:is>
      </x:c>
      <x:c r="C84" s="2" t="inlineStr">
        <x:is>
          <x:t xml:space="preserve">Divination</x:t>
        </x:is>
      </x:c>
      <x:c r="D84" s="2" t="inlineStr">
        <x:is>
          <x:t xml:space="preserve">Cleric, Paladin</x:t>
        </x:is>
      </x:c>
      <x:c r="E84" s="2" t="inlineStr">
        <x:is>
          <x:t xml:space="preserve">Action</x:t>
        </x:is>
      </x:c>
      <x:c r="F84" s="2" t="inlineStr">
        <x:is>
          <x:t xml:space="preserve">Self</x:t>
        </x:is>
      </x:c>
      <x:c r="G84" s="2" t="inlineStr">
        <x:is>
          <x:t xml:space="preserve">V, S</x:t>
        </x:is>
      </x:c>
      <x:c r="H84" s="2" t="inlineStr">
        <x:is>
          <x:t xml:space="preserve">Concentration, up to 10 minutes</x:t>
        </x:is>
      </x:c>
      <x:c r="I84" s="2" t="inlineStr">
        <x:is>
          <x:t xml:space="preserve">For the duration, you sense the location of any Aberration, Celestial, Elemental, Fey, Fiend, or Undead within 30 feet of yourself. You also sense whether the Hallow spell is active there and, if so, where. The spell is blocked by 1 foot of stone, dirt, or wood; 1 inch of metal; or a thin sheet of lead.</x:t>
        </x:is>
      </x:c>
      <x:c r="J84" s="2" t="inlineStr">
        <x:is>
          <x:t xml:space="preserve">SRD 5.2.1</x:t>
        </x:is>
      </x:c>
      <x:c r="K84" s="2" t="inlineStr">
        <x:is>
          <x:t xml:space="preserve">pp. 107-175</x:t>
        </x:is>
      </x:c>
    </x:row>
    <x:row r="85" ht="18" customHeight="1">
      <x:c r="A85" s="2" t="inlineStr">
        <x:is>
          <x:t xml:space="preserve">Detect Magic</x:t>
        </x:is>
      </x:c>
      <x:c r="B85" s="2" t="inlineStr">
        <x:is>
          <x:t xml:space="preserve">1</x:t>
        </x:is>
      </x:c>
      <x:c r="C85" s="2" t="inlineStr">
        <x:is>
          <x:t xml:space="preserve">Divination</x:t>
        </x:is>
      </x:c>
      <x:c r="D85" s="2" t="inlineStr">
        <x:is>
          <x:t xml:space="preserve"/>
        </x:is>
      </x:c>
      <x:c r="E85" s="2" t="inlineStr">
        <x:is>
          <x:t xml:space="preserve">Action or Ritual</x:t>
        </x:is>
      </x:c>
      <x:c r="F85" s="2" t="inlineStr">
        <x:is>
          <x:t xml:space="preserve">Self</x:t>
        </x:is>
      </x:c>
      <x:c r="G85" s="2" t="inlineStr">
        <x:is>
          <x:t xml:space="preserve">V, S</x:t>
        </x:is>
      </x:c>
      <x:c r="H85" s="2" t="inlineStr">
        <x:is>
          <x:t xml:space="preserve">Concentration, up to 10 minutes</x:t>
        </x:is>
      </x:c>
      <x:c r="I85" s="2" t="inlineStr">
        <x:is>
          <x:t xml:space="preserve">For the duration, you sense the presence of magical effects within 30 feet of yourself. If you sense such effects, you can take the Magic action to see a faint aura around any visible creature or object in the area that bears the magic, and if an effect was created by a spell, you learn the spell’s school of magic. The spell is blocked by 1 foot of stone, dirt, or wood; 1 inch of metal; or a thin sheet of lead.</x:t>
        </x:is>
      </x:c>
      <x:c r="J85" s="2" t="inlineStr">
        <x:is>
          <x:t xml:space="preserve">SRD 5.2.1</x:t>
        </x:is>
      </x:c>
      <x:c r="K85" s="2" t="inlineStr">
        <x:is>
          <x:t xml:space="preserve">pp. 107-175</x:t>
        </x:is>
      </x:c>
    </x:row>
    <x:row r="86" ht="18" customHeight="1">
      <x:c r="A86" s="2" t="inlineStr">
        <x:is>
          <x:t xml:space="preserve">Detect Poison and Disease</x:t>
        </x:is>
      </x:c>
      <x:c r="B86" s="2" t="inlineStr">
        <x:is>
          <x:t xml:space="preserve">1</x:t>
        </x:is>
      </x:c>
      <x:c r="C86" s="2" t="inlineStr">
        <x:is>
          <x:t xml:space="preserve">Divination</x:t>
        </x:is>
      </x:c>
      <x:c r="D86" s="2" t="inlineStr">
        <x:is>
          <x:t xml:space="preserve">Cleric, Druid, Paladin, Ranger</x:t>
        </x:is>
      </x:c>
      <x:c r="E86" s="2" t="inlineStr">
        <x:is>
          <x:t xml:space="preserve">Action or Ritual</x:t>
        </x:is>
      </x:c>
      <x:c r="F86" s="2" t="inlineStr">
        <x:is>
          <x:t xml:space="preserve">Self</x:t>
        </x:is>
      </x:c>
      <x:c r="G86" s="2" t="inlineStr">
        <x:is>
          <x:t xml:space="preserve">V, S, M (a yew leaf)</x:t>
        </x:is>
      </x:c>
      <x:c r="H86" s="2" t="inlineStr">
        <x:is>
          <x:t xml:space="preserve">Concentration, up to 10 minutes</x:t>
        </x:is>
      </x:c>
      <x:c r="I86" s="2" t="inlineStr">
        <x:is>
          <x:t xml:space="preserve">For the duration, you sense the location of poisons, poisonous or venomous creatures, and magical contagions within 30 feet of yourself. You sense the kind of poison, creature, or contagion in each case. The spell is blocked by 1 foot of stone, dirt, or wood; 1 inch of metal; or a thin sheet of lead.</x:t>
        </x:is>
      </x:c>
      <x:c r="J86" s="2" t="inlineStr">
        <x:is>
          <x:t xml:space="preserve">SRD 5.2.1</x:t>
        </x:is>
      </x:c>
      <x:c r="K86" s="2" t="inlineStr">
        <x:is>
          <x:t xml:space="preserve">pp. 107-175</x:t>
        </x:is>
      </x:c>
    </x:row>
    <x:row r="87" ht="18" customHeight="1">
      <x:c r="A87" s="2" t="inlineStr">
        <x:is>
          <x:t xml:space="preserve">Detect Thoughts</x:t>
        </x:is>
      </x:c>
      <x:c r="B87" s="2" t="inlineStr">
        <x:is>
          <x:t xml:space="preserve">2</x:t>
        </x:is>
      </x:c>
      <x:c r="C87" s="2" t="inlineStr">
        <x:is>
          <x:t xml:space="preserve">Divination</x:t>
        </x:is>
      </x:c>
      <x:c r="D87" s="2" t="inlineStr">
        <x:is>
          <x:t xml:space="preserve">Bard, Sorcerer, Wizard</x:t>
        </x:is>
      </x:c>
      <x:c r="E87" s="2" t="inlineStr">
        <x:is>
          <x:t xml:space="preserve">Action</x:t>
        </x:is>
      </x:c>
      <x:c r="F87" s="2" t="inlineStr">
        <x:is>
          <x:t xml:space="preserve">Self</x:t>
        </x:is>
      </x:c>
      <x:c r="G87" s="2" t="inlineStr">
        <x:is>
          <x:t xml:space="preserve">V, S, M (1 Copper Piece)</x:t>
        </x:is>
      </x:c>
      <x:c r="H87" s="2" t="inlineStr">
        <x:is>
          <x:t xml:space="preserve">Concentration, up to 1 minute</x:t>
        </x:is>
      </x:c>
      <x:c r="I87" s="2" t="inlineStr">
        <x:is>
          <x:t xml:space="preserve">You activate one of the effects below. Until the spell ends, you can activate either effect as a Magic action on your later turns. Sense Thoughts. You sense the presence of thoughts within 30 feet of yourself that belong to creatures that know languages or are telepathic. You don’t read the thoughts, but you know that a thinking creature is present. The spell is blocked by 1 foot of stone, dirt, or wood; 1 inch of metal; or a thin sheet of lead. Read Thoughts. Target one creature you can see within 30 feet of yourself or one creature within 30 feet of yourself that you detected with the Sense Thoughts option. You learn what is most on the target’s mind right now. If the target doesn’t know any languages and isn’t telepathic, you learn nothing. As a Magic action on your next turn, you can try to probe deeper into the target’s mind. If you probe deeper, the target makes a Wisdom saving throw. On a failed save, you discern the target’s reasoning, emotions, and something that looms large in its mind (such as a worry, love, or hate). On a successful save, the spell ends. Either way, the target knows that you are probing into its mind, and until you shift your attention away from the target’s mind, the target can take an action on its turn to make an Intelligence (Arcana) check against your spell save DC, ending the spell on a success.</x:t>
        </x:is>
      </x:c>
      <x:c r="J87" s="2" t="inlineStr">
        <x:is>
          <x:t xml:space="preserve">SRD 5.2.1</x:t>
        </x:is>
      </x:c>
      <x:c r="K87" s="2" t="inlineStr">
        <x:is>
          <x:t xml:space="preserve">pp. 107-175</x:t>
        </x:is>
      </x:c>
    </x:row>
    <x:row r="88" ht="18" customHeight="1">
      <x:c r="A88" s="2" t="inlineStr">
        <x:is>
          <x:t xml:space="preserve">Dimension Door</x:t>
        </x:is>
      </x:c>
      <x:c r="B88" s="2" t="inlineStr">
        <x:is>
          <x:t xml:space="preserve">4</x:t>
        </x:is>
      </x:c>
      <x:c r="C88" s="2" t="inlineStr">
        <x:is>
          <x:t xml:space="preserve">Conjuration</x:t>
        </x:is>
      </x:c>
      <x:c r="D88" s="2" t="inlineStr">
        <x:is>
          <x:t xml:space="preserve">Bard, Sorcerer, Warlock, Wizard</x:t>
        </x:is>
      </x:c>
      <x:c r="E88" s="2" t="inlineStr">
        <x:is>
          <x:t xml:space="preserve">Action</x:t>
        </x:is>
      </x:c>
      <x:c r="F88" s="2" t="inlineStr">
        <x:is>
          <x:t xml:space="preserve">500 feet</x:t>
        </x:is>
      </x:c>
      <x:c r="G88" s="2" t="inlineStr">
        <x:is>
          <x:t xml:space="preserve">V</x:t>
        </x:is>
      </x:c>
      <x:c r="H88" s="2" t="inlineStr">
        <x:is>
          <x:t xml:space="preserve">Instantaneous</x:t>
        </x:is>
      </x:c>
      <x:c r="I88" s="2" t="inlineStr">
        <x:is>
          <x:t xml:space="preserve">You teleport to a location within range. You arrive at exactly the spot desired. It can be a place you can see, one you can visualize, or one you can describe by stating distance and direction, such as “200 feet straight downward” or “300 feet upward to the northwest at a 45-degree angle.” You can also teleport one willing creature. The creature must be within 5 feet of you when you teleport, and it teleports to a space within 5 feet of your destination space. If you, the other creature, or both would arrive in a space occupied by a creature or completely filled by one or more objects, you and any creature traveling with you each take 4d6 Force damage, and the teleportation fails.</x:t>
        </x:is>
      </x:c>
      <x:c r="J88" s="2" t="inlineStr">
        <x:is>
          <x:t xml:space="preserve">SRD 5.2.1</x:t>
        </x:is>
      </x:c>
      <x:c r="K88" s="2" t="inlineStr">
        <x:is>
          <x:t xml:space="preserve">pp. 107-175</x:t>
        </x:is>
      </x:c>
    </x:row>
    <x:row r="89" ht="18" customHeight="1">
      <x:c r="A89" s="2" t="inlineStr">
        <x:is>
          <x:t xml:space="preserve">Disguise Self</x:t>
        </x:is>
      </x:c>
      <x:c r="B89" s="2" t="inlineStr">
        <x:is>
          <x:t xml:space="preserve">1</x:t>
        </x:is>
      </x:c>
      <x:c r="C89" s="2" t="inlineStr">
        <x:is>
          <x:t xml:space="preserve">Illusion</x:t>
        </x:is>
      </x:c>
      <x:c r="D89" s="2" t="inlineStr">
        <x:is>
          <x:t xml:space="preserve">Bard, Sorcerer, Wizard</x:t>
        </x:is>
      </x:c>
      <x:c r="E89" s="2" t="inlineStr">
        <x:is>
          <x:t xml:space="preserve">Action</x:t>
        </x:is>
      </x:c>
      <x:c r="F89" s="2" t="inlineStr">
        <x:is>
          <x:t xml:space="preserve">Self</x:t>
        </x:is>
      </x:c>
      <x:c r="G89" s="2" t="inlineStr">
        <x:is>
          <x:t xml:space="preserve">V, S</x:t>
        </x:is>
      </x:c>
      <x:c r="H89" s="2" t="inlineStr">
        <x:is>
          <x:t xml:space="preserve">1 hour</x:t>
        </x:is>
      </x:c>
      <x:c r="I89" s="2" t="inlineStr">
        <x:is>
          <x:t xml:space="preserve">You make yourself—including your clothing, armor, weapons, and other belongings on your person— look different until the spell ends. You can seem 1 foot shorter or taller and can appear heavier or lighter. You must adopt a form that has the same basic arrangement of limbs as you have. Otherwise, the extent of the illusion is up to you. The changes wrought by this spell fail to hold up to physical inspection. For example, if you use this spell to add a hat to your outfit, objects pass through the hat, and anyone who touches it would feel nothing. To discern that you are disguised, a creature must take the Study action to inspect your appearance and succeed on an Intelligence (Investigation) check against your spell save DC.</x:t>
        </x:is>
      </x:c>
      <x:c r="J89" s="2" t="inlineStr">
        <x:is>
          <x:t xml:space="preserve">SRD 5.2.1</x:t>
        </x:is>
      </x:c>
      <x:c r="K89" s="2" t="inlineStr">
        <x:is>
          <x:t xml:space="preserve">pp. 107-175</x:t>
        </x:is>
      </x:c>
    </x:row>
    <x:row r="90" ht="18" customHeight="1">
      <x:c r="A90" s="2" t="inlineStr">
        <x:is>
          <x:t xml:space="preserve">Disintegrate</x:t>
        </x:is>
      </x:c>
      <x:c r="B90" s="2" t="inlineStr">
        <x:is>
          <x:t xml:space="preserve">6</x:t>
        </x:is>
      </x:c>
      <x:c r="C90" s="2" t="inlineStr">
        <x:is>
          <x:t xml:space="preserve">Transmutation</x:t>
        </x:is>
      </x:c>
      <x:c r="D90" s="2" t="inlineStr">
        <x:is>
          <x:t xml:space="preserve">Sorcerer, Wizard</x:t>
        </x:is>
      </x:c>
      <x:c r="E90" s="2" t="inlineStr">
        <x:is>
          <x:t xml:space="preserve">Action</x:t>
        </x:is>
      </x:c>
      <x:c r="F90" s="2" t="inlineStr">
        <x:is>
          <x:t xml:space="preserve">60 feet</x:t>
        </x:is>
      </x:c>
      <x:c r="G90" s="2" t="inlineStr">
        <x:is>
          <x:t xml:space="preserve">V, S, M (a lodestone and dust)</x:t>
        </x:is>
      </x:c>
      <x:c r="H90" s="2" t="inlineStr">
        <x:is>
          <x:t xml:space="preserve">Instantaneous</x:t>
        </x:is>
      </x:c>
      <x:c r="I90" s="2" t="inlineStr">
        <x:is>
          <x:t xml:space="preserve">You launch a green ray at a target you can see within range. The target can be a creature, a nonmagical object, or a creation of magical force, such as the wall created by Wall of Force. A creature targeted by this spell makes a Dexterity saving throw. On a failed save, the target takes 10d6 + 40 Force damage. If this damage reduces it to 0 Hit Points, it and everything nonmagical it is wearing and carrying are disintegrated into gray dust. The target can be revived only by a True Resurrection or a Wish spell. This spell automatically disintegrates a Large or smaller nonmagical object or a creation of magical force. If such a target is Huge or larger, this spell disintegrates a 10-foot-Cube portion of it. Using a Higher-Level Spell Slot. The damage increases by 3d6 for each spell slot level above 6.</x:t>
        </x:is>
      </x:c>
      <x:c r="J90" s="2" t="inlineStr">
        <x:is>
          <x:t xml:space="preserve">SRD 5.2.1</x:t>
        </x:is>
      </x:c>
      <x:c r="K90" s="2" t="inlineStr">
        <x:is>
          <x:t xml:space="preserve">pp. 107-175</x:t>
        </x:is>
      </x:c>
    </x:row>
    <x:row r="91" ht="18" customHeight="1">
      <x:c r="A91" s="2" t="inlineStr">
        <x:is>
          <x:t xml:space="preserve">Dispel Evil and Good</x:t>
        </x:is>
      </x:c>
      <x:c r="B91" s="2" t="inlineStr">
        <x:is>
          <x:t xml:space="preserve">5</x:t>
        </x:is>
      </x:c>
      <x:c r="C91" s="2" t="inlineStr">
        <x:is>
          <x:t xml:space="preserve">Abjuration</x:t>
        </x:is>
      </x:c>
      <x:c r="D91" s="2" t="inlineStr">
        <x:is>
          <x:t xml:space="preserve">Cleric, Paladin</x:t>
        </x:is>
      </x:c>
      <x:c r="E91" s="2" t="inlineStr">
        <x:is>
          <x:t xml:space="preserve">Action</x:t>
        </x:is>
      </x:c>
      <x:c r="F91" s="2" t="inlineStr">
        <x:is>
          <x:t xml:space="preserve">Self</x:t>
        </x:is>
      </x:c>
      <x:c r="G91" s="2" t="inlineStr">
        <x:is>
          <x:t xml:space="preserve">V, S, M (powdered silver and iron)</x:t>
        </x:is>
      </x:c>
      <x:c r="H91" s="2" t="inlineStr">
        <x:is>
          <x:t xml:space="preserve">Concentration, up to 1 minute</x:t>
        </x:is>
      </x:c>
      <x:c r="I91" s="2" t="inlineStr">
        <x:is>
          <x:t xml:space="preserve">For the duration, Celestials, Elementals, Fey, Fiends, and Undead have Disadvantage on attack rolls against you. You can end the spell early by using either of the following special functions. Break Enchantment. As a Magic action, you touch a creature that is possessed by or has the Charmed or Frightened condition from one or more creatures of the types above. The target is no longer possessed, Charmed, or Frightened by such creatures. Dismissal. As a Magic action, you target one creature you can see within 5 feet of you that has one of the creature types above. The target must succeed on a Charisma saving throw or be sent back to its home plane if it isn’t there already. If they aren’t on their home plane, Undead are sent to the Shadowfell, and Fey are sent to the Feywild.</x:t>
        </x:is>
      </x:c>
      <x:c r="J91" s="2" t="inlineStr">
        <x:is>
          <x:t xml:space="preserve">SRD 5.2.1</x:t>
        </x:is>
      </x:c>
      <x:c r="K91" s="2" t="inlineStr">
        <x:is>
          <x:t xml:space="preserve">pp. 107-175</x:t>
        </x:is>
      </x:c>
    </x:row>
    <x:row r="92" ht="18" customHeight="1">
      <x:c r="A92" s="2" t="inlineStr">
        <x:is>
          <x:t xml:space="preserve">Dispel Magic</x:t>
        </x:is>
      </x:c>
      <x:c r="B92" s="2" t="inlineStr">
        <x:is>
          <x:t xml:space="preserve">3</x:t>
        </x:is>
      </x:c>
      <x:c r="C92" s="2" t="inlineStr">
        <x:is>
          <x:t xml:space="preserve">Abjuration</x:t>
        </x:is>
      </x:c>
      <x:c r="D92" s="2" t="inlineStr">
        <x:is>
          <x:t xml:space="preserve"/>
        </x:is>
      </x:c>
      <x:c r="E92" s="2" t="inlineStr">
        <x:is>
          <x:t xml:space="preserve">Action</x:t>
        </x:is>
      </x:c>
      <x:c r="F92" s="2" t="inlineStr">
        <x:is>
          <x:t xml:space="preserve">120 feet</x:t>
        </x:is>
      </x:c>
      <x:c r="G92" s="2" t="inlineStr">
        <x:is>
          <x:t xml:space="preserve">V, S</x:t>
        </x:is>
      </x:c>
      <x:c r="H92" s="2" t="inlineStr">
        <x:is>
          <x:t xml:space="preserve">Instantaneous</x:t>
        </x:is>
      </x:c>
      <x:c r="I92" s="2" t="inlineStr">
        <x:is>
          <x:t xml:space="preserve">Choose one creature, object, or magical effect within range. Any ongoing spell of level 3 or lower on the target ends. For each ongoing spell of level 4 or higher on the target, make an ability check using your spellcasting ability (DC 10 plus that spell’s level). On a successful check, the spell ends. Using a Higher-Level Spell Slot. You automatically end a spell on the target if the spell’s level is equal to or less than the level of the spell slot you use.</x:t>
        </x:is>
      </x:c>
      <x:c r="J92" s="2" t="inlineStr">
        <x:is>
          <x:t xml:space="preserve">SRD 5.2.1</x:t>
        </x:is>
      </x:c>
      <x:c r="K92" s="2" t="inlineStr">
        <x:is>
          <x:t xml:space="preserve">pp. 107-175</x:t>
        </x:is>
      </x:c>
    </x:row>
    <x:row r="93" ht="18" customHeight="1">
      <x:c r="A93" s="2" t="inlineStr">
        <x:is>
          <x:t xml:space="preserve">Dissonant Whispers</x:t>
        </x:is>
      </x:c>
      <x:c r="B93" s="2" t="inlineStr">
        <x:is>
          <x:t xml:space="preserve">1</x:t>
        </x:is>
      </x:c>
      <x:c r="C93" s="2" t="inlineStr">
        <x:is>
          <x:t xml:space="preserve">Enchantment</x:t>
        </x:is>
      </x:c>
      <x:c r="D93" s="2" t="inlineStr">
        <x:is>
          <x:t xml:space="preserve">Bard</x:t>
        </x:is>
      </x:c>
      <x:c r="E93" s="2" t="inlineStr">
        <x:is>
          <x:t xml:space="preserve">Action</x:t>
        </x:is>
      </x:c>
      <x:c r="F93" s="2" t="inlineStr">
        <x:is>
          <x:t xml:space="preserve">60 feet</x:t>
        </x:is>
      </x:c>
      <x:c r="G93" s="2" t="inlineStr">
        <x:is>
          <x:t xml:space="preserve">V</x:t>
        </x:is>
      </x:c>
      <x:c r="H93" s="2" t="inlineStr">
        <x:is>
          <x:t xml:space="preserve">Instantaneous</x:t>
        </x:is>
      </x:c>
      <x:c r="I93" s="2" t="inlineStr">
        <x:is>
          <x:t xml:space="preserve">One creature of your choice that you can see within range hears a discordant melody in its mind. The target makes a Wisdom saving throw. On a failed save, it takes 3d6 Psychic damage and must immediately use its Reaction, if available, to move as far away from you as it can, using the safest route. On a successful save, the target takes half as much damage only. Using a Higher-Level Spell Slot. The damage increases by 1d6 for each spell slot level above 1.</x:t>
        </x:is>
      </x:c>
      <x:c r="J93" s="2" t="inlineStr">
        <x:is>
          <x:t xml:space="preserve">SRD 5.2.1</x:t>
        </x:is>
      </x:c>
      <x:c r="K93" s="2" t="inlineStr">
        <x:is>
          <x:t xml:space="preserve">pp. 107-175</x:t>
        </x:is>
      </x:c>
    </x:row>
    <x:row r="94" ht="18" customHeight="1">
      <x:c r="A94" s="2" t="inlineStr">
        <x:is>
          <x:t xml:space="preserve">Divination</x:t>
        </x:is>
      </x:c>
      <x:c r="B94" s="2" t="inlineStr">
        <x:is>
          <x:t xml:space="preserve">4</x:t>
        </x:is>
      </x:c>
      <x:c r="C94" s="2" t="inlineStr">
        <x:is>
          <x:t xml:space="preserve">Divination</x:t>
        </x:is>
      </x:c>
      <x:c r="D94" s="2" t="inlineStr">
        <x:is>
          <x:t xml:space="preserve">Cleric, Druid, Wizard</x:t>
        </x:is>
      </x:c>
      <x:c r="E94" s="2" t="inlineStr">
        <x:is>
          <x:t xml:space="preserve">Action or Ritual</x:t>
        </x:is>
      </x:c>
      <x:c r="F94" s="2" t="inlineStr">
        <x:is>
          <x:t xml:space="preserve">Self</x:t>
        </x:is>
      </x:c>
      <x:c r="G94" s="2" t="inlineStr">
        <x:is>
          <x:t xml:space="preserve">V, S, M (incense worth 25+ GP, which the</x:t>
        </x:is>
      </x:c>
      <x:c r="H94" s="2" t="inlineStr">
        <x:is>
          <x:t xml:space="preserve">Instantaneous</x:t>
        </x:is>
      </x:c>
      <x:c r="I94" s="2" t="inlineStr">
        <x:is>
          <x:t xml:space="preserve">This spell puts you in contact with a god or a god’s servants. You ask one question about a specific goal, event, or activity to occur within 7 days. The GM offers a truthful reply, which might be a short phrase or cryptic rhyme. The spell doesn’t account for circumstances that might change the answer, such as the casting of other spells. If you cast the spell more than once before finishing a Long Rest, there is a cumulative 25 percent chance for each casting after the first that you get no answer.</x:t>
        </x:is>
      </x:c>
      <x:c r="J94" s="2" t="inlineStr">
        <x:is>
          <x:t xml:space="preserve">SRD 5.2.1</x:t>
        </x:is>
      </x:c>
      <x:c r="K94" s="2" t="inlineStr">
        <x:is>
          <x:t xml:space="preserve">pp. 107-175</x:t>
        </x:is>
      </x:c>
    </x:row>
    <x:row r="95" ht="18" customHeight="1">
      <x:c r="A95" s="2" t="inlineStr">
        <x:is>
          <x:t xml:space="preserve">Divine Favor</x:t>
        </x:is>
      </x:c>
      <x:c r="B95" s="2" t="inlineStr">
        <x:is>
          <x:t xml:space="preserve">1</x:t>
        </x:is>
      </x:c>
      <x:c r="C95" s="2" t="inlineStr">
        <x:is>
          <x:t xml:space="preserve">Transmutation</x:t>
        </x:is>
      </x:c>
      <x:c r="D95" s="2" t="inlineStr">
        <x:is>
          <x:t xml:space="preserve">Paladin</x:t>
        </x:is>
      </x:c>
      <x:c r="E95" s="2" t="inlineStr">
        <x:is>
          <x:t xml:space="preserve">Bonus Action</x:t>
        </x:is>
      </x:c>
      <x:c r="F95" s="2" t="inlineStr">
        <x:is>
          <x:t xml:space="preserve">Self</x:t>
        </x:is>
      </x:c>
      <x:c r="G95" s="2" t="inlineStr">
        <x:is>
          <x:t xml:space="preserve">V, S</x:t>
        </x:is>
      </x:c>
      <x:c r="H95" s="2" t="inlineStr">
        <x:is>
          <x:t xml:space="preserve">1 minute</x:t>
        </x:is>
      </x:c>
      <x:c r="I95" s="2" t="inlineStr">
        <x:is>
          <x:t xml:space="preserve">Until the spell ends, your attacks with weapons deal an extra 1d4 Radiant damage on a hit.</x:t>
        </x:is>
      </x:c>
      <x:c r="J95" s="2" t="inlineStr">
        <x:is>
          <x:t xml:space="preserve">SRD 5.2.1</x:t>
        </x:is>
      </x:c>
      <x:c r="K95" s="2" t="inlineStr">
        <x:is>
          <x:t xml:space="preserve">pp. 107-175</x:t>
        </x:is>
      </x:c>
    </x:row>
    <x:row r="96" ht="18" customHeight="1">
      <x:c r="A96" s="2" t="inlineStr">
        <x:is>
          <x:t xml:space="preserve">Divine Smite</x:t>
        </x:is>
      </x:c>
      <x:c r="B96" s="2" t="inlineStr">
        <x:is>
          <x:t xml:space="preserve">1</x:t>
        </x:is>
      </x:c>
      <x:c r="C96" s="2" t="inlineStr">
        <x:is>
          <x:t xml:space="preserve">Evocation</x:t>
        </x:is>
      </x:c>
      <x:c r="D96" s="2" t="inlineStr">
        <x:is>
          <x:t xml:space="preserve">Paladin</x:t>
        </x:is>
      </x:c>
      <x:c r="E96" s="2" t="inlineStr">
        <x:is>
          <x:t xml:space="preserve">Bonus Action, which you take immedi-</x:t>
        </x:is>
      </x:c>
      <x:c r="F96" s="2" t="inlineStr">
        <x:is>
          <x:t xml:space="preserve">Self</x:t>
        </x:is>
      </x:c>
      <x:c r="G96" s="2" t="inlineStr">
        <x:is>
          <x:t xml:space="preserve"/>
        </x:is>
      </x:c>
      <x:c r="H96" s="2" t="inlineStr">
        <x:is>
          <x:t xml:space="preserve">Instantaneous</x:t>
        </x:is>
      </x:c>
      <x:c r="I96" s="2" t="inlineStr">
        <x:is>
          <x:t xml:space="preserve">The target takes an extra 2d8 Radiant damage from the attack. The damage increases by 1d8 if the target is a Fiend or an Undead. Using a Higher-Level Spell Slot. The damage increases by 1d8 for each spell slot level above 1.</x:t>
        </x:is>
      </x:c>
      <x:c r="J96" s="2" t="inlineStr">
        <x:is>
          <x:t xml:space="preserve">SRD 5.2.1</x:t>
        </x:is>
      </x:c>
      <x:c r="K96" s="2" t="inlineStr">
        <x:is>
          <x:t xml:space="preserve">pp. 107-175</x:t>
        </x:is>
      </x:c>
    </x:row>
    <x:row r="97" ht="18" customHeight="1">
      <x:c r="A97" s="2" t="inlineStr">
        <x:is>
          <x:t xml:space="preserve">Divine Word</x:t>
        </x:is>
      </x:c>
      <x:c r="B97" s="2" t="inlineStr">
        <x:is>
          <x:t xml:space="preserve">7</x:t>
        </x:is>
      </x:c>
      <x:c r="C97" s="2" t="inlineStr">
        <x:is>
          <x:t xml:space="preserve">Evocation</x:t>
        </x:is>
      </x:c>
      <x:c r="D97" s="2" t="inlineStr">
        <x:is>
          <x:t xml:space="preserve">Cleric</x:t>
        </x:is>
      </x:c>
      <x:c r="E97" s="2" t="inlineStr">
        <x:is>
          <x:t xml:space="preserve">Bonus Action</x:t>
        </x:is>
      </x:c>
      <x:c r="F97" s="2" t="inlineStr">
        <x:is>
          <x:t xml:space="preserve">30 feet</x:t>
        </x:is>
      </x:c>
      <x:c r="G97" s="2" t="inlineStr">
        <x:is>
          <x:t xml:space="preserve">V</x:t>
        </x:is>
      </x:c>
      <x:c r="H97" s="2" t="inlineStr">
        <x:is>
          <x:t xml:space="preserve">Instantaneous</x:t>
        </x:is>
      </x:c>
      <x:c r="I97" s="2" t="inlineStr">
        <x:is>
          <x:t xml:space="preserve">You utter a word imbued with power from the Upper Planes. Each creature of your choice in range makes a Charisma saving throw. On a failed save, a target that has 50 Hit Points or fewer suffers an effect based on its current Hit Points, as shown in the Divine Word Effects table. Regardless of its Hit Points, a Celestial, an Elemental, a Fey, or a Fiend target that fails its save is forced back to its plane of origin (if it isn’t there already) and can’t return to the current plane for 24 hours by any means short of a Wish spell. Divine Word Effects Hit Points Effect 0–20 The target dies. 21–30 The target has the Blinded, Deafened, and Stunned conditions for 1 hour. 31–40 The target has the Blinded and Deafened conditions for 10 minutes. 41–50 The target has the Deafened condition for 1 minute.</x:t>
        </x:is>
      </x:c>
      <x:c r="J97" s="2" t="inlineStr">
        <x:is>
          <x:t xml:space="preserve">SRD 5.2.1</x:t>
        </x:is>
      </x:c>
      <x:c r="K97" s="2" t="inlineStr">
        <x:is>
          <x:t xml:space="preserve">pp. 107-175</x:t>
        </x:is>
      </x:c>
    </x:row>
    <x:row r="98" ht="18" customHeight="1">
      <x:c r="A98" s="2" t="inlineStr">
        <x:is>
          <x:t xml:space="preserve">Dominate Beast</x:t>
        </x:is>
      </x:c>
      <x:c r="B98" s="2" t="inlineStr">
        <x:is>
          <x:t xml:space="preserve">4</x:t>
        </x:is>
      </x:c>
      <x:c r="C98" s="2" t="inlineStr">
        <x:is>
          <x:t xml:space="preserve">Enchantment</x:t>
        </x:is>
      </x:c>
      <x:c r="D98" s="2" t="inlineStr">
        <x:is>
          <x:t xml:space="preserve">Druid, Ranger, Sorcerer</x:t>
        </x:is>
      </x:c>
      <x:c r="E98" s="2" t="inlineStr">
        <x:is>
          <x:t xml:space="preserve">Action</x:t>
        </x:is>
      </x:c>
      <x:c r="F98" s="2" t="inlineStr">
        <x:is>
          <x:t xml:space="preserve">60 feet</x:t>
        </x:is>
      </x:c>
      <x:c r="G98" s="2" t="inlineStr">
        <x:is>
          <x:t xml:space="preserve">V, S</x:t>
        </x:is>
      </x:c>
      <x:c r="H98" s="2" t="inlineStr">
        <x:is>
          <x:t xml:space="preserve">Concentration, up to 1 minute</x:t>
        </x:is>
      </x:c>
      <x:c r="I98" s="2" t="inlineStr">
        <x:is>
          <x:t xml:space="preserve">One Beast you can see within range must succeed on a Wisdom saving throw or have the Charmed condition for the duration. The target has Advantage on the save if you or your allies are fighting it. Whenever the target takes damage, it repeats the save, ending the spell on itself on a success. You have a telepathic link with the Charmed target while the two of you are on the same plane of existence. On your turn, you can use this link to issue commands to the target (no action required), such as “Attack that creature,” “Move over there,” or “Fetch that object.” The target does its best to obey on its turn. If it completes an order and doesn’t receive further direction from you, it acts and moves as it likes, focusing on protecting itself. You can command the target to take a Reaction but must take your own Reaction to do so. Using a Higher-Level Spell Slot. Your Concentration can last longer with a spell slot of level 5 (up to 10 minutes), 6 (up to 1 hour), or 7+ (up to 8 hours).</x:t>
        </x:is>
      </x:c>
      <x:c r="J98" s="2" t="inlineStr">
        <x:is>
          <x:t xml:space="preserve">SRD 5.2.1</x:t>
        </x:is>
      </x:c>
      <x:c r="K98" s="2" t="inlineStr">
        <x:is>
          <x:t xml:space="preserve">pp. 107-175</x:t>
        </x:is>
      </x:c>
    </x:row>
    <x:row r="99" ht="18" customHeight="1">
      <x:c r="A99" s="2" t="inlineStr">
        <x:is>
          <x:t xml:space="preserve">Dominate Monster</x:t>
        </x:is>
      </x:c>
      <x:c r="B99" s="2" t="inlineStr">
        <x:is>
          <x:t xml:space="preserve">8</x:t>
        </x:is>
      </x:c>
      <x:c r="C99" s="2" t="inlineStr">
        <x:is>
          <x:t xml:space="preserve">Enchantment</x:t>
        </x:is>
      </x:c>
      <x:c r="D99" s="2" t="inlineStr">
        <x:is>
          <x:t xml:space="preserve"/>
        </x:is>
      </x:c>
      <x:c r="E99" s="2" t="inlineStr">
        <x:is>
          <x:t xml:space="preserve">Action</x:t>
        </x:is>
      </x:c>
      <x:c r="F99" s="2" t="inlineStr">
        <x:is>
          <x:t xml:space="preserve">60 feet</x:t>
        </x:is>
      </x:c>
      <x:c r="G99" s="2" t="inlineStr">
        <x:is>
          <x:t xml:space="preserve">V, S</x:t>
        </x:is>
      </x:c>
      <x:c r="H99" s="2" t="inlineStr">
        <x:is>
          <x:t xml:space="preserve">Concentration, up to 1 hour</x:t>
        </x:is>
      </x:c>
      <x:c r="I99" s="2" t="inlineStr">
        <x:is>
          <x:t xml:space="preserve">One creature you can see within range must succeed on a Wisdom saving throw or have the Charmed condition for the duration. The target has Advantage on the save if you or your allies are fighting it. Whenever the target takes damage, it repeats the save, ending the spell on itself on a success. You have a telepathic link with the Charmed target while the two of you are on the same plane of existence. On your turn, you can use this link to issue commands to the target (no action required), such as “Attack that creature,” “Move over there,” or “Fetch that object.” The target does its best to obey on its turn. If it completes an order and doesn’t receive further direction from you, it acts and moves as it likes, focusing on protecting itself. You can command the target to take a Reaction but must take your own Reaction to do so. Using a Higher-Level Spell Slot. Your Concentration can last longer with a level 9 spell slot (up to 8 hours).</x:t>
        </x:is>
      </x:c>
      <x:c r="J99" s="2" t="inlineStr">
        <x:is>
          <x:t xml:space="preserve">SRD 5.2.1</x:t>
        </x:is>
      </x:c>
      <x:c r="K99" s="2" t="inlineStr">
        <x:is>
          <x:t xml:space="preserve">pp. 107-175</x:t>
        </x:is>
      </x:c>
    </x:row>
    <x:row r="100" ht="18" customHeight="1">
      <x:c r="A100" s="2" t="inlineStr">
        <x:is>
          <x:t xml:space="preserve">Dominate Person</x:t>
        </x:is>
      </x:c>
      <x:c r="B100" s="2" t="inlineStr">
        <x:is>
          <x:t xml:space="preserve">5</x:t>
        </x:is>
      </x:c>
      <x:c r="C100" s="2" t="inlineStr">
        <x:is>
          <x:t xml:space="preserve">Enchantment</x:t>
        </x:is>
      </x:c>
      <x:c r="D100" s="2" t="inlineStr">
        <x:is>
          <x:t xml:space="preserve">Bard, Sorcerer, Wizard</x:t>
        </x:is>
      </x:c>
      <x:c r="E100" s="2" t="inlineStr">
        <x:is>
          <x:t xml:space="preserve">Action</x:t>
        </x:is>
      </x:c>
      <x:c r="F100" s="2" t="inlineStr">
        <x:is>
          <x:t xml:space="preserve">60 feet</x:t>
        </x:is>
      </x:c>
      <x:c r="G100" s="2" t="inlineStr">
        <x:is>
          <x:t xml:space="preserve">V, S</x:t>
        </x:is>
      </x:c>
      <x:c r="H100" s="2" t="inlineStr">
        <x:is>
          <x:t xml:space="preserve">Concentration, up to 1 minute</x:t>
        </x:is>
      </x:c>
      <x:c r="I100" s="2" t="inlineStr">
        <x:is>
          <x:t xml:space="preserve">One Humanoid you can see within range must succeed on a Wisdom saving throw or have the Charmed condition for the duration. The target has Advantage on the save if you or your allies are fighting it. Whenever the target takes damage, it repeats the save, ending the spell on itself on a success. You have a telepathic link with the Charmed target while the two of you are on the same plane of existence. On your turn, you can use this link to issue commands to the target (no action required), such as “Attack that creature,” “Move over there,” or “Fetch that object.” The target does its best to obey on its turn. If it completes an order and doesn’t receive further direction from you, it acts and moves as it likes, focusing on protecting itself. You can command the target to take a Reaction but must take your own Reaction to do so. Using a Higher-Level Spell Slot. Your Concentration can last longer with a spell slot of level 6 (up to 10 minutes), 7 (up to 1 hour), or 8+ (up to 8 hours).</x:t>
        </x:is>
      </x:c>
      <x:c r="J100" s="2" t="inlineStr">
        <x:is>
          <x:t xml:space="preserve">SRD 5.2.1</x:t>
        </x:is>
      </x:c>
      <x:c r="K100" s="2" t="inlineStr">
        <x:is>
          <x:t xml:space="preserve">pp. 107-175</x:t>
        </x:is>
      </x:c>
    </x:row>
    <x:row r="101" ht="18" customHeight="1">
      <x:c r="A101" s="2" t="inlineStr">
        <x:is>
          <x:t xml:space="preserve">Dragon’s Breath</x:t>
        </x:is>
      </x:c>
      <x:c r="B101" s="2" t="inlineStr">
        <x:is>
          <x:t xml:space="preserve">2</x:t>
        </x:is>
      </x:c>
      <x:c r="C101" s="2" t="inlineStr">
        <x:is>
          <x:t xml:space="preserve">Transmutation</x:t>
        </x:is>
      </x:c>
      <x:c r="D101" s="2" t="inlineStr">
        <x:is>
          <x:t xml:space="preserve">Sorcerer, Wizard</x:t>
        </x:is>
      </x:c>
      <x:c r="E101" s="2" t="inlineStr">
        <x:is>
          <x:t xml:space="preserve">Bonus Action</x:t>
        </x:is>
      </x:c>
      <x:c r="F101" s="2" t="inlineStr">
        <x:is>
          <x:t xml:space="preserve">Touch</x:t>
        </x:is>
      </x:c>
      <x:c r="G101" s="2" t="inlineStr">
        <x:is>
          <x:t xml:space="preserve">V, S, M (a hot pepper)</x:t>
        </x:is>
      </x:c>
      <x:c r="H101" s="2" t="inlineStr">
        <x:is>
          <x:t xml:space="preserve">Concentration, up to 1 minute</x:t>
        </x:is>
      </x:c>
      <x:c r="I101" s="2" t="inlineStr">
        <x:is>
          <x:t xml:space="preserve">You touch one willing creature, and choose Acid, Cold, Fire, Lightning, or Poison. Until the spell ends, the target can take a Magic action to exhale a 15-foot Cone. Each creature in that area makes a Dexterity saving throw, taking 3d6 damage of the chosen type on a failed save or half as much damage on a successful one. Using a Higher-Level Spell Slot. The damage increases by 1d6 for each spell slot level above 2.</x:t>
        </x:is>
      </x:c>
      <x:c r="J101" s="2" t="inlineStr">
        <x:is>
          <x:t xml:space="preserve">SRD 5.2.1</x:t>
        </x:is>
      </x:c>
      <x:c r="K101" s="2" t="inlineStr">
        <x:is>
          <x:t xml:space="preserve">pp. 107-175</x:t>
        </x:is>
      </x:c>
    </x:row>
    <x:row r="102" ht="18" customHeight="1">
      <x:c r="A102" s="2" t="inlineStr">
        <x:is>
          <x:t xml:space="preserve">Dream</x:t>
        </x:is>
      </x:c>
      <x:c r="B102" s="2" t="inlineStr">
        <x:is>
          <x:t xml:space="preserve">5</x:t>
        </x:is>
      </x:c>
      <x:c r="C102" s="2" t="inlineStr">
        <x:is>
          <x:t xml:space="preserve">Illusion</x:t>
        </x:is>
      </x:c>
      <x:c r="D102" s="2" t="inlineStr">
        <x:is>
          <x:t xml:space="preserve">Bard, Warlock, Wizard</x:t>
        </x:is>
      </x:c>
      <x:c r="E102" s="2" t="inlineStr">
        <x:is>
          <x:t xml:space="preserve">1 minute</x:t>
        </x:is>
      </x:c>
      <x:c r="F102" s="2" t="inlineStr">
        <x:is>
          <x:t xml:space="preserve">Special</x:t>
        </x:is>
      </x:c>
      <x:c r="G102" s="2" t="inlineStr">
        <x:is>
          <x:t xml:space="preserve">V, S, M (a handful of sand)</x:t>
        </x:is>
      </x:c>
      <x:c r="H102" s="2" t="inlineStr">
        <x:is>
          <x:t xml:space="preserve">8 hours</x:t>
        </x:is>
      </x:c>
      <x:c r="I102" s="2" t="inlineStr">
        <x:is>
          <x:t xml:space="preserve">You target a creature you know on the same plane of existence. You or a willing creature you touch enters a trance state to act as a dream messenger. While in the trance, the messenger is Incapacitated and has a Speed of 0. If the target is asleep, the messenger appears in the target’s dreams and can converse with the target as long as it remains asleep, through the spell’s duration. The messenger can also shape the dream’s environment, creating landscapes, objects, and other images. The messenger can emerge from the trance at any time, ending the spell. The target recalls the dream perfectly upon waking. If the target is awake when you cast the spell, the messenger knows it and can either end the trance (and the spell) or wait for the target to sleep, at which point the messenger enters its dreams. You can make the messenger terrifying to the target. If you do so, the messenger can deliver a message of no more than ten words, and then the target makes a Wisdom saving throw. On a failed save, the target gains no benefit from its rest, and it takes 3d6 Psychic damage when it wakes up.</x:t>
        </x:is>
      </x:c>
      <x:c r="J102" s="2" t="inlineStr">
        <x:is>
          <x:t xml:space="preserve">SRD 5.2.1</x:t>
        </x:is>
      </x:c>
      <x:c r="K102" s="2" t="inlineStr">
        <x:is>
          <x:t xml:space="preserve">pp. 107-175</x:t>
        </x:is>
      </x:c>
    </x:row>
    <x:row r="103" ht="18" customHeight="1">
      <x:c r="A103" s="2" t="inlineStr">
        <x:is>
          <x:t xml:space="preserve">Druidcraft</x:t>
        </x:is>
      </x:c>
      <x:c r="B103" s="2" t="inlineStr">
        <x:is>
          <x:t xml:space="preserve">Cantrip</x:t>
        </x:is>
      </x:c>
      <x:c r="C103" s="2" t="inlineStr">
        <x:is>
          <x:t xml:space="preserve">Transmutation</x:t>
        </x:is>
      </x:c>
      <x:c r="D103" s="2" t="inlineStr">
        <x:is>
          <x:t xml:space="preserve">Druid</x:t>
        </x:is>
      </x:c>
      <x:c r="E103" s="2" t="inlineStr">
        <x:is>
          <x:t xml:space="preserve">Action</x:t>
        </x:is>
      </x:c>
      <x:c r="F103" s="2" t="inlineStr">
        <x:is>
          <x:t xml:space="preserve">30 feet</x:t>
        </x:is>
      </x:c>
      <x:c r="G103" s="2" t="inlineStr">
        <x:is>
          <x:t xml:space="preserve">V, S</x:t>
        </x:is>
      </x:c>
      <x:c r="H103" s="2" t="inlineStr">
        <x:is>
          <x:t xml:space="preserve">Instantaneous</x:t>
        </x:is>
      </x:c>
      <x:c r="I103" s="2" t="inlineStr">
        <x:is>
          <x:t xml:space="preserve">Whispering to the spirits of nature, you create one of the following effects within range. Weather Sensor. You create a Tiny, harmless sensory effect that predicts what the weather will be at your location for the next 24 hours. The effect might manifest as a golden orb for clear skies, a cloud for rain, falling snowflakes for snow, and so on. This effect persists for 1 round. Bloom. You instantly make a flower blossom, a seed pod open, or a leaf bud bloom. Sensory Effect. You create a harmless sensory effect, such as falling leaves, spectral dancing fairies, a gentle breeze, the sound of an animal, or the faint odor of skunk. The effect must fit in a 5-foot Cube. Fire Play. You light or snuff out a candle, a torch, or a campfire.</x:t>
        </x:is>
      </x:c>
      <x:c r="J103" s="2" t="inlineStr">
        <x:is>
          <x:t xml:space="preserve">SRD 5.2.1</x:t>
        </x:is>
      </x:c>
      <x:c r="K103" s="2" t="inlineStr">
        <x:is>
          <x:t xml:space="preserve">pp. 107-175</x:t>
        </x:is>
      </x:c>
    </x:row>
    <x:row r="104" ht="18" customHeight="1">
      <x:c r="A104" s="2" t="inlineStr">
        <x:is>
          <x:t xml:space="preserve">Earthquake</x:t>
        </x:is>
      </x:c>
      <x:c r="B104" s="2" t="inlineStr">
        <x:is>
          <x:t xml:space="preserve">8</x:t>
        </x:is>
      </x:c>
      <x:c r="C104" s="2" t="inlineStr">
        <x:is>
          <x:t xml:space="preserve">Transmutation</x:t>
        </x:is>
      </x:c>
      <x:c r="D104" s="2" t="inlineStr">
        <x:is>
          <x:t xml:space="preserve">Cleric, Druid, Sorcerer</x:t>
        </x:is>
      </x:c>
      <x:c r="E104" s="2" t="inlineStr">
        <x:is>
          <x:t xml:space="preserve">Action</x:t>
        </x:is>
      </x:c>
      <x:c r="F104" s="2" t="inlineStr">
        <x:is>
          <x:t xml:space="preserve">500 feet</x:t>
        </x:is>
      </x:c>
      <x:c r="G104" s="2" t="inlineStr">
        <x:is>
          <x:t xml:space="preserve">V, S, M (a fractured rock)</x:t>
        </x:is>
      </x:c>
      <x:c r="H104" s="2" t="inlineStr">
        <x:is>
          <x:t xml:space="preserve">Concentration, up to 1 minute</x:t>
        </x:is>
      </x:c>
      <x:c r="I104" s="2" t="inlineStr">
        <x:is>
          <x:t xml:space="preserve">Choose a point on the ground that you can see within range. For the duration, an intense tremor rips through the ground in a 100-foot-radius circle centered on that point. The ground there is Difficult Terrain. When you cast this spell and at the end of each of your turns for the duration, each creature on the ground in the area makes a Dexterity saving throw. On a failed save, a creature has the Prone condition, and its Concentration is broken. You can also cause the effects below. Fissures. A total of 1d6 fissures open in the spell’s area at the end of the turn you cast it. You choose the fissures’ locations, which can’t be under structures. Each fissure is 1d10 × 10 feet deep and 10 feet wide, and it extends from one edge of the spell’s area to another edge. A creature in the same space as a fissure must succeed on a Dexterity saving throw or fall in. A creature that successfully saves moves with the fissure’s edge as it opens. Structures. The tremor deals 50 Bludgeoning damage to any structure in contact with the ground in the area when you cast the spell and at the end of each of your turns until the spell ends. If a structure drops to 0 Hit Points, it collapses. A creature within a distance from a collapsing structure equal to half the structure’s height makes a Dexterity saving throw. On a failed save, the creature takes 12d6 Bludgeoning damage, has the Prone condition, and is buried in the rubble, requiring a DC 20 Strength (Athletics) check as an action to escape. On a successful save, the creature takes half as much damage only.</x:t>
        </x:is>
      </x:c>
      <x:c r="J104" s="2" t="inlineStr">
        <x:is>
          <x:t xml:space="preserve">SRD 5.2.1</x:t>
        </x:is>
      </x:c>
      <x:c r="K104" s="2" t="inlineStr">
        <x:is>
          <x:t xml:space="preserve">pp. 107-175</x:t>
        </x:is>
      </x:c>
    </x:row>
    <x:row r="105" ht="18" customHeight="1">
      <x:c r="A105" s="2" t="inlineStr">
        <x:is>
          <x:t xml:space="preserve">Eldritch Blast</x:t>
        </x:is>
      </x:c>
      <x:c r="B105" s="2" t="inlineStr">
        <x:is>
          <x:t xml:space="preserve">Cantrip</x:t>
        </x:is>
      </x:c>
      <x:c r="C105" s="2" t="inlineStr">
        <x:is>
          <x:t xml:space="preserve">Evocation</x:t>
        </x:is>
      </x:c>
      <x:c r="D105" s="2" t="inlineStr">
        <x:is>
          <x:t xml:space="preserve">Warlock</x:t>
        </x:is>
      </x:c>
      <x:c r="E105" s="2" t="inlineStr">
        <x:is>
          <x:t xml:space="preserve">Action</x:t>
        </x:is>
      </x:c>
      <x:c r="F105" s="2" t="inlineStr">
        <x:is>
          <x:t xml:space="preserve">120 feet</x:t>
        </x:is>
      </x:c>
      <x:c r="G105" s="2" t="inlineStr">
        <x:is>
          <x:t xml:space="preserve">V, S</x:t>
        </x:is>
      </x:c>
      <x:c r="H105" s="2" t="inlineStr">
        <x:is>
          <x:t xml:space="preserve">Instantaneous</x:t>
        </x:is>
      </x:c>
      <x:c r="I105" s="2" t="inlineStr">
        <x:is>
          <x:t xml:space="preserve">You hurl a beam of crackling energy. Make a ranged spell attack against one creature or object in range.</x:t>
        </x:is>
      </x:c>
      <x:c r="J105" s="2" t="inlineStr">
        <x:is>
          <x:t xml:space="preserve">SRD 5.2.1</x:t>
        </x:is>
      </x:c>
      <x:c r="K105" s="2" t="inlineStr">
        <x:is>
          <x:t xml:space="preserve">pp. 107-175</x:t>
        </x:is>
      </x:c>
    </x:row>
    <x:row r="106" ht="18" customHeight="1">
      <x:c r="A106" s="2" t="inlineStr">
        <x:is>
          <x:t xml:space="preserve">On a hit, the target takes 1d10 Force damage.</x:t>
        </x:is>
      </x:c>
      <x:c r="B106" s="2" t="inlineStr">
        <x:is>
          <x:t xml:space="preserve">Cantrip</x:t>
        </x:is>
      </x:c>
      <x:c r="C106" s="2" t="inlineStr">
        <x:is>
          <x:t xml:space="preserve"/>
        </x:is>
      </x:c>
      <x:c r="D106" s="2" t="inlineStr">
        <x:is>
          <x:t xml:space="preserve"/>
        </x:is>
      </x:c>
      <x:c r="E106" s="2" t="inlineStr">
        <x:is>
          <x:t xml:space="preserve"/>
        </x:is>
      </x:c>
      <x:c r="F106" s="2" t="inlineStr">
        <x:is>
          <x:t xml:space="preserve"/>
        </x:is>
      </x:c>
      <x:c r="G106" s="2" t="inlineStr">
        <x:is>
          <x:t xml:space="preserve"/>
        </x:is>
      </x:c>
      <x:c r="H106" s="2" t="inlineStr">
        <x:is>
          <x:t xml:space="preserve"/>
        </x:is>
      </x:c>
      <x:c r="I106" s="2" t="inlineStr">
        <x:is>
          <x:t xml:space="preserve">On a hit, the target takes 1d10 Force damage. Cantrip Upgrade. The spell creates two beams at level 5, three beams at level 11, and four beams at level 17. You can direct the beams at the same target or at different ones. Make a separate attack roll for each beam.</x:t>
        </x:is>
      </x:c>
      <x:c r="J106" s="2" t="inlineStr">
        <x:is>
          <x:t xml:space="preserve">SRD 5.2.1</x:t>
        </x:is>
      </x:c>
      <x:c r="K106" s="2" t="inlineStr">
        <x:is>
          <x:t xml:space="preserve">pp. 107-175</x:t>
        </x:is>
      </x:c>
    </x:row>
    <x:row r="107" ht="18" customHeight="1">
      <x:c r="A107" s="2" t="inlineStr">
        <x:is>
          <x:t xml:space="preserve">Elementalism</x:t>
        </x:is>
      </x:c>
      <x:c r="B107" s="2" t="inlineStr">
        <x:is>
          <x:t xml:space="preserve">Cantrip</x:t>
        </x:is>
      </x:c>
      <x:c r="C107" s="2" t="inlineStr">
        <x:is>
          <x:t xml:space="preserve">Transmutation</x:t>
        </x:is>
      </x:c>
      <x:c r="D107" s="2" t="inlineStr">
        <x:is>
          <x:t xml:space="preserve">Druid, Sorcerer, Wizard</x:t>
        </x:is>
      </x:c>
      <x:c r="E107" s="2" t="inlineStr">
        <x:is>
          <x:t xml:space="preserve">Action</x:t>
        </x:is>
      </x:c>
      <x:c r="F107" s="2" t="inlineStr">
        <x:is>
          <x:t xml:space="preserve">30 feet</x:t>
        </x:is>
      </x:c>
      <x:c r="G107" s="2" t="inlineStr">
        <x:is>
          <x:t xml:space="preserve">V, S</x:t>
        </x:is>
      </x:c>
      <x:c r="H107" s="2" t="inlineStr">
        <x:is>
          <x:t xml:space="preserve">Instantaneous</x:t>
        </x:is>
      </x:c>
      <x:c r="I107" s="2" t="inlineStr">
        <x:is>
          <x:t xml:space="preserve">You exert control over the elements, creating one of the following effects within range. Beckon Air. You create a breeze strong enough to ripple cloth, stir dust, rustle leaves, and close open doors and shutters, all in a 5-foot Cube. Doors and shutters being held open by someone or something aren’t affected. Beckon Earth. You create a thin shroud of dust or sand that covers surfaces in a 5-foot-square area, or you cause a single word to appear in your handwriting in a patch of dirt or sand. Beckon Fire. You create a thin cloud of harmless embers and colored, scented smoke in a 5-foot Cube. You choose the color and scent, and the embers can light candles, torches, or lamps in that area. The smoke’s scent lingers for 1 minute. Beckon Water. You create a spray of cool mist that lightly dampens creatures and objects in a 5-foot Cube. Alternatively, you create 1 cup of clean water either in an open container or on a surface, and the water evaporates in 1 minute. Sculpt Element. You cause dirt, sand, fire, smoke, mist, or water that can fit in a 1-foot Cube to assume a crude shape (such as that of a creature) for 1 hour.</x:t>
        </x:is>
      </x:c>
      <x:c r="J107" s="2" t="inlineStr">
        <x:is>
          <x:t xml:space="preserve">SRD 5.2.1</x:t>
        </x:is>
      </x:c>
      <x:c r="K107" s="2" t="inlineStr">
        <x:is>
          <x:t xml:space="preserve">pp. 107-175</x:t>
        </x:is>
      </x:c>
    </x:row>
    <x:row r="108" ht="18" customHeight="1">
      <x:c r="A108" s="2" t="inlineStr">
        <x:is>
          <x:t xml:space="preserve">Enhance Ability</x:t>
        </x:is>
      </x:c>
      <x:c r="B108" s="2" t="inlineStr">
        <x:is>
          <x:t xml:space="preserve">2</x:t>
        </x:is>
      </x:c>
      <x:c r="C108" s="2" t="inlineStr">
        <x:is>
          <x:t xml:space="preserve">Transmutation</x:t>
        </x:is>
      </x:c>
      <x:c r="D108" s="2" t="inlineStr">
        <x:is>
          <x:t xml:space="preserve"/>
        </x:is>
      </x:c>
      <x:c r="E108" s="2" t="inlineStr">
        <x:is>
          <x:t xml:space="preserve">Action</x:t>
        </x:is>
      </x:c>
      <x:c r="F108" s="2" t="inlineStr">
        <x:is>
          <x:t xml:space="preserve">Touch</x:t>
        </x:is>
      </x:c>
      <x:c r="G108" s="2" t="inlineStr">
        <x:is>
          <x:t xml:space="preserve">V, S, M (fur or a feather)</x:t>
        </x:is>
      </x:c>
      <x:c r="H108" s="2" t="inlineStr">
        <x:is>
          <x:t xml:space="preserve">Concentration, up to 1 hour</x:t>
        </x:is>
      </x:c>
      <x:c r="I108" s="2" t="inlineStr">
        <x:is>
          <x:t xml:space="preserve">You touch a creature and choose Strength, Dexterity, Intelligence, Wisdom, or Charisma. For the duration, the target has Advantage on ability checks using the chosen ability. Using a Higher-Level Spell Slot. You can target one additional creature for each spell slot level above 2. You can choose a different ability for each target.</x:t>
        </x:is>
      </x:c>
      <x:c r="J108" s="2" t="inlineStr">
        <x:is>
          <x:t xml:space="preserve">SRD 5.2.1</x:t>
        </x:is>
      </x:c>
      <x:c r="K108" s="2" t="inlineStr">
        <x:is>
          <x:t xml:space="preserve">pp. 107-175</x:t>
        </x:is>
      </x:c>
    </x:row>
    <x:row r="109" ht="18" customHeight="1">
      <x:c r="A109" s="2" t="inlineStr">
        <x:is>
          <x:t xml:space="preserve">Enlarge/Reduce</x:t>
        </x:is>
      </x:c>
      <x:c r="B109" s="2" t="inlineStr">
        <x:is>
          <x:t xml:space="preserve">2</x:t>
        </x:is>
      </x:c>
      <x:c r="C109" s="2" t="inlineStr">
        <x:is>
          <x:t xml:space="preserve">Transmutation</x:t>
        </x:is>
      </x:c>
      <x:c r="D109" s="2" t="inlineStr">
        <x:is>
          <x:t xml:space="preserve">Bard, Druid, Sorcerer, Wizard</x:t>
        </x:is>
      </x:c>
      <x:c r="E109" s="2" t="inlineStr">
        <x:is>
          <x:t xml:space="preserve">Action</x:t>
        </x:is>
      </x:c>
      <x:c r="F109" s="2" t="inlineStr">
        <x:is>
          <x:t xml:space="preserve">30 feet</x:t>
        </x:is>
      </x:c>
      <x:c r="G109" s="2" t="inlineStr">
        <x:is>
          <x:t xml:space="preserve">V, S, M (a pinch of powdered iron)</x:t>
        </x:is>
      </x:c>
      <x:c r="H109" s="2" t="inlineStr">
        <x:is>
          <x:t xml:space="preserve">Concentration, up to 1 minute</x:t>
        </x:is>
      </x:c>
      <x:c r="I109" s="2" t="inlineStr">
        <x:is>
          <x:t xml:space="preserve">For the duration, the spell enlarges or reduces a creature or an object you can see within range (see the chosen effect below). A targeted object must be neither worn nor carried. If the target is an unwilling creature, it can make a Constitution saving throw. On a successful save, the spell has no effect. Everything that a targeted creature is wearing and carrying changes size with it. Any item it drops returns to normal size at once. A thrown weapon or piece of ammunition returns to normal size immediately after it hits or misses a target. Enlarge. The target’s size increases by one category—from Medium to Large, for example. The target also has Advantage on Strength checks and Strength saving throws. The target’s attacks with its enlarged weapons or Unarmed Strikes deal an extra 1d4 damage on a hit. Reduce. The target’s size decreases by one category—from Medium to Small, for example. The target also has Disadvantage on Strength checks and Strength saving throws. The target’s attacks with its reduced weapons or Unarmed Strikes deal 1d4 less damage on a hit (this can’t reduce the damage below 1).</x:t>
        </x:is>
      </x:c>
      <x:c r="J109" s="2" t="inlineStr">
        <x:is>
          <x:t xml:space="preserve">SRD 5.2.1</x:t>
        </x:is>
      </x:c>
      <x:c r="K109" s="2" t="inlineStr">
        <x:is>
          <x:t xml:space="preserve">pp. 107-175</x:t>
        </x:is>
      </x:c>
    </x:row>
    <x:row r="110" ht="18" customHeight="1">
      <x:c r="A110" s="2" t="inlineStr">
        <x:is>
          <x:t xml:space="preserve">Ensnaring Strike</x:t>
        </x:is>
      </x:c>
      <x:c r="B110" s="2" t="inlineStr">
        <x:is>
          <x:t xml:space="preserve">1</x:t>
        </x:is>
      </x:c>
      <x:c r="C110" s="2" t="inlineStr">
        <x:is>
          <x:t xml:space="preserve">Conjuration</x:t>
        </x:is>
      </x:c>
      <x:c r="D110" s="2" t="inlineStr">
        <x:is>
          <x:t xml:space="preserve">Ranger</x:t>
        </x:is>
      </x:c>
      <x:c r="E110" s="2" t="inlineStr">
        <x:is>
          <x:t xml:space="preserve">Bonus Action, which you take immedi-</x:t>
        </x:is>
      </x:c>
      <x:c r="F110" s="2" t="inlineStr">
        <x:is>
          <x:t xml:space="preserve">Self</x:t>
        </x:is>
      </x:c>
      <x:c r="G110" s="2" t="inlineStr">
        <x:is>
          <x:t xml:space="preserve">V</x:t>
        </x:is>
      </x:c>
      <x:c r="H110" s="2" t="inlineStr">
        <x:is>
          <x:t xml:space="preserve">Concentration, up to 1 minute</x:t>
        </x:is>
      </x:c>
      <x:c r="I110" s="2" t="inlineStr">
        <x:is>
          <x:t xml:space="preserve">As you hit the target, grasping vines appear on it, and it makes a Strength saving throw. A Large or larger creature has Advantage on this save. On a failed save, the target has the Restrained condition until the spell ends. On a successful save, the vines shrivel away, and the spell ends. While Restrained, the target takes 1d6 Piercing damage at the start of each of its turns. The target or a creature within reach of it can take an action to make a Strength (Athletics) check against your spell save DC. On a success, the spell ends. Using a Higher-Level Spell Slot. The damage increases by 1d6 for each spell slot level above 1.</x:t>
        </x:is>
      </x:c>
      <x:c r="J110" s="2" t="inlineStr">
        <x:is>
          <x:t xml:space="preserve">SRD 5.2.1</x:t>
        </x:is>
      </x:c>
      <x:c r="K110" s="2" t="inlineStr">
        <x:is>
          <x:t xml:space="preserve">pp. 107-175</x:t>
        </x:is>
      </x:c>
    </x:row>
    <x:row r="111" ht="18" customHeight="1">
      <x:c r="A111" s="2" t="inlineStr">
        <x:is>
          <x:t xml:space="preserve">Entangle</x:t>
        </x:is>
      </x:c>
      <x:c r="B111" s="2" t="inlineStr">
        <x:is>
          <x:t xml:space="preserve">1</x:t>
        </x:is>
      </x:c>
      <x:c r="C111" s="2" t="inlineStr">
        <x:is>
          <x:t xml:space="preserve">Conjuration</x:t>
        </x:is>
      </x:c>
      <x:c r="D111" s="2" t="inlineStr">
        <x:is>
          <x:t xml:space="preserve">Druid, Ranger</x:t>
        </x:is>
      </x:c>
      <x:c r="E111" s="2" t="inlineStr">
        <x:is>
          <x:t xml:space="preserve">Action</x:t>
        </x:is>
      </x:c>
      <x:c r="F111" s="2" t="inlineStr">
        <x:is>
          <x:t xml:space="preserve">90 feet</x:t>
        </x:is>
      </x:c>
      <x:c r="G111" s="2" t="inlineStr">
        <x:is>
          <x:t xml:space="preserve">V, S</x:t>
        </x:is>
      </x:c>
      <x:c r="H111" s="2" t="inlineStr">
        <x:is>
          <x:t xml:space="preserve">Concentration, up to 1 minute</x:t>
        </x:is>
      </x:c>
      <x:c r="I111" s="2" t="inlineStr">
        <x:is>
          <x:t xml:space="preserve">Grasping plants sprout from the ground in a 20-foot square within range. For the duration, these plants turn the ground in the area into Difficult Terrain. They disappear when the spell ends. Each creature (other than you) in the area when you cast the spell must succeed on a Strength saving throw or have the Restrained condition until the spell ends. A Restrained creature can take an action to make a Strength (Athletics) check against your spell save DC. On a success, it frees itself from the grasping plants and is no longer Restrained by them.</x:t>
        </x:is>
      </x:c>
      <x:c r="J111" s="2" t="inlineStr">
        <x:is>
          <x:t xml:space="preserve">SRD 5.2.1</x:t>
        </x:is>
      </x:c>
      <x:c r="K111" s="2" t="inlineStr">
        <x:is>
          <x:t xml:space="preserve">pp. 107-175</x:t>
        </x:is>
      </x:c>
    </x:row>
    <x:row r="112" ht="18" customHeight="1">
      <x:c r="A112" s="2" t="inlineStr">
        <x:is>
          <x:t xml:space="preserve">Enthrall</x:t>
        </x:is>
      </x:c>
      <x:c r="B112" s="2" t="inlineStr">
        <x:is>
          <x:t xml:space="preserve">2</x:t>
        </x:is>
      </x:c>
      <x:c r="C112" s="2" t="inlineStr">
        <x:is>
          <x:t xml:space="preserve">Enchantment</x:t>
        </x:is>
      </x:c>
      <x:c r="D112" s="2" t="inlineStr">
        <x:is>
          <x:t xml:space="preserve">Bard, Warlock</x:t>
        </x:is>
      </x:c>
      <x:c r="E112" s="2" t="inlineStr">
        <x:is>
          <x:t xml:space="preserve">Action</x:t>
        </x:is>
      </x:c>
      <x:c r="F112" s="2" t="inlineStr">
        <x:is>
          <x:t xml:space="preserve">60 feet</x:t>
        </x:is>
      </x:c>
      <x:c r="G112" s="2" t="inlineStr">
        <x:is>
          <x:t xml:space="preserve">V, S</x:t>
        </x:is>
      </x:c>
      <x:c r="H112" s="2" t="inlineStr">
        <x:is>
          <x:t xml:space="preserve">Concentration, up to 1 minute</x:t>
        </x:is>
      </x:c>
      <x:c r="I112" s="2" t="inlineStr">
        <x:is>
          <x:t xml:space="preserve">You weave a distracting string of words, causing creatures of your choice that you can see within range to make a Wisdom saving throw. Any creature you or your companions are fighting automatically succeeds on this save. On a failed save, a target has a −10 penalty to Wisdom (Perception) checks and Passive Perception until the spell ends.</x:t>
        </x:is>
      </x:c>
      <x:c r="J112" s="2" t="inlineStr">
        <x:is>
          <x:t xml:space="preserve">SRD 5.2.1</x:t>
        </x:is>
      </x:c>
      <x:c r="K112" s="2" t="inlineStr">
        <x:is>
          <x:t xml:space="preserve">pp. 107-175</x:t>
        </x:is>
      </x:c>
    </x:row>
    <x:row r="113" ht="18" customHeight="1">
      <x:c r="A113" s="2" t="inlineStr">
        <x:is>
          <x:t xml:space="preserve">Etherealness</x:t>
        </x:is>
      </x:c>
      <x:c r="B113" s="2" t="inlineStr">
        <x:is>
          <x:t xml:space="preserve">7</x:t>
        </x:is>
      </x:c>
      <x:c r="C113" s="2" t="inlineStr">
        <x:is>
          <x:t xml:space="preserve">Conjuration</x:t>
        </x:is>
      </x:c>
      <x:c r="D113" s="2" t="inlineStr">
        <x:is>
          <x:t xml:space="preserve"/>
        </x:is>
      </x:c>
      <x:c r="E113" s="2" t="inlineStr">
        <x:is>
          <x:t xml:space="preserve">Action</x:t>
        </x:is>
      </x:c>
      <x:c r="F113" s="2" t="inlineStr">
        <x:is>
          <x:t xml:space="preserve">Self</x:t>
        </x:is>
      </x:c>
      <x:c r="G113" s="2" t="inlineStr">
        <x:is>
          <x:t xml:space="preserve">V, S</x:t>
        </x:is>
      </x:c>
      <x:c r="H113" s="2" t="inlineStr">
        <x:is>
          <x:t xml:space="preserve">Up to 8 hours</x:t>
        </x:is>
      </x:c>
      <x:c r="I113" s="2" t="inlineStr">
        <x:is>
          <x:t xml:space="preserve">You step into the border regions of the Ethereal Plane, where it overlaps with your current plane. You remain in the Border Ethereal for the duration. During this time, you can move in any direction. If you move up or down, every foot of movement costs an extra foot. You can perceive the plane you left, which looks gray, and you can’t see anything there more than 60 feet away. While on the Ethereal Plane, you can affect and be affected only by creatures, objects, and effects on that plane. Creatures that aren’t on the Ethereal Plane can’t perceive or interact with you unless a feature gives them the ability to do so. When the spell ends, you return to the plane you left in the spot that corresponds to your space in the Border Ethereal. If you appear in an occupied space, you are shunted to the nearest unoccupied space and take Force damage equal to twice the number of feet you are moved. This spell ends instantly if you cast it while you are on the Ethereal Plane or a plane that doesn’t border it, such as one of the Outer Planes. Using a Higher-Level Spell Slot. You can target up to three willing creatures (including yourself) for each spell slot level above 7. The creatures must be within 10 feet of you when you cast the spell.</x:t>
        </x:is>
      </x:c>
      <x:c r="J113" s="2" t="inlineStr">
        <x:is>
          <x:t xml:space="preserve">SRD 5.2.1</x:t>
        </x:is>
      </x:c>
      <x:c r="K113" s="2" t="inlineStr">
        <x:is>
          <x:t xml:space="preserve">pp. 107-175</x:t>
        </x:is>
      </x:c>
    </x:row>
    <x:row r="114" ht="18" customHeight="1">
      <x:c r="A114" s="2" t="inlineStr">
        <x:is>
          <x:t xml:space="preserve">Expeditious Retreat</x:t>
        </x:is>
      </x:c>
      <x:c r="B114" s="2" t="inlineStr">
        <x:is>
          <x:t xml:space="preserve">1</x:t>
        </x:is>
      </x:c>
      <x:c r="C114" s="2" t="inlineStr">
        <x:is>
          <x:t xml:space="preserve">Transmutation</x:t>
        </x:is>
      </x:c>
      <x:c r="D114" s="2" t="inlineStr">
        <x:is>
          <x:t xml:space="preserve">Sorcerer, Warlock, Wizard</x:t>
        </x:is>
      </x:c>
      <x:c r="E114" s="2" t="inlineStr">
        <x:is>
          <x:t xml:space="preserve">Bonus Action</x:t>
        </x:is>
      </x:c>
      <x:c r="F114" s="2" t="inlineStr">
        <x:is>
          <x:t xml:space="preserve">Self</x:t>
        </x:is>
      </x:c>
      <x:c r="G114" s="2" t="inlineStr">
        <x:is>
          <x:t xml:space="preserve">V, S</x:t>
        </x:is>
      </x:c>
      <x:c r="H114" s="2" t="inlineStr">
        <x:is>
          <x:t xml:space="preserve">Concentration, up to 10 minutes</x:t>
        </x:is>
      </x:c>
      <x:c r="I114" s="2" t="inlineStr">
        <x:is>
          <x:t xml:space="preserve">You take the Dash action, and until the spell ends, you can take that action again as a Bonus Action.</x:t>
        </x:is>
      </x:c>
      <x:c r="J114" s="2" t="inlineStr">
        <x:is>
          <x:t xml:space="preserve">SRD 5.2.1</x:t>
        </x:is>
      </x:c>
      <x:c r="K114" s="2" t="inlineStr">
        <x:is>
          <x:t xml:space="preserve">pp. 107-175</x:t>
        </x:is>
      </x:c>
    </x:row>
    <x:row r="115" ht="18" customHeight="1">
      <x:c r="A115" s="2" t="inlineStr">
        <x:is>
          <x:t xml:space="preserve">Eyebite</x:t>
        </x:is>
      </x:c>
      <x:c r="B115" s="2" t="inlineStr">
        <x:is>
          <x:t xml:space="preserve">6</x:t>
        </x:is>
      </x:c>
      <x:c r="C115" s="2" t="inlineStr">
        <x:is>
          <x:t xml:space="preserve">Necromancy</x:t>
        </x:is>
      </x:c>
      <x:c r="D115" s="2" t="inlineStr">
        <x:is>
          <x:t xml:space="preserve">Bard, Sorcerer, Warlock, Wizard</x:t>
        </x:is>
      </x:c>
      <x:c r="E115" s="2" t="inlineStr">
        <x:is>
          <x:t xml:space="preserve">Action</x:t>
        </x:is>
      </x:c>
      <x:c r="F115" s="2" t="inlineStr">
        <x:is>
          <x:t xml:space="preserve">Self</x:t>
        </x:is>
      </x:c>
      <x:c r="G115" s="2" t="inlineStr">
        <x:is>
          <x:t xml:space="preserve">V, S</x:t>
        </x:is>
      </x:c>
      <x:c r="H115" s="2" t="inlineStr">
        <x:is>
          <x:t xml:space="preserve">Concentration, up to 1 minute</x:t>
        </x:is>
      </x:c>
      <x:c r="I115" s="2" t="inlineStr">
        <x:is>
          <x:t xml:space="preserve">For the duration, your eyes become an inky void. One creature of your choice within 60 feet of you that you can see must succeed on a Wisdom saving throw or be affected by one of the following effects of your choice for the duration. On each of your turns until the spell ends, you can take a Magic action to target another creature but can’t target a creature again if it has succeeded on a save against this casting of the spell. Asleep. The target has the Unconscious condition. It wakes up if it takes any damage or if another creature takes an action to shake it awake. Panicked. The target has the Frightened condition. On each of its turns, the Frightened target must take the Dash action and move away from you by the safest and shortest route available. If the target moves to a space at least 60 feet away from you where it can’t see you, this effect ends. Sickened. The target has the Poisoned condition.</x:t>
        </x:is>
      </x:c>
      <x:c r="J115" s="2" t="inlineStr">
        <x:is>
          <x:t xml:space="preserve">SRD 5.2.1</x:t>
        </x:is>
      </x:c>
      <x:c r="K115" s="2" t="inlineStr">
        <x:is>
          <x:t xml:space="preserve">pp. 107-175</x:t>
        </x:is>
      </x:c>
    </x:row>
    <x:row r="116" ht="18" customHeight="1">
      <x:c r="A116" s="2" t="inlineStr">
        <x:is>
          <x:t xml:space="preserve">Fabricate</x:t>
        </x:is>
      </x:c>
      <x:c r="B116" s="2" t="inlineStr">
        <x:is>
          <x:t xml:space="preserve">4</x:t>
        </x:is>
      </x:c>
      <x:c r="C116" s="2" t="inlineStr">
        <x:is>
          <x:t xml:space="preserve">Transmutation</x:t>
        </x:is>
      </x:c>
      <x:c r="D116" s="2" t="inlineStr">
        <x:is>
          <x:t xml:space="preserve">Wizard</x:t>
        </x:is>
      </x:c>
      <x:c r="E116" s="2" t="inlineStr">
        <x:is>
          <x:t xml:space="preserve">10 minutes</x:t>
        </x:is>
      </x:c>
      <x:c r="F116" s="2" t="inlineStr">
        <x:is>
          <x:t xml:space="preserve">120 feet</x:t>
        </x:is>
      </x:c>
      <x:c r="G116" s="2" t="inlineStr">
        <x:is>
          <x:t xml:space="preserve">V, S</x:t>
        </x:is>
      </x:c>
      <x:c r="H116" s="2" t="inlineStr">
        <x:is>
          <x:t xml:space="preserve">Instantaneous</x:t>
        </x:is>
      </x:c>
      <x:c r="I116" s="2" t="inlineStr">
        <x:is>
          <x:t xml:space="preserve">You convert raw materials into products of the same material. For example, you can fabricate a wooden bridge from a clump of trees, a rope from a patch of hemp, or clothes from flax or wool. Choose raw materials that you can see within range. You can fabricate a Large or smaller object (contained within a 10-foot Cube or eight connected 5-foot Cubes) given a sufficient quantity of material. If you’re working with metal, stone, or another mineral substance, however, the fabricated object can be no larger than Medium (contained within a 5-foot Cube). The quality of any fabricated objects is based on the quality of the raw materials. Creatures and magic items can’t be created by this spell. You also can’t use it to create items that require a high degree of skill—such as weapons and armor—unless you have proficiency with the type of Artisan’s Tools used to craft such objects.</x:t>
        </x:is>
      </x:c>
      <x:c r="J116" s="2" t="inlineStr">
        <x:is>
          <x:t xml:space="preserve">SRD 5.2.1</x:t>
        </x:is>
      </x:c>
      <x:c r="K116" s="2" t="inlineStr">
        <x:is>
          <x:t xml:space="preserve">pp. 107-175</x:t>
        </x:is>
      </x:c>
    </x:row>
    <x:row r="117" ht="18" customHeight="1">
      <x:c r="A117" s="2" t="inlineStr">
        <x:is>
          <x:t xml:space="preserve">Faerie Fire</x:t>
        </x:is>
      </x:c>
      <x:c r="B117" s="2" t="inlineStr">
        <x:is>
          <x:t xml:space="preserve">1</x:t>
        </x:is>
      </x:c>
      <x:c r="C117" s="2" t="inlineStr">
        <x:is>
          <x:t xml:space="preserve">Evocation</x:t>
        </x:is>
      </x:c>
      <x:c r="D117" s="2" t="inlineStr">
        <x:is>
          <x:t xml:space="preserve">Bard, Druid</x:t>
        </x:is>
      </x:c>
      <x:c r="E117" s="2" t="inlineStr">
        <x:is>
          <x:t xml:space="preserve">Action</x:t>
        </x:is>
      </x:c>
      <x:c r="F117" s="2" t="inlineStr">
        <x:is>
          <x:t xml:space="preserve">60 feet</x:t>
        </x:is>
      </x:c>
      <x:c r="G117" s="2" t="inlineStr">
        <x:is>
          <x:t xml:space="preserve">V</x:t>
        </x:is>
      </x:c>
      <x:c r="H117" s="2" t="inlineStr">
        <x:is>
          <x:t xml:space="preserve">Concentration, up to 1 minute</x:t>
        </x:is>
      </x:c>
      <x:c r="I117" s="2" t="inlineStr">
        <x:is>
          <x:t xml:space="preserve">Objects in a 20-foot Cube within range are outlined in blue, green, or violet light (your choice). Each creature in the Cube is also outlined if it fails a Dexterity saving throw. For the duration, objects and affected creatures shed Dim Light in a 10-foot radius and can’t benefit from the Invisible condition. Attack rolls against an affected creature or object have Advantage if the attacker can see it.</x:t>
        </x:is>
      </x:c>
      <x:c r="J117" s="2" t="inlineStr">
        <x:is>
          <x:t xml:space="preserve">SRD 5.2.1</x:t>
        </x:is>
      </x:c>
      <x:c r="K117" s="2" t="inlineStr">
        <x:is>
          <x:t xml:space="preserve">pp. 107-175</x:t>
        </x:is>
      </x:c>
    </x:row>
    <x:row r="118" ht="18" customHeight="1">
      <x:c r="A118" s="2" t="inlineStr">
        <x:is>
          <x:t xml:space="preserve">Faithful Hound</x:t>
        </x:is>
      </x:c>
      <x:c r="B118" s="2" t="inlineStr">
        <x:is>
          <x:t xml:space="preserve">4</x:t>
        </x:is>
      </x:c>
      <x:c r="C118" s="2" t="inlineStr">
        <x:is>
          <x:t xml:space="preserve">Conjuration</x:t>
        </x:is>
      </x:c>
      <x:c r="D118" s="2" t="inlineStr">
        <x:is>
          <x:t xml:space="preserve">Wizard</x:t>
        </x:is>
      </x:c>
      <x:c r="E118" s="2" t="inlineStr">
        <x:is>
          <x:t xml:space="preserve">Action</x:t>
        </x:is>
      </x:c>
      <x:c r="F118" s="2" t="inlineStr">
        <x:is>
          <x:t xml:space="preserve">30 feet</x:t>
        </x:is>
      </x:c>
      <x:c r="G118" s="2" t="inlineStr">
        <x:is>
          <x:t xml:space="preserve">V, S, M (a silver whistle)</x:t>
        </x:is>
      </x:c>
      <x:c r="H118" s="2" t="inlineStr">
        <x:is>
          <x:t xml:space="preserve">8 hours</x:t>
        </x:is>
      </x:c>
      <x:c r="I118" s="2" t="inlineStr">
        <x:is>
          <x:t xml:space="preserve">You conjure a phantom watchdog in an unoccupied space that you can see within range. The hound remains for the duration or until the two of you are more than 300 feet apart from each other. No one but you can see the hound, and it is intangible and invulnerable. When a Small or larger creature comes within 30 feet of it without first speaking the password that you specify when you cast this spell, the hound starts barking loudly. The hound has Truesight with a range of 30 feet. At the start of each of your turns, the hound attempts to bite one enemy within 5 feet of it. That enemy must succeed on a Dexterity saving throw or take 4d8 Force damage. On your later turns, you can take a Magic action to move the hound up to 30 feet.</x:t>
        </x:is>
      </x:c>
      <x:c r="J118" s="2" t="inlineStr">
        <x:is>
          <x:t xml:space="preserve">SRD 5.2.1</x:t>
        </x:is>
      </x:c>
      <x:c r="K118" s="2" t="inlineStr">
        <x:is>
          <x:t xml:space="preserve">pp. 107-175</x:t>
        </x:is>
      </x:c>
    </x:row>
    <x:row r="119" ht="18" customHeight="1">
      <x:c r="A119" s="2" t="inlineStr">
        <x:is>
          <x:t xml:space="preserve">False Life</x:t>
        </x:is>
      </x:c>
      <x:c r="B119" s="2" t="inlineStr">
        <x:is>
          <x:t xml:space="preserve">1</x:t>
        </x:is>
      </x:c>
      <x:c r="C119" s="2" t="inlineStr">
        <x:is>
          <x:t xml:space="preserve">Necromancy</x:t>
        </x:is>
      </x:c>
      <x:c r="D119" s="2" t="inlineStr">
        <x:is>
          <x:t xml:space="preserve">Sorcerer, Wizard</x:t>
        </x:is>
      </x:c>
      <x:c r="E119" s="2" t="inlineStr">
        <x:is>
          <x:t xml:space="preserve">Action</x:t>
        </x:is>
      </x:c>
      <x:c r="F119" s="2" t="inlineStr">
        <x:is>
          <x:t xml:space="preserve">Self</x:t>
        </x:is>
      </x:c>
      <x:c r="G119" s="2" t="inlineStr">
        <x:is>
          <x:t xml:space="preserve">V, S, M (a drop of alcohol)</x:t>
        </x:is>
      </x:c>
      <x:c r="H119" s="2" t="inlineStr">
        <x:is>
          <x:t xml:space="preserve">Instantaneous</x:t>
        </x:is>
      </x:c>
      <x:c r="I119" s="2" t="inlineStr">
        <x:is>
          <x:t xml:space="preserve">You gain 2d4 + 4 Temporary Hit Points. Using a Higher-Level Spell Slot. You gain 5 additional Temporary Hit Points for each spell slot level above 1.</x:t>
        </x:is>
      </x:c>
      <x:c r="J119" s="2" t="inlineStr">
        <x:is>
          <x:t xml:space="preserve">SRD 5.2.1</x:t>
        </x:is>
      </x:c>
      <x:c r="K119" s="2" t="inlineStr">
        <x:is>
          <x:t xml:space="preserve">pp. 107-175</x:t>
        </x:is>
      </x:c>
    </x:row>
    <x:row r="120" ht="18" customHeight="1">
      <x:c r="A120" s="2" t="inlineStr">
        <x:is>
          <x:t xml:space="preserve">Fear</x:t>
        </x:is>
      </x:c>
      <x:c r="B120" s="2" t="inlineStr">
        <x:is>
          <x:t xml:space="preserve">3</x:t>
        </x:is>
      </x:c>
      <x:c r="C120" s="2" t="inlineStr">
        <x:is>
          <x:t xml:space="preserve">Illusion</x:t>
        </x:is>
      </x:c>
      <x:c r="D120" s="2" t="inlineStr">
        <x:is>
          <x:t xml:space="preserve">Bard, Sorcerer, Warlock, Wizard</x:t>
        </x:is>
      </x:c>
      <x:c r="E120" s="2" t="inlineStr">
        <x:is>
          <x:t xml:space="preserve">Action</x:t>
        </x:is>
      </x:c>
      <x:c r="F120" s="2" t="inlineStr">
        <x:is>
          <x:t xml:space="preserve">Self</x:t>
        </x:is>
      </x:c>
      <x:c r="G120" s="2" t="inlineStr">
        <x:is>
          <x:t xml:space="preserve">V, S, M (a white feather)</x:t>
        </x:is>
      </x:c>
      <x:c r="H120" s="2" t="inlineStr">
        <x:is>
          <x:t xml:space="preserve">Concentration, up to 1 minute</x:t>
        </x:is>
      </x:c>
      <x:c r="I120" s="2" t="inlineStr">
        <x:is>
          <x:t xml:space="preserve">Each creature in a 30-foot Cone must succeed on a Wisdom saving throw or drop whatever it is holding and have the Frightened condition for the duration. A Frightened creature takes the Dash action and moves away from you by the safest route on each of its turns unless there is nowhere to move. If the creature ends its turn in a space where it doesn’t have line of sight to you, the creature makes a Wisdom saving throw. On a successful save, the spell ends on that creature.</x:t>
        </x:is>
      </x:c>
      <x:c r="J120" s="2" t="inlineStr">
        <x:is>
          <x:t xml:space="preserve">SRD 5.2.1</x:t>
        </x:is>
      </x:c>
      <x:c r="K120" s="2" t="inlineStr">
        <x:is>
          <x:t xml:space="preserve">pp. 107-175</x:t>
        </x:is>
      </x:c>
    </x:row>
    <x:row r="121" ht="18" customHeight="1">
      <x:c r="A121" s="2" t="inlineStr">
        <x:is>
          <x:t xml:space="preserve">Feather Fall</x:t>
        </x:is>
      </x:c>
      <x:c r="B121" s="2" t="inlineStr">
        <x:is>
          <x:t xml:space="preserve">1</x:t>
        </x:is>
      </x:c>
      <x:c r="C121" s="2" t="inlineStr">
        <x:is>
          <x:t xml:space="preserve">Transmutation</x:t>
        </x:is>
      </x:c>
      <x:c r="D121" s="2" t="inlineStr">
        <x:is>
          <x:t xml:space="preserve">Bard, Sorcerer, Wizard</x:t>
        </x:is>
      </x:c>
      <x:c r="E121" s="2" t="inlineStr">
        <x:is>
          <x:t xml:space="preserve">Reaction, which you take when you or a</x:t>
        </x:is>
      </x:c>
      <x:c r="F121" s="2" t="inlineStr">
        <x:is>
          <x:t xml:space="preserve">60 feet</x:t>
        </x:is>
      </x:c>
      <x:c r="G121" s="2" t="inlineStr">
        <x:is>
          <x:t xml:space="preserve">V, M (a small feather or piece of down)</x:t>
        </x:is>
      </x:c>
      <x:c r="H121" s="2" t="inlineStr">
        <x:is>
          <x:t xml:space="preserve">1 minute</x:t>
        </x:is>
      </x:c>
      <x:c r="I121" s="2" t="inlineStr">
        <x:is>
          <x:t xml:space="preserve">Choose up to five falling creatures within range. A falling creature’s rate of descent slows to 60 feet per round until the spell ends. If a creature lands before the spell ends, the creature takes no damage from the fall, and the spell ends for that creature.</x:t>
        </x:is>
      </x:c>
      <x:c r="J121" s="2" t="inlineStr">
        <x:is>
          <x:t xml:space="preserve">SRD 5.2.1</x:t>
        </x:is>
      </x:c>
      <x:c r="K121" s="2" t="inlineStr">
        <x:is>
          <x:t xml:space="preserve">pp. 107-175</x:t>
        </x:is>
      </x:c>
    </x:row>
    <x:row r="122" ht="18" customHeight="1">
      <x:c r="A122" s="2" t="inlineStr">
        <x:is>
          <x:t xml:space="preserve">Find Familiar</x:t>
        </x:is>
      </x:c>
      <x:c r="B122" s="2" t="inlineStr">
        <x:is>
          <x:t xml:space="preserve">1</x:t>
        </x:is>
      </x:c>
      <x:c r="C122" s="2" t="inlineStr">
        <x:is>
          <x:t xml:space="preserve">Conjuration</x:t>
        </x:is>
      </x:c>
      <x:c r="D122" s="2" t="inlineStr">
        <x:is>
          <x:t xml:space="preserve">Wizard</x:t>
        </x:is>
      </x:c>
      <x:c r="E122" s="2" t="inlineStr">
        <x:is>
          <x:t xml:space="preserve">1 hour or Ritual</x:t>
        </x:is>
      </x:c>
      <x:c r="F122" s="2" t="inlineStr">
        <x:is>
          <x:t xml:space="preserve">10 feet</x:t>
        </x:is>
      </x:c>
      <x:c r="G122" s="2" t="inlineStr">
        <x:is>
          <x:t xml:space="preserve">V, S, M (burning incense worth 10+ GP,</x:t>
        </x:is>
      </x:c>
      <x:c r="H122" s="2" t="inlineStr">
        <x:is>
          <x:t xml:space="preserve">Instantaneous</x:t>
        </x:is>
      </x:c>
      <x:c r="I122" s="2" t="inlineStr">
        <x:is>
          <x:t xml:space="preserve">You gain the service of a familiar, a spirit that takes an animal form you choose: Bat, Cat, Frog, Hawk, Lizard, Octopus, Owl, Rat, Raven, Spider, Weasel, or another Beast that has a Challenge Rating of 0. Appearing in an unoccupied space within range, the familiar has the statistics of the chosen form (see “Monsters”), though it is a Celestial, Fey, or Fiend (your choice) instead of a Beast. Your familiar acts independently of you, but it obeys your commands. Telepathic Connection. While your familiar is within 100 feet of you, you can communicate with it telepathically. Additionally, as a Bonus Action, you can see through the familiar’s eyes and hear what it hears until the start of your next turn, gaining the benefits of any special senses it has. Finally, when you cast a spell with a range of touch, your familiar can deliver the touch. Your familiar must be within 100 feet of you, and it must take a Reaction to deliver the touch when you cast the spell. Combat. The familiar is an ally to you and your allies. It rolls its own Initiative and acts on its own turn. A familiar can’t attack, but it can take other actions as normal. Disappearance of the Familiar. When the familiar drops to 0 Hit Points, it disappears. It reappears after you cast this spell again. As a Magic action, you can temporarily dismiss the familiar to a pocket dimension. Alternatively, you can dismiss it forever. As a Magic action while it is temporarily dismissed, you can cause it to reappear in an unoccupied space within 30 feet of you. Whenever the familiar drops to 0 Hit Points or disappears into the pocket dimension, it leaves behind in its space anything it was wearing or carrying. One Familiar Only. You can’t have more than one familiar at a time. If you cast this spell while you have a familiar, you instead cause it to adopt a new eligible form.</x:t>
        </x:is>
      </x:c>
      <x:c r="J122" s="2" t="inlineStr">
        <x:is>
          <x:t xml:space="preserve">SRD 5.2.1</x:t>
        </x:is>
      </x:c>
      <x:c r="K122" s="2" t="inlineStr">
        <x:is>
          <x:t xml:space="preserve">pp. 107-175</x:t>
        </x:is>
      </x:c>
    </x:row>
    <x:row r="123" ht="18" customHeight="1">
      <x:c r="A123" s="2" t="inlineStr">
        <x:is>
          <x:t xml:space="preserve">Find Steed</x:t>
        </x:is>
      </x:c>
      <x:c r="B123" s="2" t="inlineStr">
        <x:is>
          <x:t xml:space="preserve">2</x:t>
        </x:is>
      </x:c>
      <x:c r="C123" s="2" t="inlineStr">
        <x:is>
          <x:t xml:space="preserve">Conjuration</x:t>
        </x:is>
      </x:c>
      <x:c r="D123" s="2" t="inlineStr">
        <x:is>
          <x:t xml:space="preserve">Paladin</x:t>
        </x:is>
      </x:c>
      <x:c r="E123" s="2" t="inlineStr">
        <x:is>
          <x:t xml:space="preserve">Action</x:t>
        </x:is>
      </x:c>
      <x:c r="F123" s="2" t="inlineStr">
        <x:is>
          <x:t xml:space="preserve">30 feet</x:t>
        </x:is>
      </x:c>
      <x:c r="G123" s="2" t="inlineStr">
        <x:is>
          <x:t xml:space="preserve"/>
        </x:is>
      </x:c>
      <x:c r="H123" s="2" t="inlineStr">
        <x:is>
          <x:t xml:space="preserve">Instantaneous</x:t>
        </x:is>
      </x:c>
      <x:c r="I123" s="2" t="inlineStr">
        <x:is>
          <x:t xml:space="preserve">You summon an otherworldly being that appears as a loyal steed in an unoccupied space of your choice within range. This creature uses the Otherworldly Steed stat block. If you already have a steed from this spell, the steed is replaced by the new one. The steed resembles a Large, rideable animal of your choice, such as a horse, a camel, a dire wolf, or an elk. Whenever you cast the spell, choose the steed’s creature type—Celestial, Fey, or Fiend— which determines certain traits in the stat block. Combat. The steed is an ally to you and your allies. In combat, it shares your Initiative count, and it functions as a controlled mount while you ride it (as defined in the rules on mounted combat). If you have the Incapacitated condition, the steed takes its turn immediately after yours and acts independently, focusing on protecting you. Disappearance of the Steed. The steed disappears if it drops to 0 Hit Points or if you die. When it disappears, it leaves behind anything it was wearing or carrying. If you cast this spell again, you decide whether you summon the steed that disappeared or a different one. Using a Higher-Level Spell Slot. Use the spell slot’s level for the spell’s level in the stat block. face a choice of paths along the way there, you know which path is the most direct.</x:t>
        </x:is>
      </x:c>
      <x:c r="J123" s="2" t="inlineStr">
        <x:is>
          <x:t xml:space="preserve">SRD 5.2.1</x:t>
        </x:is>
      </x:c>
      <x:c r="K123" s="2" t="inlineStr">
        <x:is>
          <x:t xml:space="preserve">pp. 107-175</x:t>
        </x:is>
      </x:c>
    </x:row>
    <x:row r="124" ht="18" customHeight="1">
      <x:c r="A124" s="2" t="inlineStr">
        <x:is>
          <x:t xml:space="preserve">Find Traps</x:t>
        </x:is>
      </x:c>
      <x:c r="B124" s="2" t="inlineStr">
        <x:is>
          <x:t xml:space="preserve">2</x:t>
        </x:is>
      </x:c>
      <x:c r="C124" s="2" t="inlineStr">
        <x:is>
          <x:t xml:space="preserve">Divination</x:t>
        </x:is>
      </x:c>
      <x:c r="D124" s="2" t="inlineStr">
        <x:is>
          <x:t xml:space="preserve">Cleric, Druid, Ranger</x:t>
        </x:is>
      </x:c>
      <x:c r="E124" s="2" t="inlineStr">
        <x:is>
          <x:t xml:space="preserve">Action</x:t>
        </x:is>
      </x:c>
      <x:c r="F124" s="2" t="inlineStr">
        <x:is>
          <x:t xml:space="preserve">120 feet</x:t>
        </x:is>
      </x:c>
      <x:c r="G124" s="2" t="inlineStr">
        <x:is>
          <x:t xml:space="preserve">V, S</x:t>
        </x:is>
      </x:c>
      <x:c r="H124" s="2" t="inlineStr">
        <x:is>
          <x:t xml:space="preserve">Instantaneous</x:t>
        </x:is>
      </x:c>
      <x:c r="I124" s="2" t="inlineStr">
        <x:is>
          <x:t xml:space="preserve">You sense any trap within range that is within line of sight. A trap, for the purpose of this spell, includes any object or mechanism that was created to cause damage or other danger. Thus, the spell would sense the Alarm or Glyph of Warding spell or a mechanical pit trap, but it wouldn’t reveal a natural weakness in the floor, an unstable ceiling, or a hidden sinkhole. This spell reveals that a trap is present but not its location. You do learn the general nature of the danger posed by a trap you sense.</x:t>
        </x:is>
      </x:c>
      <x:c r="J124" s="2" t="inlineStr">
        <x:is>
          <x:t xml:space="preserve">SRD 5.2.1</x:t>
        </x:is>
      </x:c>
      <x:c r="K124" s="2" t="inlineStr">
        <x:is>
          <x:t xml:space="preserve">pp. 107-175</x:t>
        </x:is>
      </x:c>
    </x:row>
    <x:row r="125" ht="18" customHeight="1">
      <x:c r="A125" s="2" t="inlineStr">
        <x:is>
          <x:t xml:space="preserve">Finger of Death</x:t>
        </x:is>
      </x:c>
      <x:c r="B125" s="2" t="inlineStr">
        <x:is>
          <x:t xml:space="preserve">7</x:t>
        </x:is>
      </x:c>
      <x:c r="C125" s="2" t="inlineStr">
        <x:is>
          <x:t xml:space="preserve">Necromancy</x:t>
        </x:is>
      </x:c>
      <x:c r="D125" s="2" t="inlineStr">
        <x:is>
          <x:t xml:space="preserve">Sorcerer, Warlock, Wizard</x:t>
        </x:is>
      </x:c>
      <x:c r="E125" s="2" t="inlineStr">
        <x:is>
          <x:t xml:space="preserve">Action</x:t>
        </x:is>
      </x:c>
      <x:c r="F125" s="2" t="inlineStr">
        <x:is>
          <x:t xml:space="preserve">60 feet</x:t>
        </x:is>
      </x:c>
      <x:c r="G125" s="2" t="inlineStr">
        <x:is>
          <x:t xml:space="preserve">V, S</x:t>
        </x:is>
      </x:c>
      <x:c r="H125" s="2" t="inlineStr">
        <x:is>
          <x:t xml:space="preserve">Instantaneous</x:t>
        </x:is>
      </x:c>
      <x:c r="I125" s="2" t="inlineStr">
        <x:is>
          <x:t xml:space="preserve">You unleash negative energy toward a creature you can see within range. The target makes a Constitution saving throw, taking 7d8 + 30 Necrotic damage on a failed save or half as much damage on a successful one. A Humanoid killed by this spell rises at the start of your next turn as a Zombie (see “Monsters”) that follows your verbal orders.</x:t>
        </x:is>
      </x:c>
      <x:c r="J125" s="2" t="inlineStr">
        <x:is>
          <x:t xml:space="preserve">SRD 5.2.1</x:t>
        </x:is>
      </x:c>
      <x:c r="K125" s="2" t="inlineStr">
        <x:is>
          <x:t xml:space="preserve">pp. 107-175</x:t>
        </x:is>
      </x:c>
    </x:row>
    <x:row r="126" ht="18" customHeight="1">
      <x:c r="A126" s="2" t="inlineStr">
        <x:is>
          <x:t xml:space="preserve">Fireball</x:t>
        </x:is>
      </x:c>
      <x:c r="B126" s="2" t="inlineStr">
        <x:is>
          <x:t xml:space="preserve">3</x:t>
        </x:is>
      </x:c>
      <x:c r="C126" s="2" t="inlineStr">
        <x:is>
          <x:t xml:space="preserve">Evocation</x:t>
        </x:is>
      </x:c>
      <x:c r="D126" s="2" t="inlineStr">
        <x:is>
          <x:t xml:space="preserve">Sorcerer, Wizard</x:t>
        </x:is>
      </x:c>
      <x:c r="E126" s="2" t="inlineStr">
        <x:is>
          <x:t xml:space="preserve">Action</x:t>
        </x:is>
      </x:c>
      <x:c r="F126" s="2" t="inlineStr">
        <x:is>
          <x:t xml:space="preserve">150 feet</x:t>
        </x:is>
      </x:c>
      <x:c r="G126" s="2" t="inlineStr">
        <x:is>
          <x:t xml:space="preserve">V, S, M (a ball of bat guano and sulfur)</x:t>
        </x:is>
      </x:c>
      <x:c r="H126" s="2" t="inlineStr">
        <x:is>
          <x:t xml:space="preserve">Instantaneous</x:t>
        </x:is>
      </x:c>
      <x:c r="I126" s="2" t="inlineStr">
        <x:is>
          <x:t xml:space="preserve">A bright streak flashes from you to a point you choose within range and then blossoms with a low roar into a fiery explosion. Each creature in a 20-foot-radius Sphere centered on that point makes a Dexterity saving throw, taking 8d6 Fire damage on a failed save or half as much damage on a successful one. Flammable objects in the area that aren’t being worn or carried start burning. Using a Higher-Level Spell Slot. The damage increases by 1d6 for each spell slot level above 3. Otherworldly Steed Large Celestial, Fey, or Fiend (Your Choice), Neutral AC 10 + 1 per spell level HP 5 + 10 per spell level (the steed has a number of Hit Dice [d10s] equal to the spell’s level) Speed 60 ft., Fly 60 ft. (requires level 4+ spell) MOD SAVE MOD SAVE MOD SAVE Str 18 +4 +4 Dex 12 +1 +1 Con 14 +2 +2 Int 6 −2 −2 Wis 12 +1 +1 Cha 8 −1 −1 Senses Passive Perception 11 Languages Telepathy 1 mile (works only with you) CR None (XP 0; PB equals your Proficiency Bonus) Traits Life Bond. When you regain Hit Points from a level 1+ spell, the steed regains the same number of Hit Points if you’re within 5 feet of it. Actions Otherworldly Slam. Melee Attack Roll: Bonus equals your spell attack modifier, reach 5 ft. Hit: 1d8 plus the spell’s level of Radiant (Celestial), Psychic (Fey), or Necrotic (Fiend) damage. Bonus Actions Fell Glare (Fiend Only; Recharges after a Long Rest). Wisdom Saving Throw: DC equals your spell save DC, one creature within 60 feet the steed can see. Failure: The target has the Frightened condition until the end of your next turn. Fey Step (Fey Only; Recharges after a Long Rest). The steed teleports, along with its rider, to an unoccupied space of your choice up to 60 feet away from itself. Healing Touch (Celestial Only; Recharges after a Long Rest). One creature within 5 feet of the steed regains a number of Hit Points equal to 2d8 plus the spell’s level.</x:t>
        </x:is>
      </x:c>
      <x:c r="J126" s="2" t="inlineStr">
        <x:is>
          <x:t xml:space="preserve">SRD 5.2.1</x:t>
        </x:is>
      </x:c>
      <x:c r="K126" s="2" t="inlineStr">
        <x:is>
          <x:t xml:space="preserve">pp. 107-175</x:t>
        </x:is>
      </x:c>
    </x:row>
    <x:row r="127" ht="18" customHeight="1">
      <x:c r="A127" s="2" t="inlineStr">
        <x:is>
          <x:t xml:space="preserve">Find the Path</x:t>
        </x:is>
      </x:c>
      <x:c r="B127" s="2" t="inlineStr">
        <x:is>
          <x:t xml:space="preserve">6</x:t>
        </x:is>
      </x:c>
      <x:c r="C127" s="2" t="inlineStr">
        <x:is>
          <x:t xml:space="preserve">Divination</x:t>
        </x:is>
      </x:c>
      <x:c r="D127" s="2" t="inlineStr">
        <x:is>
          <x:t xml:space="preserve">Bard, Cleric, Druid</x:t>
        </x:is>
      </x:c>
      <x:c r="E127" s="2" t="inlineStr">
        <x:is>
          <x:t xml:space="preserve">1 minute</x:t>
        </x:is>
      </x:c>
      <x:c r="F127" s="2" t="inlineStr">
        <x:is>
          <x:t xml:space="preserve">Self</x:t>
        </x:is>
      </x:c>
      <x:c r="G127" s="2" t="inlineStr">
        <x:is>
          <x:t xml:space="preserve">V, S, M (a set of divination tools—such as</x:t>
        </x:is>
      </x:c>
      <x:c r="H127" s="2" t="inlineStr">
        <x:is>
          <x:t xml:space="preserve">Concentration, up to 1 day</x:t>
        </x:is>
      </x:c>
      <x:c r="I127" s="2" t="inlineStr">
        <x:is>
          <x:t xml:space="preserve">You magically sense the most direct physical route to a location you name. You must be familiar with the location, and the spell fails if you name a destination on another plane of existence, a moving destination (such as a mobile fortress), or an unspecific destination (such as “a green dragon’s lair”). For the duration, as long as you are on the same plane of existence as the destination, you know how far it is and in what direction it lies. Whenever you</x:t>
        </x:is>
      </x:c>
      <x:c r="J127" s="2" t="inlineStr">
        <x:is>
          <x:t xml:space="preserve">SRD 5.2.1</x:t>
        </x:is>
      </x:c>
      <x:c r="K127" s="2" t="inlineStr">
        <x:is>
          <x:t xml:space="preserve">pp. 107-175</x:t>
        </x:is>
      </x:c>
    </x:row>
    <x:row r="128" ht="18" customHeight="1">
      <x:c r="A128" s="2" t="inlineStr">
        <x:is>
          <x:t xml:space="preserve">Fire Bolt</x:t>
        </x:is>
      </x:c>
      <x:c r="B128" s="2" t="inlineStr">
        <x:is>
          <x:t xml:space="preserve">Cantrip</x:t>
        </x:is>
      </x:c>
      <x:c r="C128" s="2" t="inlineStr">
        <x:is>
          <x:t xml:space="preserve">Evocation</x:t>
        </x:is>
      </x:c>
      <x:c r="D128" s="2" t="inlineStr">
        <x:is>
          <x:t xml:space="preserve">Sorcerer, Wizard</x:t>
        </x:is>
      </x:c>
      <x:c r="E128" s="2" t="inlineStr">
        <x:is>
          <x:t xml:space="preserve">Action</x:t>
        </x:is>
      </x:c>
      <x:c r="F128" s="2" t="inlineStr">
        <x:is>
          <x:t xml:space="preserve">120 feet</x:t>
        </x:is>
      </x:c>
      <x:c r="G128" s="2" t="inlineStr">
        <x:is>
          <x:t xml:space="preserve">V, S</x:t>
        </x:is>
      </x:c>
      <x:c r="H128" s="2" t="inlineStr">
        <x:is>
          <x:t xml:space="preserve">Instantaneous</x:t>
        </x:is>
      </x:c>
      <x:c r="I128" s="2" t="inlineStr">
        <x:is>
          <x:t xml:space="preserve">You hurl a mote of fire at a creature or an object within range. Make a ranged spell attack against the target. On a hit, the target takes 1d10 Fire damage. A flammable object hit by this spell starts burning if</x:t>
        </x:is>
      </x:c>
      <x:c r="J128" s="2" t="inlineStr">
        <x:is>
          <x:t xml:space="preserve">SRD 5.2.1</x:t>
        </x:is>
      </x:c>
      <x:c r="K128" s="2" t="inlineStr">
        <x:is>
          <x:t xml:space="preserve">pp. 107-175</x:t>
        </x:is>
      </x:c>
    </x:row>
    <x:row r="129" ht="18" customHeight="1">
      <x:c r="A129" s="2" t="inlineStr">
        <x:is>
          <x:t xml:space="preserve">it isn’t being worn or carried.</x:t>
        </x:is>
      </x:c>
      <x:c r="B129" s="2" t="inlineStr">
        <x:is>
          <x:t xml:space="preserve">Cantrip</x:t>
        </x:is>
      </x:c>
      <x:c r="C129" s="2" t="inlineStr">
        <x:is>
          <x:t xml:space="preserve"/>
        </x:is>
      </x:c>
      <x:c r="D129" s="2" t="inlineStr">
        <x:is>
          <x:t xml:space="preserve"/>
        </x:is>
      </x:c>
      <x:c r="E129" s="2" t="inlineStr">
        <x:is>
          <x:t xml:space="preserve"/>
        </x:is>
      </x:c>
      <x:c r="F129" s="2" t="inlineStr">
        <x:is>
          <x:t xml:space="preserve"/>
        </x:is>
      </x:c>
      <x:c r="G129" s="2" t="inlineStr">
        <x:is>
          <x:t xml:space="preserve"/>
        </x:is>
      </x:c>
      <x:c r="H129" s="2" t="inlineStr">
        <x:is>
          <x:t xml:space="preserve"/>
        </x:is>
      </x:c>
      <x:c r="I129" s="2" t="inlineStr">
        <x:is>
          <x:t xml:space="preserve">it isn’t being worn or carried. Cantrip Upgrade. The damage increases by 1d10 when you reach levels 5 (2d10), 11 (3d10), and 17 (4d10).</x:t>
        </x:is>
      </x:c>
      <x:c r="J129" s="2" t="inlineStr">
        <x:is>
          <x:t xml:space="preserve">SRD 5.2.1</x:t>
        </x:is>
      </x:c>
      <x:c r="K129" s="2" t="inlineStr">
        <x:is>
          <x:t xml:space="preserve">pp. 107-175</x:t>
        </x:is>
      </x:c>
    </x:row>
    <x:row r="130" ht="18" customHeight="1">
      <x:c r="A130" s="2" t="inlineStr">
        <x:is>
          <x:t xml:space="preserve">Fire Shield</x:t>
        </x:is>
      </x:c>
      <x:c r="B130" s="2" t="inlineStr">
        <x:is>
          <x:t xml:space="preserve">4</x:t>
        </x:is>
      </x:c>
      <x:c r="C130" s="2" t="inlineStr">
        <x:is>
          <x:t xml:space="preserve">Evocation</x:t>
        </x:is>
      </x:c>
      <x:c r="D130" s="2" t="inlineStr">
        <x:is>
          <x:t xml:space="preserve">Druid, Sorcerer, Wizard</x:t>
        </x:is>
      </x:c>
      <x:c r="E130" s="2" t="inlineStr">
        <x:is>
          <x:t xml:space="preserve">Action</x:t>
        </x:is>
      </x:c>
      <x:c r="F130" s="2" t="inlineStr">
        <x:is>
          <x:t xml:space="preserve">Self</x:t>
        </x:is>
      </x:c>
      <x:c r="G130" s="2" t="inlineStr">
        <x:is>
          <x:t xml:space="preserve">V, S, M (a bit of phosphorus or a firefly)</x:t>
        </x:is>
      </x:c>
      <x:c r="H130" s="2" t="inlineStr">
        <x:is>
          <x:t xml:space="preserve">10 minutes</x:t>
        </x:is>
      </x:c>
      <x:c r="I130" s="2" t="inlineStr">
        <x:is>
          <x:t xml:space="preserve">Wispy flames wreathe your body for the duration, shedding Bright Light in a 10-foot radius and Dim Light for an additional 10 feet. The flames provide you with a warm shield or a chill shield, as you choose. The warm shield grants you Resistance to Cold damage, and the chill shield grants you Resistance to Fire damage. In addition, whenever a creature within 5 feet of you hits you with a melee attack roll, the shield erupts with flame. The attacker takes 2d8 Fire damage from a warm shield or 2d8 Cold damage from a chill shield.</x:t>
        </x:is>
      </x:c>
      <x:c r="J130" s="2" t="inlineStr">
        <x:is>
          <x:t xml:space="preserve">SRD 5.2.1</x:t>
        </x:is>
      </x:c>
      <x:c r="K130" s="2" t="inlineStr">
        <x:is>
          <x:t xml:space="preserve">pp. 107-175</x:t>
        </x:is>
      </x:c>
    </x:row>
    <x:row r="131" ht="18" customHeight="1">
      <x:c r="A131" s="2" t="inlineStr">
        <x:is>
          <x:t xml:space="preserve">Fire Storm</x:t>
        </x:is>
      </x:c>
      <x:c r="B131" s="2" t="inlineStr">
        <x:is>
          <x:t xml:space="preserve">7</x:t>
        </x:is>
      </x:c>
      <x:c r="C131" s="2" t="inlineStr">
        <x:is>
          <x:t xml:space="preserve">Evocation</x:t>
        </x:is>
      </x:c>
      <x:c r="D131" s="2" t="inlineStr">
        <x:is>
          <x:t xml:space="preserve">Cleric, Druid, Sorcerer</x:t>
        </x:is>
      </x:c>
      <x:c r="E131" s="2" t="inlineStr">
        <x:is>
          <x:t xml:space="preserve">Action</x:t>
        </x:is>
      </x:c>
      <x:c r="F131" s="2" t="inlineStr">
        <x:is>
          <x:t xml:space="preserve">150 feet</x:t>
        </x:is>
      </x:c>
      <x:c r="G131" s="2" t="inlineStr">
        <x:is>
          <x:t xml:space="preserve">V, S</x:t>
        </x:is>
      </x:c>
      <x:c r="H131" s="2" t="inlineStr">
        <x:is>
          <x:t xml:space="preserve">Instantaneous</x:t>
        </x:is>
      </x:c>
      <x:c r="I131" s="2" t="inlineStr">
        <x:is>
          <x:t xml:space="preserve">A storm of fire appears within range. The area of the storm consists of up to ten 10-foot Cubes, which you arrange as you like. Each Cube must be contiguous with at least one other Cube. Each creature in the area makes a Dexterity saving throw, taking 7d10 Fire damage on a failed save or half as much damage on a successful one. Flammable objects in the area that aren’t being worn or carried start burning.</x:t>
        </x:is>
      </x:c>
      <x:c r="J131" s="2" t="inlineStr">
        <x:is>
          <x:t xml:space="preserve">SRD 5.2.1</x:t>
        </x:is>
      </x:c>
      <x:c r="K131" s="2" t="inlineStr">
        <x:is>
          <x:t xml:space="preserve">pp. 107-175</x:t>
        </x:is>
      </x:c>
    </x:row>
    <x:row r="132" ht="18" customHeight="1">
      <x:c r="A132" s="2" t="inlineStr">
        <x:is>
          <x:t xml:space="preserve">Flame Blade</x:t>
        </x:is>
      </x:c>
      <x:c r="B132" s="2" t="inlineStr">
        <x:is>
          <x:t xml:space="preserve">2</x:t>
        </x:is>
      </x:c>
      <x:c r="C132" s="2" t="inlineStr">
        <x:is>
          <x:t xml:space="preserve">Evocation</x:t>
        </x:is>
      </x:c>
      <x:c r="D132" s="2" t="inlineStr">
        <x:is>
          <x:t xml:space="preserve">Druid, Sorcerer</x:t>
        </x:is>
      </x:c>
      <x:c r="E132" s="2" t="inlineStr">
        <x:is>
          <x:t xml:space="preserve">Bonus Action</x:t>
        </x:is>
      </x:c>
      <x:c r="F132" s="2" t="inlineStr">
        <x:is>
          <x:t xml:space="preserve">Self</x:t>
        </x:is>
      </x:c>
      <x:c r="G132" s="2" t="inlineStr">
        <x:is>
          <x:t xml:space="preserve">V, S, M (a sumac leaf)</x:t>
        </x:is>
      </x:c>
      <x:c r="H132" s="2" t="inlineStr">
        <x:is>
          <x:t xml:space="preserve">Concentration, up to 10 minutes</x:t>
        </x:is>
      </x:c>
      <x:c r="I132" s="2" t="inlineStr">
        <x:is>
          <x:t xml:space="preserve">You evoke a fiery blade in your free hand. The blade is similar in size and shape to a scimitar, and it lasts for the duration. If you let go of the blade, it disappears, but you can evoke it again as a Bonus Action. As a Magic action, you can make a melee spell attack with the fiery blade. On a hit, the target takes Fire damage equal to 3d6 plus your spellcasting ability modifier. The flaming blade sheds Bright Light in a 10-foot radius and Dim Light for an additional 10 feet. Using a Higher-Level Spell Slot. The damage increases by 1d6 for each spell slot level above 2.</x:t>
        </x:is>
      </x:c>
      <x:c r="J132" s="2" t="inlineStr">
        <x:is>
          <x:t xml:space="preserve">SRD 5.2.1</x:t>
        </x:is>
      </x:c>
      <x:c r="K132" s="2" t="inlineStr">
        <x:is>
          <x:t xml:space="preserve">pp. 107-175</x:t>
        </x:is>
      </x:c>
    </x:row>
    <x:row r="133" ht="18" customHeight="1">
      <x:c r="A133" s="2" t="inlineStr">
        <x:is>
          <x:t xml:space="preserve">Flame Strike</x:t>
        </x:is>
      </x:c>
      <x:c r="B133" s="2" t="inlineStr">
        <x:is>
          <x:t xml:space="preserve">5</x:t>
        </x:is>
      </x:c>
      <x:c r="C133" s="2" t="inlineStr">
        <x:is>
          <x:t xml:space="preserve">Evocation</x:t>
        </x:is>
      </x:c>
      <x:c r="D133" s="2" t="inlineStr">
        <x:is>
          <x:t xml:space="preserve">Cleric</x:t>
        </x:is>
      </x:c>
      <x:c r="E133" s="2" t="inlineStr">
        <x:is>
          <x:t xml:space="preserve">Action</x:t>
        </x:is>
      </x:c>
      <x:c r="F133" s="2" t="inlineStr">
        <x:is>
          <x:t xml:space="preserve">60 feet</x:t>
        </x:is>
      </x:c>
      <x:c r="G133" s="2" t="inlineStr">
        <x:is>
          <x:t xml:space="preserve">V, S, M (a pinch of sulfur)</x:t>
        </x:is>
      </x:c>
      <x:c r="H133" s="2" t="inlineStr">
        <x:is>
          <x:t xml:space="preserve">Instantaneous</x:t>
        </x:is>
      </x:c>
      <x:c r="I133" s="2" t="inlineStr">
        <x:is>
          <x:t xml:space="preserve">A vertical column of brilliant fire roars down from above. Each creature in a 10-foot-radius, 40-foothigh Cylinder centered on a point within range makes a Dexterity saving throw, taking 5d6 Fire damage and 5d6 Radiant damage on a failed save or half as much damage on a successful one. Using a Higher-Level Spell Slot. The Fire damage and the Radiant damage increase by 1d6 for each spell slot level above 5.</x:t>
        </x:is>
      </x:c>
      <x:c r="J133" s="2" t="inlineStr">
        <x:is>
          <x:t xml:space="preserve">SRD 5.2.1</x:t>
        </x:is>
      </x:c>
      <x:c r="K133" s="2" t="inlineStr">
        <x:is>
          <x:t xml:space="preserve">pp. 107-175</x:t>
        </x:is>
      </x:c>
    </x:row>
    <x:row r="134" ht="18" customHeight="1">
      <x:c r="A134" s="2" t="inlineStr">
        <x:is>
          <x:t xml:space="preserve">Flaming Sphere</x:t>
        </x:is>
      </x:c>
      <x:c r="B134" s="2" t="inlineStr">
        <x:is>
          <x:t xml:space="preserve">2</x:t>
        </x:is>
      </x:c>
      <x:c r="C134" s="2" t="inlineStr">
        <x:is>
          <x:t xml:space="preserve">Conjuration</x:t>
        </x:is>
      </x:c>
      <x:c r="D134" s="2" t="inlineStr">
        <x:is>
          <x:t xml:space="preserve">Druid, Sorcerer, Wizard</x:t>
        </x:is>
      </x:c>
      <x:c r="E134" s="2" t="inlineStr">
        <x:is>
          <x:t xml:space="preserve">Action</x:t>
        </x:is>
      </x:c>
      <x:c r="F134" s="2" t="inlineStr">
        <x:is>
          <x:t xml:space="preserve">60 feet</x:t>
        </x:is>
      </x:c>
      <x:c r="G134" s="2" t="inlineStr">
        <x:is>
          <x:t xml:space="preserve">V, S, M (a ball of wax)</x:t>
        </x:is>
      </x:c>
      <x:c r="H134" s="2" t="inlineStr">
        <x:is>
          <x:t xml:space="preserve">Concentration, up to 1 minute</x:t>
        </x:is>
      </x:c>
      <x:c r="I134" s="2" t="inlineStr">
        <x:is>
          <x:t xml:space="preserve">You create a 5-foot-diameter sphere of fire in an unoccupied space on the ground within range. It lasts for the duration. Any creature that ends its turn within 5 feet of the sphere makes a Dexterity saving throw, taking 2d6 Fire damage on a failed save or half as much damage on a successful one. As a Bonus Action, you can move the sphere up to 30 feet, rolling it along the ground. If you move the sphere into a creature’s space, that creature makes the save against the sphere, and the sphere stops moving for the turn. When you move the sphere, you can direct it over barriers up to 5 feet tall and jump it across pits up to 10 feet wide. Flammable objects that aren’t being worn or carried start burning if touched by the sphere, and it sheds Bright Light in a 20-foot radius and Dim Light for an additional 20 feet. Using a Higher-Level Spell Slot. The damage increases by 1d6 for each spell slot level above 2.</x:t>
        </x:is>
      </x:c>
      <x:c r="J134" s="2" t="inlineStr">
        <x:is>
          <x:t xml:space="preserve">SRD 5.2.1</x:t>
        </x:is>
      </x:c>
      <x:c r="K134" s="2" t="inlineStr">
        <x:is>
          <x:t xml:space="preserve">pp. 107-175</x:t>
        </x:is>
      </x:c>
    </x:row>
    <x:row r="135" ht="18" customHeight="1">
      <x:c r="A135" s="2" t="inlineStr">
        <x:is>
          <x:t xml:space="preserve">Flesh to Stone</x:t>
        </x:is>
      </x:c>
      <x:c r="B135" s="2" t="inlineStr">
        <x:is>
          <x:t xml:space="preserve">6</x:t>
        </x:is>
      </x:c>
      <x:c r="C135" s="2" t="inlineStr">
        <x:is>
          <x:t xml:space="preserve">Transmutation</x:t>
        </x:is>
      </x:c>
      <x:c r="D135" s="2" t="inlineStr">
        <x:is>
          <x:t xml:space="preserve">Druid, Sorcerer, Wizard</x:t>
        </x:is>
      </x:c>
      <x:c r="E135" s="2" t="inlineStr">
        <x:is>
          <x:t xml:space="preserve">Action</x:t>
        </x:is>
      </x:c>
      <x:c r="F135" s="2" t="inlineStr">
        <x:is>
          <x:t xml:space="preserve">60 feet</x:t>
        </x:is>
      </x:c>
      <x:c r="G135" s="2" t="inlineStr">
        <x:is>
          <x:t xml:space="preserve">V, S, M (a cockatrice feather)</x:t>
        </x:is>
      </x:c>
      <x:c r="H135" s="2" t="inlineStr">
        <x:is>
          <x:t xml:space="preserve">Concentration, up to 1 minute</x:t>
        </x:is>
      </x:c>
      <x:c r="I135" s="2" t="inlineStr">
        <x:is>
          <x:t xml:space="preserve">You attempt to turn one creature that you can see within range into stone. The target makes a Constitution saving throw. On a failed save, it has the Restrained condition for the duration. On a successful save, its Speed is 0 until the start of your next turn. Constructs automatically succeed on the save. A Restrained target makes another Constitution saving throw at the end of each of its turns. If it successfully saves against this spell three times, the spell ends. If it fails its saves three times, it is turned to stone and has the Petrified condition for the duration. The successes and failures needn’t be consecutive; keep track of both until the target collects three of a kind. If you maintain your Concentration on this spell for the entire possible duration, the target is Petrified until the condition is ended by Greater Restoration or similar magic.</x:t>
        </x:is>
      </x:c>
      <x:c r="J135" s="2" t="inlineStr">
        <x:is>
          <x:t xml:space="preserve">SRD 5.2.1</x:t>
        </x:is>
      </x:c>
      <x:c r="K135" s="2" t="inlineStr">
        <x:is>
          <x:t xml:space="preserve">pp. 107-175</x:t>
        </x:is>
      </x:c>
    </x:row>
    <x:row r="136" ht="18" customHeight="1">
      <x:c r="A136" s="2" t="inlineStr">
        <x:is>
          <x:t xml:space="preserve">Floating Disk</x:t>
        </x:is>
      </x:c>
      <x:c r="B136" s="2" t="inlineStr">
        <x:is>
          <x:t xml:space="preserve">1</x:t>
        </x:is>
      </x:c>
      <x:c r="C136" s="2" t="inlineStr">
        <x:is>
          <x:t xml:space="preserve">Conjuration</x:t>
        </x:is>
      </x:c>
      <x:c r="D136" s="2" t="inlineStr">
        <x:is>
          <x:t xml:space="preserve">Wizard</x:t>
        </x:is>
      </x:c>
      <x:c r="E136" s="2" t="inlineStr">
        <x:is>
          <x:t xml:space="preserve">Action or Ritual</x:t>
        </x:is>
      </x:c>
      <x:c r="F136" s="2" t="inlineStr">
        <x:is>
          <x:t xml:space="preserve">30 feet</x:t>
        </x:is>
      </x:c>
      <x:c r="G136" s="2" t="inlineStr">
        <x:is>
          <x:t xml:space="preserve">V, S, M (a drop of mercury)</x:t>
        </x:is>
      </x:c>
      <x:c r="H136" s="2" t="inlineStr">
        <x:is>
          <x:t xml:space="preserve">1 hour</x:t>
        </x:is>
      </x:c>
      <x:c r="I136" s="2" t="inlineStr">
        <x:is>
          <x:t xml:space="preserve">This spell creates a circular, horizontal plane of force, 3 feet in diameter and 1 inch thick, that floats 3 feet above the ground in an unoccupied space of your choice that you can see within range. The disk remains for the duration and can hold up to 500 pounds. If more weight is placed on it, the spell ends, and everything on the disk falls to the ground. The disk is immobile while you are within 20 feet of it. If you move more than 20 feet away from it, the disk follows you so that it remains within 20 feet of you. It can move across uneven terrain, up or down stairs, slopes and the like, but it can’t cross an elevation change of 10 feet or more. For example, the disk can’t move across a 10-foot-deep pit, nor could it leave such a pit if it was created at the bottom. If you move more than 100 feet from the disk (typically because it can’t move around an obstacle to follow you), the spell ends.</x:t>
        </x:is>
      </x:c>
      <x:c r="J136" s="2" t="inlineStr">
        <x:is>
          <x:t xml:space="preserve">SRD 5.2.1</x:t>
        </x:is>
      </x:c>
      <x:c r="K136" s="2" t="inlineStr">
        <x:is>
          <x:t xml:space="preserve">pp. 107-175</x:t>
        </x:is>
      </x:c>
    </x:row>
    <x:row r="137" ht="18" customHeight="1">
      <x:c r="A137" s="2" t="inlineStr">
        <x:is>
          <x:t xml:space="preserve">Fly</x:t>
        </x:is>
      </x:c>
      <x:c r="B137" s="2" t="inlineStr">
        <x:is>
          <x:t xml:space="preserve">3</x:t>
        </x:is>
      </x:c>
      <x:c r="C137" s="2" t="inlineStr">
        <x:is>
          <x:t xml:space="preserve">Transmutation</x:t>
        </x:is>
      </x:c>
      <x:c r="D137" s="2" t="inlineStr">
        <x:is>
          <x:t xml:space="preserve">Sorcerer, Warlock, Wizard</x:t>
        </x:is>
      </x:c>
      <x:c r="E137" s="2" t="inlineStr">
        <x:is>
          <x:t xml:space="preserve">Action</x:t>
        </x:is>
      </x:c>
      <x:c r="F137" s="2" t="inlineStr">
        <x:is>
          <x:t xml:space="preserve">Touch</x:t>
        </x:is>
      </x:c>
      <x:c r="G137" s="2" t="inlineStr">
        <x:is>
          <x:t xml:space="preserve">V, S, M (a feather)</x:t>
        </x:is>
      </x:c>
      <x:c r="H137" s="2" t="inlineStr">
        <x:is>
          <x:t xml:space="preserve">Concentration, up to 10 minutes</x:t>
        </x:is>
      </x:c>
      <x:c r="I137" s="2" t="inlineStr">
        <x:is>
          <x:t xml:space="preserve">You touch a willing creature. For the duration, the target gains a Fly Speed of 60 feet and can hover. When the spell ends, the target falls if it is still aloft unless it can stop the fall. Using a Higher-Level Spell Slot. You can target one additional creature for each spell slot level above 3.</x:t>
        </x:is>
      </x:c>
      <x:c r="J137" s="2" t="inlineStr">
        <x:is>
          <x:t xml:space="preserve">SRD 5.2.1</x:t>
        </x:is>
      </x:c>
      <x:c r="K137" s="2" t="inlineStr">
        <x:is>
          <x:t xml:space="preserve">pp. 107-175</x:t>
        </x:is>
      </x:c>
    </x:row>
    <x:row r="138" ht="18" customHeight="1">
      <x:c r="A138" s="2" t="inlineStr">
        <x:is>
          <x:t xml:space="preserve">Fog Cloud</x:t>
        </x:is>
      </x:c>
      <x:c r="B138" s="2" t="inlineStr">
        <x:is>
          <x:t xml:space="preserve">1</x:t>
        </x:is>
      </x:c>
      <x:c r="C138" s="2" t="inlineStr">
        <x:is>
          <x:t xml:space="preserve">Conjuration</x:t>
        </x:is>
      </x:c>
      <x:c r="D138" s="2" t="inlineStr">
        <x:is>
          <x:t xml:space="preserve">Druid, Ranger, Sorcerer, Wizard</x:t>
        </x:is>
      </x:c>
      <x:c r="E138" s="2" t="inlineStr">
        <x:is>
          <x:t xml:space="preserve">Action</x:t>
        </x:is>
      </x:c>
      <x:c r="F138" s="2" t="inlineStr">
        <x:is>
          <x:t xml:space="preserve">120 feet</x:t>
        </x:is>
      </x:c>
      <x:c r="G138" s="2" t="inlineStr">
        <x:is>
          <x:t xml:space="preserve">V, S</x:t>
        </x:is>
      </x:c>
      <x:c r="H138" s="2" t="inlineStr">
        <x:is>
          <x:t xml:space="preserve">Concentration, up to 1 hour</x:t>
        </x:is>
      </x:c>
      <x:c r="I138" s="2" t="inlineStr">
        <x:is>
          <x:t xml:space="preserve">You create a 20-foot-radius Sphere of fog centered on a point within range. The Sphere is Heavily Obscured. It lasts for the duration or until a strong wind (such as one created by Gust of Wind) disperses it. Using a Higher-Level Spell Slot. The fog’s radius increases by 20 feet for each spell slot level above 1.</x:t>
        </x:is>
      </x:c>
      <x:c r="J138" s="2" t="inlineStr">
        <x:is>
          <x:t xml:space="preserve">SRD 5.2.1</x:t>
        </x:is>
      </x:c>
      <x:c r="K138" s="2" t="inlineStr">
        <x:is>
          <x:t xml:space="preserve">pp. 107-175</x:t>
        </x:is>
      </x:c>
    </x:row>
    <x:row r="139" ht="18" customHeight="1">
      <x:c r="A139" s="2" t="inlineStr">
        <x:is>
          <x:t xml:space="preserve">Forbiddance</x:t>
        </x:is>
      </x:c>
      <x:c r="B139" s="2" t="inlineStr">
        <x:is>
          <x:t xml:space="preserve">6</x:t>
        </x:is>
      </x:c>
      <x:c r="C139" s="2" t="inlineStr">
        <x:is>
          <x:t xml:space="preserve">Abjuration</x:t>
        </x:is>
      </x:c>
      <x:c r="D139" s="2" t="inlineStr">
        <x:is>
          <x:t xml:space="preserve">Cleric</x:t>
        </x:is>
      </x:c>
      <x:c r="E139" s="2" t="inlineStr">
        <x:is>
          <x:t xml:space="preserve">10 minutes or Ritual</x:t>
        </x:is>
      </x:c>
      <x:c r="F139" s="2" t="inlineStr">
        <x:is>
          <x:t xml:space="preserve">Touch</x:t>
        </x:is>
      </x:c>
      <x:c r="G139" s="2" t="inlineStr">
        <x:is>
          <x:t xml:space="preserve">V, S, M (ruby dust worth 1,000+ GP)</x:t>
        </x:is>
      </x:c>
      <x:c r="H139" s="2" t="inlineStr">
        <x:is>
          <x:t xml:space="preserve">1 day</x:t>
        </x:is>
      </x:c>
      <x:c r="I139" s="2" t="inlineStr">
        <x:is>
          <x:t xml:space="preserve">You create a ward against magical travel that protects up to 40,000 square feet of floor space to a height of 30 feet above the floor. For the duration, creatures can’t teleport into the area or use portals, such as those created by the Gate spell, to enter the area. The spell proofs the area against planar travel, and therefore prevents creatures from accessing the area by way of the Astral Plane, the Ethereal Plane, the Feywild, the Shadowfell, or the Plane Shift spell. In addition, the spell damages types of creatures that you choose when you cast it. Choose one or more of the following: Aberrations, Celestials, Elementals, Fey, Fiends, and Undead. When a creature of a chosen type enters the spell’s area for the first time on a turn or ends its turn there, the creature takes 5d10 Radiant or Necrotic damage (your choice when you cast this spell). You can designate a password when you cast the spell. A creature that speaks the password as it enters the area takes no damage from the spell. The spell’s area can’t overlap with the area of another Forbiddance spell. If you cast Forbiddance every day for 30 days in the same location, the spell lasts until it is dispelled, and the Material components are consumed on the last casting.</x:t>
        </x:is>
      </x:c>
      <x:c r="J139" s="2" t="inlineStr">
        <x:is>
          <x:t xml:space="preserve">SRD 5.2.1</x:t>
        </x:is>
      </x:c>
      <x:c r="K139" s="2" t="inlineStr">
        <x:is>
          <x:t xml:space="preserve">pp. 107-175</x:t>
        </x:is>
      </x:c>
    </x:row>
    <x:row r="140" ht="18" customHeight="1">
      <x:c r="A140" s="2" t="inlineStr">
        <x:is>
          <x:t xml:space="preserve">Forcecage</x:t>
        </x:is>
      </x:c>
      <x:c r="B140" s="2" t="inlineStr">
        <x:is>
          <x:t xml:space="preserve">7</x:t>
        </x:is>
      </x:c>
      <x:c r="C140" s="2" t="inlineStr">
        <x:is>
          <x:t xml:space="preserve">Evocation</x:t>
        </x:is>
      </x:c>
      <x:c r="D140" s="2" t="inlineStr">
        <x:is>
          <x:t xml:space="preserve">Bard, Warlock, Wizard</x:t>
        </x:is>
      </x:c>
      <x:c r="E140" s="2" t="inlineStr">
        <x:is>
          <x:t xml:space="preserve">Action</x:t>
        </x:is>
      </x:c>
      <x:c r="F140" s="2" t="inlineStr">
        <x:is>
          <x:t xml:space="preserve">100 feet</x:t>
        </x:is>
      </x:c>
      <x:c r="G140" s="2" t="inlineStr">
        <x:is>
          <x:t xml:space="preserve">V, S, M (ruby dust worth 1,500+ GP,</x:t>
        </x:is>
      </x:c>
      <x:c r="H140" s="2" t="inlineStr">
        <x:is>
          <x:t xml:space="preserve">Concentration, up to 1 hour</x:t>
        </x:is>
      </x:c>
      <x:c r="I140" s="2" t="inlineStr">
        <x:is>
          <x:t xml:space="preserve">An immobile, Invisible, Cube-shaped prison composed of magical force springs into existence around an area you choose within range. The prison can be a cage or a solid box, as you choose. A prison in the shape of a cage can be up to 20 feet on a side and is made from 1/2-inch diameter bars spaced 1/2 inch apart. A prison in the shape of a box can be up to 10 feet on a side, creating a solid barrier that prevents any matter from passing through it and blocking any spells cast into or out from the area. When you cast the spell, any creature that is completely inside the cage’s area is trapped. Creatures only partially within the area, or those too large to fit inside it, are pushed away from the center of the area until they are completely outside it. A creature inside the cage can’t leave it by nonmagical means. If the creature tries to use teleportation or interplanar travel to leave, it must first make a Charisma saving throw. On a successful save, the creature can use that magic to exit the cage. On a failed save, the creature doesn’t exit the cage and wastes the spell or effect. The cage also extends into the Ethereal Plane, blocking ethereal travel. This spell can’t be dispelled by Dispel Magic.</x:t>
        </x:is>
      </x:c>
      <x:c r="J140" s="2" t="inlineStr">
        <x:is>
          <x:t xml:space="preserve">SRD 5.2.1</x:t>
        </x:is>
      </x:c>
      <x:c r="K140" s="2" t="inlineStr">
        <x:is>
          <x:t xml:space="preserve">pp. 107-175</x:t>
        </x:is>
      </x:c>
    </x:row>
    <x:row r="141" ht="18" customHeight="1">
      <x:c r="A141" s="2" t="inlineStr">
        <x:is>
          <x:t xml:space="preserve">Foresight</x:t>
        </x:is>
      </x:c>
      <x:c r="B141" s="2" t="inlineStr">
        <x:is>
          <x:t xml:space="preserve">9</x:t>
        </x:is>
      </x:c>
      <x:c r="C141" s="2" t="inlineStr">
        <x:is>
          <x:t xml:space="preserve">Divination</x:t>
        </x:is>
      </x:c>
      <x:c r="D141" s="2" t="inlineStr">
        <x:is>
          <x:t xml:space="preserve">Bard, Druid, Warlock, Wizard</x:t>
        </x:is>
      </x:c>
      <x:c r="E141" s="2" t="inlineStr">
        <x:is>
          <x:t xml:space="preserve">1 minute</x:t>
        </x:is>
      </x:c>
      <x:c r="F141" s="2" t="inlineStr">
        <x:is>
          <x:t xml:space="preserve">Touch</x:t>
        </x:is>
      </x:c>
      <x:c r="G141" s="2" t="inlineStr">
        <x:is>
          <x:t xml:space="preserve">V, S, M (a hummingbird feather)</x:t>
        </x:is>
      </x:c>
      <x:c r="H141" s="2" t="inlineStr">
        <x:is>
          <x:t xml:space="preserve">8 hours</x:t>
        </x:is>
      </x:c>
      <x:c r="I141" s="2" t="inlineStr">
        <x:is>
          <x:t xml:space="preserve">You touch a willing creature and bestow a limited ability to see into the immediate future. For the duration, the target has Advantage on D20 Tests, and other creatures have Disadvantage on attack rolls against it. The spell ends early if you cast it again.</x:t>
        </x:is>
      </x:c>
      <x:c r="J141" s="2" t="inlineStr">
        <x:is>
          <x:t xml:space="preserve">SRD 5.2.1</x:t>
        </x:is>
      </x:c>
      <x:c r="K141" s="2" t="inlineStr">
        <x:is>
          <x:t xml:space="preserve">pp. 107-175</x:t>
        </x:is>
      </x:c>
    </x:row>
    <x:row r="142" ht="18" customHeight="1">
      <x:c r="A142" s="2" t="inlineStr">
        <x:is>
          <x:t xml:space="preserve">Freedom of Movement</x:t>
        </x:is>
      </x:c>
      <x:c r="B142" s="2" t="inlineStr">
        <x:is>
          <x:t xml:space="preserve">4</x:t>
        </x:is>
      </x:c>
      <x:c r="C142" s="2" t="inlineStr">
        <x:is>
          <x:t xml:space="preserve">Abjuration</x:t>
        </x:is>
      </x:c>
      <x:c r="D142" s="2" t="inlineStr">
        <x:is>
          <x:t xml:space="preserve">Bard, Cleric, Druid, Ranger</x:t>
        </x:is>
      </x:c>
      <x:c r="E142" s="2" t="inlineStr">
        <x:is>
          <x:t xml:space="preserve">Action</x:t>
        </x:is>
      </x:c>
      <x:c r="F142" s="2" t="inlineStr">
        <x:is>
          <x:t xml:space="preserve">Touch</x:t>
        </x:is>
      </x:c>
      <x:c r="G142" s="2" t="inlineStr">
        <x:is>
          <x:t xml:space="preserve">V, S, M (a leather strap)</x:t>
        </x:is>
      </x:c>
      <x:c r="H142" s="2" t="inlineStr">
        <x:is>
          <x:t xml:space="preserve">1 hour</x:t>
        </x:is>
      </x:c>
      <x:c r="I142" s="2" t="inlineStr">
        <x:is>
          <x:t xml:space="preserve">You touch a willing creature. For the duration, the target’s movement is unaffected by Difficult Terrain, and spells and other magical effects can neither reduce the target’s Speed nor cause the target to have the Paralyzed or Restrained conditions. The target also has a Swim Speed equal to its Speed. In addition, the target can spend 5 feet of movement to automatically escape from nonmagical restraints, such as manacles or a creature imposing the Grappled condition on it. Using a Higher-Level Spell Slot. You can target one additional creature for each spell slot level above 4.</x:t>
        </x:is>
      </x:c>
      <x:c r="J142" s="2" t="inlineStr">
        <x:is>
          <x:t xml:space="preserve">SRD 5.2.1</x:t>
        </x:is>
      </x:c>
      <x:c r="K142" s="2" t="inlineStr">
        <x:is>
          <x:t xml:space="preserve">pp. 107-175</x:t>
        </x:is>
      </x:c>
    </x:row>
    <x:row r="143" ht="18" customHeight="1">
      <x:c r="A143" s="2" t="inlineStr">
        <x:is>
          <x:t xml:space="preserve">Freezing Sphere</x:t>
        </x:is>
      </x:c>
      <x:c r="B143" s="2" t="inlineStr">
        <x:is>
          <x:t xml:space="preserve">6</x:t>
        </x:is>
      </x:c>
      <x:c r="C143" s="2" t="inlineStr">
        <x:is>
          <x:t xml:space="preserve">Evocation</x:t>
        </x:is>
      </x:c>
      <x:c r="D143" s="2" t="inlineStr">
        <x:is>
          <x:t xml:space="preserve">Sorcerer, Wizard</x:t>
        </x:is>
      </x:c>
      <x:c r="E143" s="2" t="inlineStr">
        <x:is>
          <x:t xml:space="preserve">Action</x:t>
        </x:is>
      </x:c>
      <x:c r="F143" s="2" t="inlineStr">
        <x:is>
          <x:t xml:space="preserve">300 feet</x:t>
        </x:is>
      </x:c>
      <x:c r="G143" s="2" t="inlineStr">
        <x:is>
          <x:t xml:space="preserve">V, S, M (a miniature crystal sphere)</x:t>
        </x:is>
      </x:c>
      <x:c r="H143" s="2" t="inlineStr">
        <x:is>
          <x:t xml:space="preserve">Instantaneous</x:t>
        </x:is>
      </x:c>
      <x:c r="I143" s="2" t="inlineStr">
        <x:is>
          <x:t xml:space="preserve">A frigid globe streaks from you to a point of your choice within range, where it explodes in a 60-foot-radius Sphere. Each creature in that area makes a Constitution saving throw, taking 10d6 Cold damage on failed save or half as much damage on a successful one. If the globe strikes a body of water, it freezes the water to a depth of 6 inches over an area 30 feet square. This ice lasts for 1 minute. Creatures that were swimming on the surface of frozen water are trapped in the ice and have the Restrained condition. A trapped creature can take an action to make a Strength (Athletics) check against your spell save DC to break free. You can refrain from firing the globe after completing the spell’s casting. If you do so, a globe about the size of a sling bullet, cool to the touch, appears in your hand. At any time, you or a creature you give the globe to can throw the globe (to a range of 40 feet) or hurl it with a sling (to the sling’s normal range). It shatters on impact, with the same effect as a normal casting of the spell. You can also set the globe down without shattering it. After 1 minute, if the globe hasn’t already shattered, it explodes. Using a Higher-Level Spell Slot. The damage increases by 1d6 for each spell slot level above 6.</x:t>
        </x:is>
      </x:c>
      <x:c r="J143" s="2" t="inlineStr">
        <x:is>
          <x:t xml:space="preserve">SRD 5.2.1</x:t>
        </x:is>
      </x:c>
      <x:c r="K143" s="2" t="inlineStr">
        <x:is>
          <x:t xml:space="preserve">pp. 107-175</x:t>
        </x:is>
      </x:c>
    </x:row>
    <x:row r="144" ht="18" customHeight="1">
      <x:c r="A144" s="2" t="inlineStr">
        <x:is>
          <x:t xml:space="preserve">Gaseous Form</x:t>
        </x:is>
      </x:c>
      <x:c r="B144" s="2" t="inlineStr">
        <x:is>
          <x:t xml:space="preserve">3</x:t>
        </x:is>
      </x:c>
      <x:c r="C144" s="2" t="inlineStr">
        <x:is>
          <x:t xml:space="preserve">Transmutation</x:t>
        </x:is>
      </x:c>
      <x:c r="D144" s="2" t="inlineStr">
        <x:is>
          <x:t xml:space="preserve">Sorcerer, Warlock, Wizard</x:t>
        </x:is>
      </x:c>
      <x:c r="E144" s="2" t="inlineStr">
        <x:is>
          <x:t xml:space="preserve">Action</x:t>
        </x:is>
      </x:c>
      <x:c r="F144" s="2" t="inlineStr">
        <x:is>
          <x:t xml:space="preserve">Touch</x:t>
        </x:is>
      </x:c>
      <x:c r="G144" s="2" t="inlineStr">
        <x:is>
          <x:t xml:space="preserve">V, S, M (a bit of gauze)</x:t>
        </x:is>
      </x:c>
      <x:c r="H144" s="2" t="inlineStr">
        <x:is>
          <x:t xml:space="preserve">Concentration, up to 1 hour</x:t>
        </x:is>
      </x:c>
      <x:c r="I144" s="2" t="inlineStr">
        <x:is>
          <x:t xml:space="preserve">A willing creature you touch shape-shifts, along with everything it’s wearing and carrying, into a misty cloud for the duration. The spell ends on the target if it drops to 0 Hit Points or if it takes a Magic action to end the spell on itself. While in this form, the target’s only method of movement is a Fly Speed of 10 feet, and it can hover. The target can enter and occupy the space of another creature. The target has Resistance to Bludgeoning, Piercing, and Slashing damage; it has Immunity to the Prone condition; and it has Advantage on Strength, Dexterity, and Constitution saving throws. The target can pass through narrow openings, but it treats liquids as though they were solid surfaces. The target can’t talk or manipulate objects, and any objects it was carrying or holding can’t be dropped, used, or otherwise interacted with. Finally, the target can’t attack or cast spells. Using a Higher-Level Spell Slot. You can target one additional creature for each spell slot level above 3.</x:t>
        </x:is>
      </x:c>
      <x:c r="J144" s="2" t="inlineStr">
        <x:is>
          <x:t xml:space="preserve">SRD 5.2.1</x:t>
        </x:is>
      </x:c>
      <x:c r="K144" s="2" t="inlineStr">
        <x:is>
          <x:t xml:space="preserve">pp. 107-175</x:t>
        </x:is>
      </x:c>
    </x:row>
    <x:row r="145" ht="18" customHeight="1">
      <x:c r="A145" s="2" t="inlineStr">
        <x:is>
          <x:t xml:space="preserve">Gate</x:t>
        </x:is>
      </x:c>
      <x:c r="B145" s="2" t="inlineStr">
        <x:is>
          <x:t xml:space="preserve">9</x:t>
        </x:is>
      </x:c>
      <x:c r="C145" s="2" t="inlineStr">
        <x:is>
          <x:t xml:space="preserve">Conjuration</x:t>
        </x:is>
      </x:c>
      <x:c r="D145" s="2" t="inlineStr">
        <x:is>
          <x:t xml:space="preserve">Cleric, Sorcerer, Warlock, Wizard</x:t>
        </x:is>
      </x:c>
      <x:c r="E145" s="2" t="inlineStr">
        <x:is>
          <x:t xml:space="preserve">Action</x:t>
        </x:is>
      </x:c>
      <x:c r="F145" s="2" t="inlineStr">
        <x:is>
          <x:t xml:space="preserve">60 feet</x:t>
        </x:is>
      </x:c>
      <x:c r="G145" s="2" t="inlineStr">
        <x:is>
          <x:t xml:space="preserve">V, S, M (a diamond worth 5,000+ GP)</x:t>
        </x:is>
      </x:c>
      <x:c r="H145" s="2" t="inlineStr">
        <x:is>
          <x:t xml:space="preserve">Concentration, up to 1 minute</x:t>
        </x:is>
      </x:c>
      <x:c r="I145" s="2" t="inlineStr">
        <x:is>
          <x:t xml:space="preserve">You conjure a portal linking an unoccupied space you can see within range to a precise location on a different plane of existence. The portal is a circular opening, which you can make 5 to 20 feet in diameter. You can orient the portal in any direction you choose. The portal lasts for the duration, and the portal’s destination is visible through it. The portal has a front and a back on each plane where it appears. Travel through the portal is possible only by moving through its front. Anything that does so is instantly transported to the other plane, appearing in the unoccupied space nearest to the portal. Deities and other planar rulers can prevent portals created by this spell from opening in their presence or anywhere within their domains. When you cast this spell, you can speak the name of a specific creature (a pseudonym, title, or nickname doesn’t work). If that creature is on a plane other than the one you are on, the portal opens next to the named creature and transports it to the nearest unoccupied space on your side of the portal. You gain no special power over the creature, and it is free to act as the GM deems appropriate. It might leave, attack you, or help you.</x:t>
        </x:is>
      </x:c>
      <x:c r="J145" s="2" t="inlineStr">
        <x:is>
          <x:t xml:space="preserve">SRD 5.2.1</x:t>
        </x:is>
      </x:c>
      <x:c r="K145" s="2" t="inlineStr">
        <x:is>
          <x:t xml:space="preserve">pp. 107-175</x:t>
        </x:is>
      </x:c>
    </x:row>
    <x:row r="146" ht="18" customHeight="1">
      <x:c r="A146" s="2" t="inlineStr">
        <x:is>
          <x:t xml:space="preserve">Geas</x:t>
        </x:is>
      </x:c>
      <x:c r="B146" s="2" t="inlineStr">
        <x:is>
          <x:t xml:space="preserve">5</x:t>
        </x:is>
      </x:c>
      <x:c r="C146" s="2" t="inlineStr">
        <x:is>
          <x:t xml:space="preserve">Enchantment</x:t>
        </x:is>
      </x:c>
      <x:c r="D146" s="2" t="inlineStr">
        <x:is>
          <x:t xml:space="preserve"/>
        </x:is>
      </x:c>
      <x:c r="E146" s="2" t="inlineStr">
        <x:is>
          <x:t xml:space="preserve">1 minute</x:t>
        </x:is>
      </x:c>
      <x:c r="F146" s="2" t="inlineStr">
        <x:is>
          <x:t xml:space="preserve">60 feet</x:t>
        </x:is>
      </x:c>
      <x:c r="G146" s="2" t="inlineStr">
        <x:is>
          <x:t xml:space="preserve">V</x:t>
        </x:is>
      </x:c>
      <x:c r="H146" s="2" t="inlineStr">
        <x:is>
          <x:t xml:space="preserve">30 days</x:t>
        </x:is>
      </x:c>
      <x:c r="I146" s="2" t="inlineStr">
        <x:is>
          <x:t xml:space="preserve">You give a verbal command to a creature that you can see within range, ordering it to carry out some service or refrain from an action or a course of activity as you decide. The target must succeed on a Wisdom saving throw or have the Charmed condition for the duration. The target automatically succeeds if it can’t understand your command. While Charmed, the creature takes 5d10 Psychic damage if it acts in a manner directly counter to your command. It takes this damage no more than once each day. You can issue any command you choose, short of an activity that would result in certain death. Should you issue a suicidal command, the spell ends. A Remove Curse, Greater Restoration, or Wish spell ends this spell. Using a Higher-Level Spell Slot. If you use a level 7 or 8 spell slot, the duration is 365 days. If you use a level 9 spell slot, the spell lasts until it is ended by one of the spells mentioned above.</x:t>
        </x:is>
      </x:c>
      <x:c r="J146" s="2" t="inlineStr">
        <x:is>
          <x:t xml:space="preserve">SRD 5.2.1</x:t>
        </x:is>
      </x:c>
      <x:c r="K146" s="2" t="inlineStr">
        <x:is>
          <x:t xml:space="preserve">pp. 107-175</x:t>
        </x:is>
      </x:c>
    </x:row>
    <x:row r="147" ht="18" customHeight="1">
      <x:c r="A147" s="2" t="inlineStr">
        <x:is>
          <x:t xml:space="preserve">Gentle Repose</x:t>
        </x:is>
      </x:c>
      <x:c r="B147" s="2" t="inlineStr">
        <x:is>
          <x:t xml:space="preserve">2</x:t>
        </x:is>
      </x:c>
      <x:c r="C147" s="2" t="inlineStr">
        <x:is>
          <x:t xml:space="preserve">Necromancy</x:t>
        </x:is>
      </x:c>
      <x:c r="D147" s="2" t="inlineStr">
        <x:is>
          <x:t xml:space="preserve">Cleric, Paladin, Wizard</x:t>
        </x:is>
      </x:c>
      <x:c r="E147" s="2" t="inlineStr">
        <x:is>
          <x:t xml:space="preserve">Action or Ritual</x:t>
        </x:is>
      </x:c>
      <x:c r="F147" s="2" t="inlineStr">
        <x:is>
          <x:t xml:space="preserve">Touch</x:t>
        </x:is>
      </x:c>
      <x:c r="G147" s="2" t="inlineStr">
        <x:is>
          <x:t xml:space="preserve">V, S, M (2 Copper Pieces, which the spell</x:t>
        </x:is>
      </x:c>
      <x:c r="H147" s="2" t="inlineStr">
        <x:is>
          <x:t xml:space="preserve">10 days</x:t>
        </x:is>
      </x:c>
      <x:c r="I147" s="2" t="inlineStr">
        <x:is>
          <x:t xml:space="preserve">You touch a corpse or other remains. For the duration, the target is protected from decay and can’t become Undead. The spell also effectively extends the time limit on raising the target from the dead, since days spent under the influence of this spell don’t count against the time limit of spells such as Raise Dead.</x:t>
        </x:is>
      </x:c>
      <x:c r="J147" s="2" t="inlineStr">
        <x:is>
          <x:t xml:space="preserve">SRD 5.2.1</x:t>
        </x:is>
      </x:c>
      <x:c r="K147" s="2" t="inlineStr">
        <x:is>
          <x:t xml:space="preserve">pp. 107-175</x:t>
        </x:is>
      </x:c>
    </x:row>
    <x:row r="148" ht="18" customHeight="1">
      <x:c r="A148" s="2" t="inlineStr">
        <x:is>
          <x:t xml:space="preserve">Giant Insect</x:t>
        </x:is>
      </x:c>
      <x:c r="B148" s="2" t="inlineStr">
        <x:is>
          <x:t xml:space="preserve">4</x:t>
        </x:is>
      </x:c>
      <x:c r="C148" s="2" t="inlineStr">
        <x:is>
          <x:t xml:space="preserve">Conjuration</x:t>
        </x:is>
      </x:c>
      <x:c r="D148" s="2" t="inlineStr">
        <x:is>
          <x:t xml:space="preserve">Druid</x:t>
        </x:is>
      </x:c>
      <x:c r="E148" s="2" t="inlineStr">
        <x:is>
          <x:t xml:space="preserve">Action</x:t>
        </x:is>
      </x:c>
      <x:c r="F148" s="2" t="inlineStr">
        <x:is>
          <x:t xml:space="preserve">60 feet</x:t>
        </x:is>
      </x:c>
      <x:c r="G148" s="2" t="inlineStr">
        <x:is>
          <x:t xml:space="preserve">V, S</x:t>
        </x:is>
      </x:c>
      <x:c r="H148" s="2" t="inlineStr">
        <x:is>
          <x:t xml:space="preserve">Concentration, up to 10 minutes</x:t>
        </x:is>
      </x:c>
      <x:c r="I148" s="2" t="inlineStr">
        <x:is>
          <x:t xml:space="preserve">You summon a giant centipede, spider, or wasp (chosen when you cast the spell). It manifests in an unoccupied space you can see within range and uses the Giant Insect stat block. The form you choose determines certain details in its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Giant Insect Large Beast, Unaligned AC 11 + the spell’s level HP 30 + 10 for each spell level above 4 Speed 40 ft., Climb 40 ft., Fly 40 ft. (Wasp only) MOD SAVE MOD SAVE MOD SAVE Str 17 +3 +3 Dex 13 +1 +1 Con 15 +2 +2 Int 4 −3 −3 Wis 14 +2 +2 Cha 3 −4 −4 Senses Darkvision 60 ft.; Passive Perception 12 Languages Understands the languages you know CR None (XP 0; PB equals your Proficiency Bonus) Traits Spider Climb. The insect can climb difficult surfaces, including along ceilings, without needing to make an ability check. Actions Multiattack. The insect makes a number of attacks equal to half this spell’s level (round down). Poison Jab. Melee Attack Roll: Bonus equals your spell attack modifier, reach 10 ft. Hit: 1d6 + 3 plus the spell’s level Piercing damage plus 1d4 Poison damage. Web Bolt (Spider Only). Ranged Attack Roll: Bonus equals your spell attack modifier, range 60 ft. Hit: 1d10 + 3 plus the spell’s level Bludgeoning damage, and the target’s Speed is reduced to 0 until the start of the insect’s next turn. Bonus Actions Venomous Spew (Centipede Only). Constitution Saving Throw: Your spell save DC, one creature the insect can see within 10 feet. Failure: The target has the Poisoned condition until the start of the insect’s next turn.</x:t>
        </x:is>
      </x:c>
      <x:c r="J148" s="2" t="inlineStr">
        <x:is>
          <x:t xml:space="preserve">SRD 5.2.1</x:t>
        </x:is>
      </x:c>
      <x:c r="K148" s="2" t="inlineStr">
        <x:is>
          <x:t xml:space="preserve">pp. 107-175</x:t>
        </x:is>
      </x:c>
    </x:row>
    <x:row r="149" ht="18" customHeight="1">
      <x:c r="A149" s="2" t="inlineStr">
        <x:is>
          <x:t xml:space="preserve">Glibness</x:t>
        </x:is>
      </x:c>
      <x:c r="B149" s="2" t="inlineStr">
        <x:is>
          <x:t xml:space="preserve">8</x:t>
        </x:is>
      </x:c>
      <x:c r="C149" s="2" t="inlineStr">
        <x:is>
          <x:t xml:space="preserve">Enchantment</x:t>
        </x:is>
      </x:c>
      <x:c r="D149" s="2" t="inlineStr">
        <x:is>
          <x:t xml:space="preserve">Bard, Warlock</x:t>
        </x:is>
      </x:c>
      <x:c r="E149" s="2" t="inlineStr">
        <x:is>
          <x:t xml:space="preserve">Action</x:t>
        </x:is>
      </x:c>
      <x:c r="F149" s="2" t="inlineStr">
        <x:is>
          <x:t xml:space="preserve">Self</x:t>
        </x:is>
      </x:c>
      <x:c r="G149" s="2" t="inlineStr">
        <x:is>
          <x:t xml:space="preserve">V</x:t>
        </x:is>
      </x:c>
      <x:c r="H149" s="2" t="inlineStr">
        <x:is>
          <x:t xml:space="preserve">1 hour</x:t>
        </x:is>
      </x:c>
      <x:c r="I149" s="2" t="inlineStr">
        <x:is>
          <x:t xml:space="preserve">Until the spell ends, when you make a Charisma check, you can replace the number you roll with a 15. Additionally, no matter what you say, magic that would determine if you are telling the truth indicates that you are being truthful.</x:t>
        </x:is>
      </x:c>
      <x:c r="J149" s="2" t="inlineStr">
        <x:is>
          <x:t xml:space="preserve">SRD 5.2.1</x:t>
        </x:is>
      </x:c>
      <x:c r="K149" s="2" t="inlineStr">
        <x:is>
          <x:t xml:space="preserve">pp. 107-175</x:t>
        </x:is>
      </x:c>
    </x:row>
    <x:row r="150" ht="18" customHeight="1">
      <x:c r="A150" s="2" t="inlineStr">
        <x:is>
          <x:t xml:space="preserve">Globe of Invulnerability</x:t>
        </x:is>
      </x:c>
      <x:c r="B150" s="2" t="inlineStr">
        <x:is>
          <x:t xml:space="preserve">6</x:t>
        </x:is>
      </x:c>
      <x:c r="C150" s="2" t="inlineStr">
        <x:is>
          <x:t xml:space="preserve">Abjuration</x:t>
        </x:is>
      </x:c>
      <x:c r="D150" s="2" t="inlineStr">
        <x:is>
          <x:t xml:space="preserve">Sorcerer, Wizard</x:t>
        </x:is>
      </x:c>
      <x:c r="E150" s="2" t="inlineStr">
        <x:is>
          <x:t xml:space="preserve">Action</x:t>
        </x:is>
      </x:c>
      <x:c r="F150" s="2" t="inlineStr">
        <x:is>
          <x:t xml:space="preserve">Self</x:t>
        </x:is>
      </x:c>
      <x:c r="G150" s="2" t="inlineStr">
        <x:is>
          <x:t xml:space="preserve">V, S, M (a glass bead)</x:t>
        </x:is>
      </x:c>
      <x:c r="H150" s="2" t="inlineStr">
        <x:is>
          <x:t xml:space="preserve">Concentration, up to 1 minute</x:t>
        </x:is>
      </x:c>
      <x:c r="I150" s="2" t="inlineStr">
        <x:is>
          <x:t xml:space="preserve">An immobile, shimmering barrier appears in a 10foot Emanation around you and remains for the duration. Any spell of level 5 or lower cast from outside the barrier can’t affect anything within it. Such a spell can target creatures and objects within the barrier, but the spell has no effect on them. Similarly, the area within the barrier is excluded from areas of effect created by such spells. Using a Higher-Level Spell Slot. The barrier blocks spells of 1 level higher for each spell slot level above 6.</x:t>
        </x:is>
      </x:c>
      <x:c r="J150" s="2" t="inlineStr">
        <x:is>
          <x:t xml:space="preserve">SRD 5.2.1</x:t>
        </x:is>
      </x:c>
      <x:c r="K150" s="2" t="inlineStr">
        <x:is>
          <x:t xml:space="preserve">pp. 107-175</x:t>
        </x:is>
      </x:c>
    </x:row>
    <x:row r="151" ht="18" customHeight="1">
      <x:c r="A151" s="2" t="inlineStr">
        <x:is>
          <x:t xml:space="preserve">Glyph of Warding</x:t>
        </x:is>
      </x:c>
      <x:c r="B151" s="2" t="inlineStr">
        <x:is>
          <x:t xml:space="preserve">3</x:t>
        </x:is>
      </x:c>
      <x:c r="C151" s="2" t="inlineStr">
        <x:is>
          <x:t xml:space="preserve">Abjuration</x:t>
        </x:is>
      </x:c>
      <x:c r="D151" s="2" t="inlineStr">
        <x:is>
          <x:t xml:space="preserve">Bard, Cleric, Wizard</x:t>
        </x:is>
      </x:c>
      <x:c r="E151" s="2" t="inlineStr">
        <x:is>
          <x:t xml:space="preserve">1 hour</x:t>
        </x:is>
      </x:c>
      <x:c r="F151" s="2" t="inlineStr">
        <x:is>
          <x:t xml:space="preserve">Touch</x:t>
        </x:is>
      </x:c>
      <x:c r="G151" s="2" t="inlineStr">
        <x:is>
          <x:t xml:space="preserve">V, S, M (powdered diamond worth 200+</x:t>
        </x:is>
      </x:c>
      <x:c r="H151" s="2" t="inlineStr">
        <x:is>
          <x:t xml:space="preserve">Until dispelled or triggered</x:t>
        </x:is>
      </x:c>
      <x:c r="I151" s="2" t="inlineStr">
        <x:is>
          <x:t xml:space="preserve">You inscribe a glyph that later unleashes a magical effect. You inscribe it either on a surface (such as a table or a section of floor) or within an object that can be closed (such as a book or chest) to conceal the glyph. The glyph can cover an area no larger than 10 feet in diameter. If the surface or object is moved more than 10 feet from where you cast this spell, the glyph is broken, and the spell ends without being triggered. The glyph is nearly imperceptible and requires a successful Wisdom (Perception) check against your spell save DC to notice. When you inscribe the glyph, you set its trigger and choose whether it’s an explosive rune or a spell glyph, as explained below. Set the Trigger. You decide what triggers the glyph when you cast the spell. For glyphs inscribed on a surface, common triggers include touching or stepping on the glyph, removing another object covering it, or approaching within a certain distance of it. For glyphs inscribed within an object, common triggers include opening that object or seeing the glyph. Once a glyph is triggered, this spell ends. You can refine the trigger so that only creatures of certain types activate it (for example, the glyph could be set to affect Aberrations). You can also set conditions for creatures that don’t trigger the glyph, such as those who say a certain password. Explosive Rune. When triggered, the glyph erupts with magical energy in a 20-foot-radius Sphere centered on the glyph. Each creature in the area makes a Dexterity saving throw. A creature takes 5d8 Acid, Cold, Fire, Lightning, or Thunder damage (your choice when you create the glyph) on a failed save or half as much damage on a successful one. Spell Glyph. You can store a prepared spell of level 3 or lower in the glyph by casting it as part of creating the glyph. The spell must target a single creature or an area. The spell being stored has no immediate effect when cast in this way. When the glyph is triggered, the stored spell takes effect. If the spell has a target, it targets the creature that triggered the glyph. If the spell affects an area, the area is centered on that creature. If the spell summons Hostile creatures or creates harmful objects or traps, they appear as close as possible to the intruder and attack it. If the spell requires Concentration, it lasts until the end of its full duration. Using a Higher-Level Spell Slot. The damage of an explosive rune increases by 1d8 for each spell slot level above 3. If you create a sp</x:t>
        </x:is>
      </x:c>
      <x:c r="J151" s="2" t="inlineStr">
        <x:is>
          <x:t xml:space="preserve">SRD 5.2.1</x:t>
        </x:is>
      </x:c>
      <x:c r="K151" s="2" t="inlineStr">
        <x:is>
          <x:t xml:space="preserve">pp. 107-175</x:t>
        </x:is>
      </x:c>
    </x:row>
    <x:row r="152" ht="18" customHeight="1">
      <x:c r="A152" s="2" t="inlineStr">
        <x:is>
          <x:t xml:space="preserve">Goodberry</x:t>
        </x:is>
      </x:c>
      <x:c r="B152" s="2" t="inlineStr">
        <x:is>
          <x:t xml:space="preserve">1</x:t>
        </x:is>
      </x:c>
      <x:c r="C152" s="2" t="inlineStr">
        <x:is>
          <x:t xml:space="preserve">Conjuration</x:t>
        </x:is>
      </x:c>
      <x:c r="D152" s="2" t="inlineStr">
        <x:is>
          <x:t xml:space="preserve">Druid, Ranger</x:t>
        </x:is>
      </x:c>
      <x:c r="E152" s="2" t="inlineStr">
        <x:is>
          <x:t xml:space="preserve">Action</x:t>
        </x:is>
      </x:c>
      <x:c r="F152" s="2" t="inlineStr">
        <x:is>
          <x:t xml:space="preserve">Self</x:t>
        </x:is>
      </x:c>
      <x:c r="G152" s="2" t="inlineStr">
        <x:is>
          <x:t xml:space="preserve">V, S, M (a sprig of mistletoe)</x:t>
        </x:is>
      </x:c>
      <x:c r="H152" s="2" t="inlineStr">
        <x:is>
          <x:t xml:space="preserve">24 hours</x:t>
        </x:is>
      </x:c>
      <x:c r="I152" s="2" t="inlineStr">
        <x:is>
          <x:t xml:space="preserve">Ten berries appear in your hand and are infused with magic for the duration. A creature can take a Bonus Action to eat one berry. Eating a berry restores 1 Hit Point, and the berry provides enough nourishment to sustain a creature for one day. Uneaten berries disappear when the spell ends.</x:t>
        </x:is>
      </x:c>
      <x:c r="J152" s="2" t="inlineStr">
        <x:is>
          <x:t xml:space="preserve">SRD 5.2.1</x:t>
        </x:is>
      </x:c>
      <x:c r="K152" s="2" t="inlineStr">
        <x:is>
          <x:t xml:space="preserve">pp. 107-175</x:t>
        </x:is>
      </x:c>
    </x:row>
    <x:row r="153" ht="18" customHeight="1">
      <x:c r="A153" s="2" t="inlineStr">
        <x:is>
          <x:t xml:space="preserve">Grease</x:t>
        </x:is>
      </x:c>
      <x:c r="B153" s="2" t="inlineStr">
        <x:is>
          <x:t xml:space="preserve">1</x:t>
        </x:is>
      </x:c>
      <x:c r="C153" s="2" t="inlineStr">
        <x:is>
          <x:t xml:space="preserve">Conjuration</x:t>
        </x:is>
      </x:c>
      <x:c r="D153" s="2" t="inlineStr">
        <x:is>
          <x:t xml:space="preserve">Sorcerer, Wizard</x:t>
        </x:is>
      </x:c>
      <x:c r="E153" s="2" t="inlineStr">
        <x:is>
          <x:t xml:space="preserve">Action</x:t>
        </x:is>
      </x:c>
      <x:c r="F153" s="2" t="inlineStr">
        <x:is>
          <x:t xml:space="preserve">60 feet</x:t>
        </x:is>
      </x:c>
      <x:c r="G153" s="2" t="inlineStr">
        <x:is>
          <x:t xml:space="preserve">V, S, M (a bit of pork rind or butter)</x:t>
        </x:is>
      </x:c>
      <x:c r="H153" s="2" t="inlineStr">
        <x:is>
          <x:t xml:space="preserve">1 minute</x:t>
        </x:is>
      </x:c>
      <x:c r="I153" s="2" t="inlineStr">
        <x:is>
          <x:t xml:space="preserve">Nonflammable grease covers the ground in a 10foot square centered on a point within range and turns it into Difficult Terrain for the duration. When the grease appears, each creature standing in its area must succeed on a Dexterity saving throw or have the Prone condition. A creature that enters the area or ends its turn there must also succeed on that save or fall Prone.</x:t>
        </x:is>
      </x:c>
      <x:c r="J153" s="2" t="inlineStr">
        <x:is>
          <x:t xml:space="preserve">SRD 5.2.1</x:t>
        </x:is>
      </x:c>
      <x:c r="K153" s="2" t="inlineStr">
        <x:is>
          <x:t xml:space="preserve">pp. 107-175</x:t>
        </x:is>
      </x:c>
    </x:row>
    <x:row r="154" ht="18" customHeight="1">
      <x:c r="A154" s="2" t="inlineStr">
        <x:is>
          <x:t xml:space="preserve">Greater Invisibility</x:t>
        </x:is>
      </x:c>
      <x:c r="B154" s="2" t="inlineStr">
        <x:is>
          <x:t xml:space="preserve">4</x:t>
        </x:is>
      </x:c>
      <x:c r="C154" s="2" t="inlineStr">
        <x:is>
          <x:t xml:space="preserve">Illusion</x:t>
        </x:is>
      </x:c>
      <x:c r="D154" s="2" t="inlineStr">
        <x:is>
          <x:t xml:space="preserve">Bard, Sorcerer, Wizard</x:t>
        </x:is>
      </x:c>
      <x:c r="E154" s="2" t="inlineStr">
        <x:is>
          <x:t xml:space="preserve">Action</x:t>
        </x:is>
      </x:c>
      <x:c r="F154" s="2" t="inlineStr">
        <x:is>
          <x:t xml:space="preserve">Touch</x:t>
        </x:is>
      </x:c>
      <x:c r="G154" s="2" t="inlineStr">
        <x:is>
          <x:t xml:space="preserve">V, S</x:t>
        </x:is>
      </x:c>
      <x:c r="H154" s="2" t="inlineStr">
        <x:is>
          <x:t xml:space="preserve">Concentration, up to 1 minute</x:t>
        </x:is>
      </x:c>
      <x:c r="I154" s="2" t="inlineStr">
        <x:is>
          <x:t xml:space="preserve">A creature you touch has the Invisible condition until the spell ends.</x:t>
        </x:is>
      </x:c>
      <x:c r="J154" s="2" t="inlineStr">
        <x:is>
          <x:t xml:space="preserve">SRD 5.2.1</x:t>
        </x:is>
      </x:c>
      <x:c r="K154" s="2" t="inlineStr">
        <x:is>
          <x:t xml:space="preserve">pp. 107-175</x:t>
        </x:is>
      </x:c>
    </x:row>
    <x:row r="155" ht="18" customHeight="1">
      <x:c r="A155" s="2" t="inlineStr">
        <x:is>
          <x:t xml:space="preserve">Greater Restoration</x:t>
        </x:is>
      </x:c>
      <x:c r="B155" s="2" t="inlineStr">
        <x:is>
          <x:t xml:space="preserve">5</x:t>
        </x:is>
      </x:c>
      <x:c r="C155" s="2" t="inlineStr">
        <x:is>
          <x:t xml:space="preserve">Abjuration</x:t>
        </x:is>
      </x:c>
      <x:c r="D155" s="2" t="inlineStr">
        <x:is>
          <x:t xml:space="preserve"/>
        </x:is>
      </x:c>
      <x:c r="E155" s="2" t="inlineStr">
        <x:is>
          <x:t xml:space="preserve">Action</x:t>
        </x:is>
      </x:c>
      <x:c r="F155" s="2" t="inlineStr">
        <x:is>
          <x:t xml:space="preserve">Touch</x:t>
        </x:is>
      </x:c>
      <x:c r="G155" s="2" t="inlineStr">
        <x:is>
          <x:t xml:space="preserve">V, S, M (diamond dust worth 100+ GP,</x:t>
        </x:is>
      </x:c>
      <x:c r="H155" s="2" t="inlineStr">
        <x:is>
          <x:t xml:space="preserve">Instantaneous</x:t>
        </x:is>
      </x:c>
      <x:c r="I155" s="2" t="inlineStr">
        <x:is>
          <x:t xml:space="preserve">You touch a creature and magically remove one of the following effects from it: • 1 Exhaustion level • The Charmed or Petrified condition • A curse, including the target’s Attunement to a cursed magic item • Any reduction to one of the target’s ability scores • Any reduction to the target’s Hit Point maximum</x:t>
        </x:is>
      </x:c>
      <x:c r="J155" s="2" t="inlineStr">
        <x:is>
          <x:t xml:space="preserve">SRD 5.2.1</x:t>
        </x:is>
      </x:c>
      <x:c r="K155" s="2" t="inlineStr">
        <x:is>
          <x:t xml:space="preserve">pp. 107-175</x:t>
        </x:is>
      </x:c>
    </x:row>
    <x:row r="156" ht="18" customHeight="1">
      <x:c r="A156" s="2" t="inlineStr">
        <x:is>
          <x:t xml:space="preserve">Guardian of Faith</x:t>
        </x:is>
      </x:c>
      <x:c r="B156" s="2" t="inlineStr">
        <x:is>
          <x:t xml:space="preserve">4</x:t>
        </x:is>
      </x:c>
      <x:c r="C156" s="2" t="inlineStr">
        <x:is>
          <x:t xml:space="preserve">Conjuration</x:t>
        </x:is>
      </x:c>
      <x:c r="D156" s="2" t="inlineStr">
        <x:is>
          <x:t xml:space="preserve">Cleric</x:t>
        </x:is>
      </x:c>
      <x:c r="E156" s="2" t="inlineStr">
        <x:is>
          <x:t xml:space="preserve">Action</x:t>
        </x:is>
      </x:c>
      <x:c r="F156" s="2" t="inlineStr">
        <x:is>
          <x:t xml:space="preserve">30 feet</x:t>
        </x:is>
      </x:c>
      <x:c r="G156" s="2" t="inlineStr">
        <x:is>
          <x:t xml:space="preserve">V</x:t>
        </x:is>
      </x:c>
      <x:c r="H156" s="2" t="inlineStr">
        <x:is>
          <x:t xml:space="preserve">8 hours</x:t>
        </x:is>
      </x:c>
      <x:c r="I156" s="2" t="inlineStr">
        <x:is>
          <x:t xml:space="preserve">A Large spectral guardian appears and hovers for the duration in an unoccupied space that you can see within range. The guardian occupies that space and is invulnerable, and it appears in a form appropriate for your deity or pantheon. Any enemy that moves to a space within 10 feet of the guardian for the first time on a turn or starts its turn there makes a Dexterity saving throw, taking 20 Radiant damage on a failed save or half as much damage on a successful one. The guardian vanishes when it has dealt a total of 60 damage.</x:t>
        </x:is>
      </x:c>
      <x:c r="J156" s="2" t="inlineStr">
        <x:is>
          <x:t xml:space="preserve">SRD 5.2.1</x:t>
        </x:is>
      </x:c>
      <x:c r="K156" s="2" t="inlineStr">
        <x:is>
          <x:t xml:space="preserve">pp. 107-175</x:t>
        </x:is>
      </x:c>
    </x:row>
    <x:row r="157" ht="18" customHeight="1">
      <x:c r="A157" s="2" t="inlineStr">
        <x:is>
          <x:t xml:space="preserve">Guards and Wards</x:t>
        </x:is>
      </x:c>
      <x:c r="B157" s="2" t="inlineStr">
        <x:is>
          <x:t xml:space="preserve">6</x:t>
        </x:is>
      </x:c>
      <x:c r="C157" s="2" t="inlineStr">
        <x:is>
          <x:t xml:space="preserve">Abjuration</x:t>
        </x:is>
      </x:c>
      <x:c r="D157" s="2" t="inlineStr">
        <x:is>
          <x:t xml:space="preserve">Bard, Wizard</x:t>
        </x:is>
      </x:c>
      <x:c r="E157" s="2" t="inlineStr">
        <x:is>
          <x:t xml:space="preserve">1 hour</x:t>
        </x:is>
      </x:c>
      <x:c r="F157" s="2" t="inlineStr">
        <x:is>
          <x:t xml:space="preserve">Touch</x:t>
        </x:is>
      </x:c>
      <x:c r="G157" s="2" t="inlineStr">
        <x:is>
          <x:t xml:space="preserve">V, S, M (a silver rod worth 10+ GP)</x:t>
        </x:is>
      </x:c>
      <x:c r="H157" s="2" t="inlineStr">
        <x:is>
          <x:t xml:space="preserve">24 hours</x:t>
        </x:is>
      </x:c>
      <x:c r="I157" s="2" t="inlineStr">
        <x:is>
          <x:t xml:space="preserve">You create a ward that protects up to 2,500 square feet of floor space. The warded area can be up to 20 feet tall, and you shape it as one 50-foot square, one hundred 5-foot squares that are contiguous, or twenty-five 10-foot squares that are contiguous. When you cast this spell, you can specify individuals that are unaffected by the spell’s effects. You can also specify a password that, when spoken aloud within 5 feet of the warded area, makes the speaker immune to its effects. The spell creates the effects below within the warded area. Dispel Magic has no effect on Guards and Wards itself, but each of the following effects can be dispelled. If all four are dispelled, Guards and Wards ends. If you cast the spell every day for 365 days on the same area, the spell thereafter lasts until all its effects are dispelled. Corridors. Fog fills all the warded corridors, making them Heavily Obscured. In addition, at each intersection or branching passage offering a choice of direction, there is a 50 percent chance that a creature other than you believes it is going in the opposite direction from the one it chooses. Doors. All doors in the warded area are magically locked, as if sealed by the Arcane Lock spell. In addition, you can cover up to ten doors with an illusion to make them appear as plain sections of wall. Stairs. Webs fill all stairs in the warded area from top to bottom, as in the Web spell. These strands regrow in 10 minutes if they are destroyed while Guards and Wards lasts. Other Spell Effect. Place one of the following magical effects within the warded area: • Dancing Lights in four corridors, with a simple program that the lights repeat as long as Guards and Wards lasts • Magic Mouth in two locations • Stinking Cloud in two locations (the vapors return within 10 minutes if dispersed while Guards and Wards lasts) • Gust of Wind in one corridor or room (the wind blows continuously while the spell lasts) • Suggestion in one 5-foot square; any creature that enters that square receives the suggestion mentally</x:t>
        </x:is>
      </x:c>
      <x:c r="J157" s="2" t="inlineStr">
        <x:is>
          <x:t xml:space="preserve">SRD 5.2.1</x:t>
        </x:is>
      </x:c>
      <x:c r="K157" s="2" t="inlineStr">
        <x:is>
          <x:t xml:space="preserve">pp. 107-175</x:t>
        </x:is>
      </x:c>
    </x:row>
    <x:row r="158" ht="18" customHeight="1">
      <x:c r="A158" s="2" t="inlineStr">
        <x:is>
          <x:t xml:space="preserve">Guidance</x:t>
        </x:is>
      </x:c>
      <x:c r="B158" s="2" t="inlineStr">
        <x:is>
          <x:t xml:space="preserve">Cantrip</x:t>
        </x:is>
      </x:c>
      <x:c r="C158" s="2" t="inlineStr">
        <x:is>
          <x:t xml:space="preserve">Divination</x:t>
        </x:is>
      </x:c>
      <x:c r="D158" s="2" t="inlineStr">
        <x:is>
          <x:t xml:space="preserve">Cleric, Druid</x:t>
        </x:is>
      </x:c>
      <x:c r="E158" s="2" t="inlineStr">
        <x:is>
          <x:t xml:space="preserve">Action</x:t>
        </x:is>
      </x:c>
      <x:c r="F158" s="2" t="inlineStr">
        <x:is>
          <x:t xml:space="preserve">Touch</x:t>
        </x:is>
      </x:c>
      <x:c r="G158" s="2" t="inlineStr">
        <x:is>
          <x:t xml:space="preserve"/>
        </x:is>
      </x:c>
      <x:c r="H158" s="2" t="inlineStr">
        <x:is>
          <x:t xml:space="preserve">Concentration, up to 1 minute</x:t>
        </x:is>
      </x:c>
      <x:c r="I158" s="2" t="inlineStr">
        <x:is>
          <x:t xml:space="preserve">You touch a willing creature and choose a skill. Until the spell ends, the creature adds 1d4 to any ability check using the chosen skill.</x:t>
        </x:is>
      </x:c>
      <x:c r="J158" s="2" t="inlineStr">
        <x:is>
          <x:t xml:space="preserve">SRD 5.2.1</x:t>
        </x:is>
      </x:c>
      <x:c r="K158" s="2" t="inlineStr">
        <x:is>
          <x:t xml:space="preserve">pp. 107-175</x:t>
        </x:is>
      </x:c>
    </x:row>
    <x:row r="159" ht="18" customHeight="1">
      <x:c r="A159" s="2" t="inlineStr">
        <x:is>
          <x:t xml:space="preserve">Guiding Bolt</x:t>
        </x:is>
      </x:c>
      <x:c r="B159" s="2" t="inlineStr">
        <x:is>
          <x:t xml:space="preserve">1</x:t>
        </x:is>
      </x:c>
      <x:c r="C159" s="2" t="inlineStr">
        <x:is>
          <x:t xml:space="preserve">Evocation</x:t>
        </x:is>
      </x:c>
      <x:c r="D159" s="2" t="inlineStr">
        <x:is>
          <x:t xml:space="preserve">Cleric</x:t>
        </x:is>
      </x:c>
      <x:c r="E159" s="2" t="inlineStr">
        <x:is>
          <x:t xml:space="preserve">Action</x:t>
        </x:is>
      </x:c>
      <x:c r="F159" s="2" t="inlineStr">
        <x:is>
          <x:t xml:space="preserve">120 feet</x:t>
        </x:is>
      </x:c>
      <x:c r="G159" s="2" t="inlineStr">
        <x:is>
          <x:t xml:space="preserve">V, S</x:t>
        </x:is>
      </x:c>
      <x:c r="H159" s="2" t="inlineStr">
        <x:is>
          <x:t xml:space="preserve">1 round</x:t>
        </x:is>
      </x:c>
      <x:c r="I159" s="2" t="inlineStr">
        <x:is>
          <x:t xml:space="preserve">You hurl a bolt of light toward a creature within range. Make a ranged spell attack against the target. On a hit, it takes 4d6 Radiant damage, and the next attack roll made against it before the end of your next turn has Advantage. Using a Higher-Level Spell Slot. The damage increases by 1d6 for each spell slot level above 1.</x:t>
        </x:is>
      </x:c>
      <x:c r="J159" s="2" t="inlineStr">
        <x:is>
          <x:t xml:space="preserve">SRD 5.2.1</x:t>
        </x:is>
      </x:c>
      <x:c r="K159" s="2" t="inlineStr">
        <x:is>
          <x:t xml:space="preserve">pp. 107-175</x:t>
        </x:is>
      </x:c>
    </x:row>
    <x:row r="160" ht="18" customHeight="1">
      <x:c r="A160" s="2" t="inlineStr">
        <x:is>
          <x:t xml:space="preserve">Gust of Wind</x:t>
        </x:is>
      </x:c>
      <x:c r="B160" s="2" t="inlineStr">
        <x:is>
          <x:t xml:space="preserve">2</x:t>
        </x:is>
      </x:c>
      <x:c r="C160" s="2" t="inlineStr">
        <x:is>
          <x:t xml:space="preserve">Evocation</x:t>
        </x:is>
      </x:c>
      <x:c r="D160" s="2" t="inlineStr">
        <x:is>
          <x:t xml:space="preserve">Druid, Ranger, Sorcerer, Wizard</x:t>
        </x:is>
      </x:c>
      <x:c r="E160" s="2" t="inlineStr">
        <x:is>
          <x:t xml:space="preserve">Action</x:t>
        </x:is>
      </x:c>
      <x:c r="F160" s="2" t="inlineStr">
        <x:is>
          <x:t xml:space="preserve">Self</x:t>
        </x:is>
      </x:c>
      <x:c r="G160" s="2" t="inlineStr">
        <x:is>
          <x:t xml:space="preserve">V, S, M (a legume seed)</x:t>
        </x:is>
      </x:c>
      <x:c r="H160" s="2" t="inlineStr">
        <x:is>
          <x:t xml:space="preserve">Concentration, up to 1 minute</x:t>
        </x:is>
      </x:c>
      <x:c r="I160" s="2" t="inlineStr">
        <x:is>
          <x:t xml:space="preserve">A Line of strong wind 60 feet long and 10 feet wide blasts from you in a direction you choose for the duration. Each creature in the Line must succeed on a Strength saving throw or be pushed 15 feet away from you in a direction following the Line. A creature that ends its turn in the Line must make the same save. Any creature in the Line must spend 2 feet of movement for every 1 foot it moves when moving closer to you. The gust disperses gas or vapor, and it extinguishes candles and similar unprotected flames in the area. It causes protected flames, such as those of lanterns, to dance wildly and has a 50 percent chance to extinguish them. As a Bonus Action on your later turns, you can change the direction in which the Line blasts from you.</x:t>
        </x:is>
      </x:c>
      <x:c r="J160" s="2" t="inlineStr">
        <x:is>
          <x:t xml:space="preserve">SRD 5.2.1</x:t>
        </x:is>
      </x:c>
      <x:c r="K160" s="2" t="inlineStr">
        <x:is>
          <x:t xml:space="preserve">pp. 107-175</x:t>
        </x:is>
      </x:c>
    </x:row>
    <x:row r="161" ht="18" customHeight="1">
      <x:c r="A161" s="2" t="inlineStr">
        <x:is>
          <x:t xml:space="preserve">Hallow</x:t>
        </x:is>
      </x:c>
      <x:c r="B161" s="2" t="inlineStr">
        <x:is>
          <x:t xml:space="preserve">5</x:t>
        </x:is>
      </x:c>
      <x:c r="C161" s="2" t="inlineStr">
        <x:is>
          <x:t xml:space="preserve">Abjuration</x:t>
        </x:is>
      </x:c>
      <x:c r="D161" s="2" t="inlineStr">
        <x:is>
          <x:t xml:space="preserve">Cleric</x:t>
        </x:is>
      </x:c>
      <x:c r="E161" s="2" t="inlineStr">
        <x:is>
          <x:t xml:space="preserve">24 hours</x:t>
        </x:is>
      </x:c>
      <x:c r="F161" s="2" t="inlineStr">
        <x:is>
          <x:t xml:space="preserve">Touch</x:t>
        </x:is>
      </x:c>
      <x:c r="G161" s="2" t="inlineStr">
        <x:is>
          <x:t xml:space="preserve">V, S, M (incense worth 1,000+ GP, which</x:t>
        </x:is>
      </x:c>
      <x:c r="H161" s="2" t="inlineStr">
        <x:is>
          <x:t xml:space="preserve">Until dispelled</x:t>
        </x:is>
      </x:c>
      <x:c r="I161" s="2" t="inlineStr">
        <x:is>
          <x:t xml:space="preserve">You touch a point and infuse an area around it with holy or unholy power. The area can have a radius up to 60 feet, and the spell fails if the radius includes an area already under the effect of Hallow. The affected area has the following effects. Hallowed Ward. Choose any of these creature types: Aberration, Celestial, Elemental, Fey, Fiend, or Undead. Creatures of the chosen types can’t willingly enter the area, and any creature that is possessed by or that has the Charmed or Frightened condition from such creatures isn’t possessed, Charmed, or Frightened by them while in the area. Extra Effect. You bind an extra effect to the area from the list below: Courage. Creatures of any types you choose can’t gain the Frightened condition while in the area. Darkness. Darkness fills the area. Normal light, as well as magical light created by spells of a level lower than this spell, can’t illuminate the area. Daylight. Bright light fills the area. Magical Darkness created by spells of a level lower than this spell can’t extinguish the light. Peaceful Rest. Dead bodies interred in the area can’t be turned into Undead. Extradimensional Interference. Creatures of any types you choose can’t enter or exit the area using teleportation or interplanar travel. Fear. Creatures of any types you choose have the Frightened condition while in the area. Resistance. Creatures of any types you choose have Resistance to one damage type of your choice while in the area. Silence. No sound can emanate from within the area, and no sound can reach into it. Tongues. Creatures of any types you choose can communicate with any other creature in the area even if they don’t share a common language. Vulnerability. Creatures of any types you choose have Vulnerability to one damage type of your choice while in the area.</x:t>
        </x:is>
      </x:c>
      <x:c r="J161" s="2" t="inlineStr">
        <x:is>
          <x:t xml:space="preserve">SRD 5.2.1</x:t>
        </x:is>
      </x:c>
      <x:c r="K161" s="2" t="inlineStr">
        <x:is>
          <x:t xml:space="preserve">pp. 107-175</x:t>
        </x:is>
      </x:c>
    </x:row>
    <x:row r="162" ht="18" customHeight="1">
      <x:c r="A162" s="2" t="inlineStr">
        <x:is>
          <x:t xml:space="preserve">Hallucinatory Terrain</x:t>
        </x:is>
      </x:c>
      <x:c r="B162" s="2" t="inlineStr">
        <x:is>
          <x:t xml:space="preserve">4</x:t>
        </x:is>
      </x:c>
      <x:c r="C162" s="2" t="inlineStr">
        <x:is>
          <x:t xml:space="preserve">Illusion</x:t>
        </x:is>
      </x:c>
      <x:c r="D162" s="2" t="inlineStr">
        <x:is>
          <x:t xml:space="preserve">Bard, Druid, Warlock, Wizard</x:t>
        </x:is>
      </x:c>
      <x:c r="E162" s="2" t="inlineStr">
        <x:is>
          <x:t xml:space="preserve">10 minutes</x:t>
        </x:is>
      </x:c>
      <x:c r="F162" s="2" t="inlineStr">
        <x:is>
          <x:t xml:space="preserve">300 feet</x:t>
        </x:is>
      </x:c>
      <x:c r="G162" s="2" t="inlineStr">
        <x:is>
          <x:t xml:space="preserve">V, S, M (a mushroom)</x:t>
        </x:is>
      </x:c>
      <x:c r="H162" s="2" t="inlineStr">
        <x:is>
          <x:t xml:space="preserve">24 hours</x:t>
        </x:is>
      </x:c>
      <x:c r="I162" s="2" t="inlineStr">
        <x:is>
          <x:t xml:space="preserve">You make natural terrain in a 150-foot Cube in range look, sound, and smell like another sort of natural terrain. Thus, open fields or a road can be made to resemble a swamp, hill, crevasse, or some other difficult or impassable terrain. A pond can be made to seem like a grassy meadow, a precipice like a gentle slope, or a rock-strewn gully like a wide and smooth road. Manufactured structures, equipment, and creatures within the area aren’t changed. The tactile characteristics of the terrain are unchanged, so creatures entering the area are likely to notice the illusion. If the difference isn’t obvious by touch, a creature examining the illusion can take the Study action to make an Intelligence (Investigation) check against your spell save DC to disbelieve it. If a creature discerns that the terrain is illusory, the creature sees a vague image superimposed on the real terrain.</x:t>
        </x:is>
      </x:c>
      <x:c r="J162" s="2" t="inlineStr">
        <x:is>
          <x:t xml:space="preserve">SRD 5.2.1</x:t>
        </x:is>
      </x:c>
      <x:c r="K162" s="2" t="inlineStr">
        <x:is>
          <x:t xml:space="preserve">pp. 107-175</x:t>
        </x:is>
      </x:c>
    </x:row>
    <x:row r="163" ht="18" customHeight="1">
      <x:c r="A163" s="2" t="inlineStr">
        <x:is>
          <x:t xml:space="preserve">Harm</x:t>
        </x:is>
      </x:c>
      <x:c r="B163" s="2" t="inlineStr">
        <x:is>
          <x:t xml:space="preserve">6</x:t>
        </x:is>
      </x:c>
      <x:c r="C163" s="2" t="inlineStr">
        <x:is>
          <x:t xml:space="preserve">Necromancy</x:t>
        </x:is>
      </x:c>
      <x:c r="D163" s="2" t="inlineStr">
        <x:is>
          <x:t xml:space="preserve">Cleric</x:t>
        </x:is>
      </x:c>
      <x:c r="E163" s="2" t="inlineStr">
        <x:is>
          <x:t xml:space="preserve">Action</x:t>
        </x:is>
      </x:c>
      <x:c r="F163" s="2" t="inlineStr">
        <x:is>
          <x:t xml:space="preserve">60 feet</x:t>
        </x:is>
      </x:c>
      <x:c r="G163" s="2" t="inlineStr">
        <x:is>
          <x:t xml:space="preserve">V, S</x:t>
        </x:is>
      </x:c>
      <x:c r="H163" s="2" t="inlineStr">
        <x:is>
          <x:t xml:space="preserve">Instantaneous</x:t>
        </x:is>
      </x:c>
      <x:c r="I163" s="2" t="inlineStr">
        <x:is>
          <x:t xml:space="preserve">You unleash virulent magic on a creature you can see within range. The target makes a Constitution saving throw. On a failed save, it takes 14d6 Necrotic damage, and its Hit Point maximum is reduced by an amount equal to the Necrotic damage it took. On a successful save, it takes half as much damage only. This spell can’t reduce a target’s Hit Point maximum below 1.</x:t>
        </x:is>
      </x:c>
      <x:c r="J163" s="2" t="inlineStr">
        <x:is>
          <x:t xml:space="preserve">SRD 5.2.1</x:t>
        </x:is>
      </x:c>
      <x:c r="K163" s="2" t="inlineStr">
        <x:is>
          <x:t xml:space="preserve">pp. 107-175</x:t>
        </x:is>
      </x:c>
    </x:row>
    <x:row r="164" ht="18" customHeight="1">
      <x:c r="A164" s="2" t="inlineStr">
        <x:is>
          <x:t xml:space="preserve">Haste</x:t>
        </x:is>
      </x:c>
      <x:c r="B164" s="2" t="inlineStr">
        <x:is>
          <x:t xml:space="preserve">3</x:t>
        </x:is>
      </x:c>
      <x:c r="C164" s="2" t="inlineStr">
        <x:is>
          <x:t xml:space="preserve">Transmutation</x:t>
        </x:is>
      </x:c>
      <x:c r="D164" s="2" t="inlineStr">
        <x:is>
          <x:t xml:space="preserve">Sorcerer, Wizard</x:t>
        </x:is>
      </x:c>
      <x:c r="E164" s="2" t="inlineStr">
        <x:is>
          <x:t xml:space="preserve">Action</x:t>
        </x:is>
      </x:c>
      <x:c r="F164" s="2" t="inlineStr">
        <x:is>
          <x:t xml:space="preserve">30 feet</x:t>
        </x:is>
      </x:c>
      <x:c r="G164" s="2" t="inlineStr">
        <x:is>
          <x:t xml:space="preserve">V, S, M (a shaving of licorice root)</x:t>
        </x:is>
      </x:c>
      <x:c r="H164" s="2" t="inlineStr">
        <x:is>
          <x:t xml:space="preserve">Concentration, up to 1 minute</x:t>
        </x:is>
      </x:c>
      <x:c r="I164" s="2" t="inlineStr">
        <x:is>
          <x:t xml:space="preserve">Choose a willing creature that you can see within range. Until the spell ends, the target’s Speed is doubled, it gains a +2 bonus to Armor Class, it has Advantage on Dexterity saving throws, and it gains an additional action on each of its turns. That action can be used to take only the Attack (one attack only), Dash, Disengage, Hide, or Utilize action. When the spell ends, the target is Incapacitated and has a Speed of 0 until the end of its next turn, as a wave of lethargy washes over it.</x:t>
        </x:is>
      </x:c>
      <x:c r="J164" s="2" t="inlineStr">
        <x:is>
          <x:t xml:space="preserve">SRD 5.2.1</x:t>
        </x:is>
      </x:c>
      <x:c r="K164" s="2" t="inlineStr">
        <x:is>
          <x:t xml:space="preserve">pp. 107-175</x:t>
        </x:is>
      </x:c>
    </x:row>
    <x:row r="165" ht="18" customHeight="1">
      <x:c r="A165" s="2" t="inlineStr">
        <x:is>
          <x:t xml:space="preserve">Heal</x:t>
        </x:is>
      </x:c>
      <x:c r="B165" s="2" t="inlineStr">
        <x:is>
          <x:t xml:space="preserve">6</x:t>
        </x:is>
      </x:c>
      <x:c r="C165" s="2" t="inlineStr">
        <x:is>
          <x:t xml:space="preserve">Abjuration</x:t>
        </x:is>
      </x:c>
      <x:c r="D165" s="2" t="inlineStr">
        <x:is>
          <x:t xml:space="preserve">Cleric, Druid</x:t>
        </x:is>
      </x:c>
      <x:c r="E165" s="2" t="inlineStr">
        <x:is>
          <x:t xml:space="preserve">Action</x:t>
        </x:is>
      </x:c>
      <x:c r="F165" s="2" t="inlineStr">
        <x:is>
          <x:t xml:space="preserve">60 feet</x:t>
        </x:is>
      </x:c>
      <x:c r="G165" s="2" t="inlineStr">
        <x:is>
          <x:t xml:space="preserve">V, S</x:t>
        </x:is>
      </x:c>
      <x:c r="H165" s="2" t="inlineStr">
        <x:is>
          <x:t xml:space="preserve">Instantaneous</x:t>
        </x:is>
      </x:c>
      <x:c r="I165" s="2" t="inlineStr">
        <x:is>
          <x:t xml:space="preserve">Choose a creature that you can see within range. Positive energy washes through the target, restoring 70 Hit Points. This spell also ends the Blinded, Deafened, and Poisoned conditions on the target. Using a Higher-Level Spell Slot. The healing increases by 10 for each spell slot level above 6.</x:t>
        </x:is>
      </x:c>
      <x:c r="J165" s="2" t="inlineStr">
        <x:is>
          <x:t xml:space="preserve">SRD 5.2.1</x:t>
        </x:is>
      </x:c>
      <x:c r="K165" s="2" t="inlineStr">
        <x:is>
          <x:t xml:space="preserve">pp. 107-175</x:t>
        </x:is>
      </x:c>
    </x:row>
    <x:row r="166" ht="18" customHeight="1">
      <x:c r="A166" s="2" t="inlineStr">
        <x:is>
          <x:t xml:space="preserve">Healing Word</x:t>
        </x:is>
      </x:c>
      <x:c r="B166" s="2" t="inlineStr">
        <x:is>
          <x:t xml:space="preserve">1</x:t>
        </x:is>
      </x:c>
      <x:c r="C166" s="2" t="inlineStr">
        <x:is>
          <x:t xml:space="preserve">Abjuration</x:t>
        </x:is>
      </x:c>
      <x:c r="D166" s="2" t="inlineStr">
        <x:is>
          <x:t xml:space="preserve">Bard, Cleric, Druid</x:t>
        </x:is>
      </x:c>
      <x:c r="E166" s="2" t="inlineStr">
        <x:is>
          <x:t xml:space="preserve">Bonus Action</x:t>
        </x:is>
      </x:c>
      <x:c r="F166" s="2" t="inlineStr">
        <x:is>
          <x:t xml:space="preserve">60 feet</x:t>
        </x:is>
      </x:c>
      <x:c r="G166" s="2" t="inlineStr">
        <x:is>
          <x:t xml:space="preserve">V</x:t>
        </x:is>
      </x:c>
      <x:c r="H166" s="2" t="inlineStr">
        <x:is>
          <x:t xml:space="preserve">Instantaneous</x:t>
        </x:is>
      </x:c>
      <x:c r="I166" s="2" t="inlineStr">
        <x:is>
          <x:t xml:space="preserve">A creature of your choice that you can see within range regains Hit Points equal to 2d4 plus your spellcasting ability modifier. Using a Higher-Level Spell Slot. The healing increases by 2d4 for each spell slot level above 1.</x:t>
        </x:is>
      </x:c>
      <x:c r="J166" s="2" t="inlineStr">
        <x:is>
          <x:t xml:space="preserve">SRD 5.2.1</x:t>
        </x:is>
      </x:c>
      <x:c r="K166" s="2" t="inlineStr">
        <x:is>
          <x:t xml:space="preserve">pp. 107-175</x:t>
        </x:is>
      </x:c>
    </x:row>
    <x:row r="167" ht="18" customHeight="1">
      <x:c r="A167" s="2" t="inlineStr">
        <x:is>
          <x:t xml:space="preserve">Heat Metal</x:t>
        </x:is>
      </x:c>
      <x:c r="B167" s="2" t="inlineStr">
        <x:is>
          <x:t xml:space="preserve">2</x:t>
        </x:is>
      </x:c>
      <x:c r="C167" s="2" t="inlineStr">
        <x:is>
          <x:t xml:space="preserve">Transmutation</x:t>
        </x:is>
      </x:c>
      <x:c r="D167" s="2" t="inlineStr">
        <x:is>
          <x:t xml:space="preserve">Bard, Druid</x:t>
        </x:is>
      </x:c>
      <x:c r="E167" s="2" t="inlineStr">
        <x:is>
          <x:t xml:space="preserve">Action</x:t>
        </x:is>
      </x:c>
      <x:c r="F167" s="2" t="inlineStr">
        <x:is>
          <x:t xml:space="preserve">60 feet</x:t>
        </x:is>
      </x:c>
      <x:c r="G167" s="2" t="inlineStr">
        <x:is>
          <x:t xml:space="preserve">V, S, M (a piece of iron and a flame)</x:t>
        </x:is>
      </x:c>
      <x:c r="H167" s="2" t="inlineStr">
        <x:is>
          <x:t xml:space="preserve">Concentration, up to 1 minute</x:t>
        </x:is>
      </x:c>
      <x:c r="I167" s="2" t="inlineStr">
        <x:is>
          <x:t xml:space="preserve">Choose a manufactured metal object, such as a metal weapon or a suit of Heavy or Medium metal armor, that you can see within range. You cause the object to glow red-hot. Any creature in physical contact with the object takes 2d8 Fire damage when you cast the spell. Until the spell ends, you can take a Bonus Action on each of your later turns to deal this damage again if the object is within range. If a creature is holding or wearing the object and takes the damage from it, the creature must succeed on a Constitution saving throw or drop the object if it can. If it doesn’t drop the object, it has Disadvantage on attack rolls and ability checks until the start of your next turn. Using a Higher-Level Spell Slot. The damage increases by 1d8 for each spell slot level above 2.</x:t>
        </x:is>
      </x:c>
      <x:c r="J167" s="2" t="inlineStr">
        <x:is>
          <x:t xml:space="preserve">SRD 5.2.1</x:t>
        </x:is>
      </x:c>
      <x:c r="K167" s="2" t="inlineStr">
        <x:is>
          <x:t xml:space="preserve">pp. 107-175</x:t>
        </x:is>
      </x:c>
    </x:row>
    <x:row r="168" ht="18" customHeight="1">
      <x:c r="A168" s="2" t="inlineStr">
        <x:is>
          <x:t xml:space="preserve">Hellish Rebuke</x:t>
        </x:is>
      </x:c>
      <x:c r="B168" s="2" t="inlineStr">
        <x:is>
          <x:t xml:space="preserve">1</x:t>
        </x:is>
      </x:c>
      <x:c r="C168" s="2" t="inlineStr">
        <x:is>
          <x:t xml:space="preserve">Evocation</x:t>
        </x:is>
      </x:c>
      <x:c r="D168" s="2" t="inlineStr">
        <x:is>
          <x:t xml:space="preserve">Warlock</x:t>
        </x:is>
      </x:c>
      <x:c r="E168" s="2" t="inlineStr">
        <x:is>
          <x:t xml:space="preserve">Reaction, which you take in response to</x:t>
        </x:is>
      </x:c>
      <x:c r="F168" s="2" t="inlineStr">
        <x:is>
          <x:t xml:space="preserve">60 feet</x:t>
        </x:is>
      </x:c>
      <x:c r="G168" s="2" t="inlineStr">
        <x:is>
          <x:t xml:space="preserve">V, S</x:t>
        </x:is>
      </x:c>
      <x:c r="H168" s="2" t="inlineStr">
        <x:is>
          <x:t xml:space="preserve">Instantaneous</x:t>
        </x:is>
      </x:c>
      <x:c r="I168" s="2" t="inlineStr">
        <x:is>
          <x:t xml:space="preserve">The creature that damaged you is momentarily surrounded by green flames. It makes a Dexterity saving throw, taking 2d10 Fire damage on a failed save or half as much damage on a successful one. Using a Higher-Level Spell Slot. The damage increases by 1d10 for each spell slot level above 1.</x:t>
        </x:is>
      </x:c>
      <x:c r="J168" s="2" t="inlineStr">
        <x:is>
          <x:t xml:space="preserve">SRD 5.2.1</x:t>
        </x:is>
      </x:c>
      <x:c r="K168" s="2" t="inlineStr">
        <x:is>
          <x:t xml:space="preserve">pp. 107-175</x:t>
        </x:is>
      </x:c>
    </x:row>
    <x:row r="169" ht="18" customHeight="1">
      <x:c r="A169" s="2" t="inlineStr">
        <x:is>
          <x:t xml:space="preserve">Heroes’ Feast</x:t>
        </x:is>
      </x:c>
      <x:c r="B169" s="2" t="inlineStr">
        <x:is>
          <x:t xml:space="preserve">6</x:t>
        </x:is>
      </x:c>
      <x:c r="C169" s="2" t="inlineStr">
        <x:is>
          <x:t xml:space="preserve">Conjuration</x:t>
        </x:is>
      </x:c>
      <x:c r="D169" s="2" t="inlineStr">
        <x:is>
          <x:t xml:space="preserve">Bard, Cleric, Druid</x:t>
        </x:is>
      </x:c>
      <x:c r="E169" s="2" t="inlineStr">
        <x:is>
          <x:t xml:space="preserve">10 minutes</x:t>
        </x:is>
      </x:c>
      <x:c r="F169" s="2" t="inlineStr">
        <x:is>
          <x:t xml:space="preserve">Self</x:t>
        </x:is>
      </x:c>
      <x:c r="G169" s="2" t="inlineStr">
        <x:is>
          <x:t xml:space="preserve">V, S, M (a gem-encrusted bowl worth</x:t>
        </x:is>
      </x:c>
      <x:c r="H169" s="2" t="inlineStr">
        <x:is>
          <x:t xml:space="preserve">Instantaneous</x:t>
        </x:is>
      </x:c>
      <x:c r="I169" s="2" t="inlineStr">
        <x:is>
          <x:t xml:space="preserve">You conjure a feast that appears on a surface in an unoccupied 10-foot Cube next to you. The feast takes 1 hour to consume and disappears at the end of that time, and the beneficial effects don’t set in until this hour is over. Up to twelve creatures can partake of the feast. A creature that partakes gains several benefits, which last for 24 hours. The creature has Resistance to Poison damage, and it has Immunity to the Frightened and Poisoned conditions. Its Hit Point maximum also increases by 2d10, and it gains the same number of Hit Points.</x:t>
        </x:is>
      </x:c>
      <x:c r="J169" s="2" t="inlineStr">
        <x:is>
          <x:t xml:space="preserve">SRD 5.2.1</x:t>
        </x:is>
      </x:c>
      <x:c r="K169" s="2" t="inlineStr">
        <x:is>
          <x:t xml:space="preserve">pp. 107-175</x:t>
        </x:is>
      </x:c>
    </x:row>
    <x:row r="170" ht="18" customHeight="1">
      <x:c r="A170" s="2" t="inlineStr">
        <x:is>
          <x:t xml:space="preserve">Heroism</x:t>
        </x:is>
      </x:c>
      <x:c r="B170" s="2" t="inlineStr">
        <x:is>
          <x:t xml:space="preserve">1</x:t>
        </x:is>
      </x:c>
      <x:c r="C170" s="2" t="inlineStr">
        <x:is>
          <x:t xml:space="preserve">Enchantment</x:t>
        </x:is>
      </x:c>
      <x:c r="D170" s="2" t="inlineStr">
        <x:is>
          <x:t xml:space="preserve">Bard, Paladin</x:t>
        </x:is>
      </x:c>
      <x:c r="E170" s="2" t="inlineStr">
        <x:is>
          <x:t xml:space="preserve">Action</x:t>
        </x:is>
      </x:c>
      <x:c r="F170" s="2" t="inlineStr">
        <x:is>
          <x:t xml:space="preserve">Touch</x:t>
        </x:is>
      </x:c>
      <x:c r="G170" s="2" t="inlineStr">
        <x:is>
          <x:t xml:space="preserve">V, S</x:t>
        </x:is>
      </x:c>
      <x:c r="H170" s="2" t="inlineStr">
        <x:is>
          <x:t xml:space="preserve">Concentration, up to 1 minute</x:t>
        </x:is>
      </x:c>
      <x:c r="I170" s="2" t="inlineStr">
        <x:is>
          <x:t xml:space="preserve">A willing creature you touch is imbued with bravery. Until the spell ends, the creature is immune to the Frightened condition and gains Temporary Hit Points equal to your spellcasting ability modifier at the start of each of its turns. Using a Higher-Level Spell Slot. You can target one additional creature for each spell slot level above 1.</x:t>
        </x:is>
      </x:c>
      <x:c r="J170" s="2" t="inlineStr">
        <x:is>
          <x:t xml:space="preserve">SRD 5.2.1</x:t>
        </x:is>
      </x:c>
      <x:c r="K170" s="2" t="inlineStr">
        <x:is>
          <x:t xml:space="preserve">pp. 107-175</x:t>
        </x:is>
      </x:c>
    </x:row>
    <x:row r="171" ht="18" customHeight="1">
      <x:c r="A171" s="2" t="inlineStr">
        <x:is>
          <x:t xml:space="preserve">Hex</x:t>
        </x:is>
      </x:c>
      <x:c r="B171" s="2" t="inlineStr">
        <x:is>
          <x:t xml:space="preserve">1</x:t>
        </x:is>
      </x:c>
      <x:c r="C171" s="2" t="inlineStr">
        <x:is>
          <x:t xml:space="preserve">Enchantment</x:t>
        </x:is>
      </x:c>
      <x:c r="D171" s="2" t="inlineStr">
        <x:is>
          <x:t xml:space="preserve">Warlock</x:t>
        </x:is>
      </x:c>
      <x:c r="E171" s="2" t="inlineStr">
        <x:is>
          <x:t xml:space="preserve">Bonus Action</x:t>
        </x:is>
      </x:c>
      <x:c r="F171" s="2" t="inlineStr">
        <x:is>
          <x:t xml:space="preserve">90 feet</x:t>
        </x:is>
      </x:c>
      <x:c r="G171" s="2" t="inlineStr">
        <x:is>
          <x:t xml:space="preserve">V, S, M (the petrified eye of a newt)</x:t>
        </x:is>
      </x:c>
      <x:c r="H171" s="2" t="inlineStr">
        <x:is>
          <x:t xml:space="preserve">Concentration, up to 1 hour</x:t>
        </x:is>
      </x:c>
      <x:c r="I171" s="2" t="inlineStr">
        <x:is>
          <x:t xml:space="preserve">You place a curse on a creature that you can see within range. Until the spell ends, you deal an extra 1d6 Necrotic damage to the target whenever you hit it with an attack roll. Also, choose one ability when you cast the spell. The target has Disadvantage on ability checks made with the chosen ability. If the target drops to 0 Hit Points before this spell ends, you can take a Bonus Action on a later turn to curse a new creature. Using a Higher-Level Spell Slot. Your Concentration can last longer with a spell slot of level 2 (up to 4 hours), 3–4 (up to 8 hours), or 5+ (24 hours).</x:t>
        </x:is>
      </x:c>
      <x:c r="J171" s="2" t="inlineStr">
        <x:is>
          <x:t xml:space="preserve">SRD 5.2.1</x:t>
        </x:is>
      </x:c>
      <x:c r="K171" s="2" t="inlineStr">
        <x:is>
          <x:t xml:space="preserve">pp. 107-175</x:t>
        </x:is>
      </x:c>
    </x:row>
    <x:row r="172" ht="18" customHeight="1">
      <x:c r="A172" s="2" t="inlineStr">
        <x:is>
          <x:t xml:space="preserve">Hideous Laughter</x:t>
        </x:is>
      </x:c>
      <x:c r="B172" s="2" t="inlineStr">
        <x:is>
          <x:t xml:space="preserve">1</x:t>
        </x:is>
      </x:c>
      <x:c r="C172" s="2" t="inlineStr">
        <x:is>
          <x:t xml:space="preserve">Enchantment</x:t>
        </x:is>
      </x:c>
      <x:c r="D172" s="2" t="inlineStr">
        <x:is>
          <x:t xml:space="preserve">Bard, Warlock, Wizard</x:t>
        </x:is>
      </x:c>
      <x:c r="E172" s="2" t="inlineStr">
        <x:is>
          <x:t xml:space="preserve">Action</x:t>
        </x:is>
      </x:c>
      <x:c r="F172" s="2" t="inlineStr">
        <x:is>
          <x:t xml:space="preserve">30 feet</x:t>
        </x:is>
      </x:c>
      <x:c r="G172" s="2" t="inlineStr">
        <x:is>
          <x:t xml:space="preserve">V, S, M (a tart and a feather)</x:t>
        </x:is>
      </x:c>
      <x:c r="H172" s="2" t="inlineStr">
        <x:is>
          <x:t xml:space="preserve">Concentration, up to 1 minute</x:t>
        </x:is>
      </x:c>
      <x:c r="I172" s="2" t="inlineStr">
        <x:is>
          <x:t xml:space="preserve">One creature of your choice that you can see within range makes a Wisdom saving throw. On a failed save, it has the Prone and Incapacitated conditions for the duration. During that time, it laughs uncontrollably if it’s capable of laughter, and it can’t end the Prone condition on itself. At the end of each of its turns and each time it takes damage, it makes another Wisdom saving throw. The target has Advantage on the save if the save is triggered by damage. On a successful save, the spell ends. Using a Higher-Level Spell Slot. You can target one additional creature for each spell slot level above 1.</x:t>
        </x:is>
      </x:c>
      <x:c r="J172" s="2" t="inlineStr">
        <x:is>
          <x:t xml:space="preserve">SRD 5.2.1</x:t>
        </x:is>
      </x:c>
      <x:c r="K172" s="2" t="inlineStr">
        <x:is>
          <x:t xml:space="preserve">pp. 107-175</x:t>
        </x:is>
      </x:c>
    </x:row>
    <x:row r="173" ht="18" customHeight="1">
      <x:c r="A173" s="2" t="inlineStr">
        <x:is>
          <x:t xml:space="preserve">Hold Monster</x:t>
        </x:is>
      </x:c>
      <x:c r="B173" s="2" t="inlineStr">
        <x:is>
          <x:t xml:space="preserve">5</x:t>
        </x:is>
      </x:c>
      <x:c r="C173" s="2" t="inlineStr">
        <x:is>
          <x:t xml:space="preserve">Enchantment</x:t>
        </x:is>
      </x:c>
      <x:c r="D173" s="2" t="inlineStr">
        <x:is>
          <x:t xml:space="preserve"/>
        </x:is>
      </x:c>
      <x:c r="E173" s="2" t="inlineStr">
        <x:is>
          <x:t xml:space="preserve">Action</x:t>
        </x:is>
      </x:c>
      <x:c r="F173" s="2" t="inlineStr">
        <x:is>
          <x:t xml:space="preserve">90 feet</x:t>
        </x:is>
      </x:c>
      <x:c r="G173" s="2" t="inlineStr">
        <x:is>
          <x:t xml:space="preserve">V, S, M (a straight piece of iron)</x:t>
        </x:is>
      </x:c>
      <x:c r="H173" s="2" t="inlineStr">
        <x:is>
          <x:t xml:space="preserve">Concentration, up to 1 minute</x:t>
        </x:is>
      </x:c>
      <x:c r="I173" s="2" t="inlineStr">
        <x:is>
          <x:t xml:space="preserve">Choose a creature that you can see within range. The target must succeed on a Wisdom saving throw or have the Paralyzed condition for the duration. At the end of each of its turns, the target repeats the save, ending the spell on itself on a success. Using a Higher-Level Spell Slot. You can target one additional creature for each spell slot level above 5.</x:t>
        </x:is>
      </x:c>
      <x:c r="J173" s="2" t="inlineStr">
        <x:is>
          <x:t xml:space="preserve">SRD 5.2.1</x:t>
        </x:is>
      </x:c>
      <x:c r="K173" s="2" t="inlineStr">
        <x:is>
          <x:t xml:space="preserve">pp. 107-175</x:t>
        </x:is>
      </x:c>
    </x:row>
    <x:row r="174" ht="18" customHeight="1">
      <x:c r="A174" s="2" t="inlineStr">
        <x:is>
          <x:t xml:space="preserve">Hold Person</x:t>
        </x:is>
      </x:c>
      <x:c r="B174" s="2" t="inlineStr">
        <x:is>
          <x:t xml:space="preserve">2</x:t>
        </x:is>
      </x:c>
      <x:c r="C174" s="2" t="inlineStr">
        <x:is>
          <x:t xml:space="preserve">Enchantment</x:t>
        </x:is>
      </x:c>
      <x:c r="D174" s="2" t="inlineStr">
        <x:is>
          <x:t xml:space="preserve"/>
        </x:is>
      </x:c>
      <x:c r="E174" s="2" t="inlineStr">
        <x:is>
          <x:t xml:space="preserve">Action</x:t>
        </x:is>
      </x:c>
      <x:c r="F174" s="2" t="inlineStr">
        <x:is>
          <x:t xml:space="preserve">60 feet</x:t>
        </x:is>
      </x:c>
      <x:c r="G174" s="2" t="inlineStr">
        <x:is>
          <x:t xml:space="preserve">V, S, M (a straight piece of iron)</x:t>
        </x:is>
      </x:c>
      <x:c r="H174" s="2" t="inlineStr">
        <x:is>
          <x:t xml:space="preserve">Concentration, up to 1 minute</x:t>
        </x:is>
      </x:c>
      <x:c r="I174" s="2" t="inlineStr">
        <x:is>
          <x:t xml:space="preserve">Choose a Humanoid that you can see within range. The target must succeed on a Wisdom saving throw or have the Paralyzed condition for the duration. At the end of each of its turns, the target repeats the save, ending the spell on itself on a success. Using a Higher-Level Spell Slot. You can target one additional Humanoid for each spell slot level above 2.</x:t>
        </x:is>
      </x:c>
      <x:c r="J174" s="2" t="inlineStr">
        <x:is>
          <x:t xml:space="preserve">SRD 5.2.1</x:t>
        </x:is>
      </x:c>
      <x:c r="K174" s="2" t="inlineStr">
        <x:is>
          <x:t xml:space="preserve">pp. 107-175</x:t>
        </x:is>
      </x:c>
    </x:row>
    <x:row r="175" ht="18" customHeight="1">
      <x:c r="A175" s="2" t="inlineStr">
        <x:is>
          <x:t xml:space="preserve">Holy Aura</x:t>
        </x:is>
      </x:c>
      <x:c r="B175" s="2" t="inlineStr">
        <x:is>
          <x:t xml:space="preserve">8</x:t>
        </x:is>
      </x:c>
      <x:c r="C175" s="2" t="inlineStr">
        <x:is>
          <x:t xml:space="preserve">Abjuration</x:t>
        </x:is>
      </x:c>
      <x:c r="D175" s="2" t="inlineStr">
        <x:is>
          <x:t xml:space="preserve">Cleric</x:t>
        </x:is>
      </x:c>
      <x:c r="E175" s="2" t="inlineStr">
        <x:is>
          <x:t xml:space="preserve">Action</x:t>
        </x:is>
      </x:c>
      <x:c r="F175" s="2" t="inlineStr">
        <x:is>
          <x:t xml:space="preserve">Self</x:t>
        </x:is>
      </x:c>
      <x:c r="G175" s="2" t="inlineStr">
        <x:is>
          <x:t xml:space="preserve">V, S, M (a reliquary worth 1,000+ GP)</x:t>
        </x:is>
      </x:c>
      <x:c r="H175" s="2" t="inlineStr">
        <x:is>
          <x:t xml:space="preserve">Concentration, up to 1 minute</x:t>
        </x:is>
      </x:c>
      <x:c r="I175" s="2" t="inlineStr">
        <x:is>
          <x:t xml:space="preserve">For the duration, you emit an aura in a 30-foot Emanation. While in the aura, creatures of your choice have Advantage on all saving throws, and other creatures have Disadvantage on attack rolls against them. In addition, when a Fiend or an Undead hits an affected creature with a melee attack roll, the attacker must succeed on a Constitution saving throw or have the Blinded condition until the end of its next turn.</x:t>
        </x:is>
      </x:c>
      <x:c r="J175" s="2" t="inlineStr">
        <x:is>
          <x:t xml:space="preserve">SRD 5.2.1</x:t>
        </x:is>
      </x:c>
      <x:c r="K175" s="2" t="inlineStr">
        <x:is>
          <x:t xml:space="preserve">pp. 107-175</x:t>
        </x:is>
      </x:c>
    </x:row>
    <x:row r="176" ht="18" customHeight="1">
      <x:c r="A176" s="2" t="inlineStr">
        <x:is>
          <x:t xml:space="preserve">Hunter’s Mark</x:t>
        </x:is>
      </x:c>
      <x:c r="B176" s="2" t="inlineStr">
        <x:is>
          <x:t xml:space="preserve">1</x:t>
        </x:is>
      </x:c>
      <x:c r="C176" s="2" t="inlineStr">
        <x:is>
          <x:t xml:space="preserve">Divination</x:t>
        </x:is>
      </x:c>
      <x:c r="D176" s="2" t="inlineStr">
        <x:is>
          <x:t xml:space="preserve">Ranger</x:t>
        </x:is>
      </x:c>
      <x:c r="E176" s="2" t="inlineStr">
        <x:is>
          <x:t xml:space="preserve">Bonus Action</x:t>
        </x:is>
      </x:c>
      <x:c r="F176" s="2" t="inlineStr">
        <x:is>
          <x:t xml:space="preserve">90 feet</x:t>
        </x:is>
      </x:c>
      <x:c r="G176" s="2" t="inlineStr">
        <x:is>
          <x:t xml:space="preserve">V</x:t>
        </x:is>
      </x:c>
      <x:c r="H176" s="2" t="inlineStr">
        <x:is>
          <x:t xml:space="preserve">Concentration, up to 1 hour</x:t>
        </x:is>
      </x:c>
      <x:c r="I176" s="2" t="inlineStr">
        <x:is>
          <x:t xml:space="preserve">You magically mark one creature you can see within range as your quarry. Until the spell ends, you deal an extra 1d6 Force damage to the target whenever you hit it with an attack roll. You also have Advantage on any Wisdom (Perception or Survival) check you make to find it. If the target drops to 0 Hit Points before this spell ends, you can take a Bonus Action to move the mark to a new creature you can see within range. Using a Higher-Level Spell Slot. Your Concentration can last longer with a spell slot of level 3–4 (up to 8 hours) or 5+ (up to 24 hours).</x:t>
        </x:is>
      </x:c>
      <x:c r="J176" s="2" t="inlineStr">
        <x:is>
          <x:t xml:space="preserve">SRD 5.2.1</x:t>
        </x:is>
      </x:c>
      <x:c r="K176" s="2" t="inlineStr">
        <x:is>
          <x:t xml:space="preserve">pp. 107-175</x:t>
        </x:is>
      </x:c>
    </x:row>
    <x:row r="177" ht="18" customHeight="1">
      <x:c r="A177" s="2" t="inlineStr">
        <x:is>
          <x:t xml:space="preserve">Hypnotic Pattern</x:t>
        </x:is>
      </x:c>
      <x:c r="B177" s="2" t="inlineStr">
        <x:is>
          <x:t xml:space="preserve">3</x:t>
        </x:is>
      </x:c>
      <x:c r="C177" s="2" t="inlineStr">
        <x:is>
          <x:t xml:space="preserve">Illusion</x:t>
        </x:is>
      </x:c>
      <x:c r="D177" s="2" t="inlineStr">
        <x:is>
          <x:t xml:space="preserve">Bard, Sorcerer, Warlock, Wizard</x:t>
        </x:is>
      </x:c>
      <x:c r="E177" s="2" t="inlineStr">
        <x:is>
          <x:t xml:space="preserve">Action</x:t>
        </x:is>
      </x:c>
      <x:c r="F177" s="2" t="inlineStr">
        <x:is>
          <x:t xml:space="preserve">120 feet</x:t>
        </x:is>
      </x:c>
      <x:c r="G177" s="2" t="inlineStr">
        <x:is>
          <x:t xml:space="preserve">S, M (a pinch of confetti)</x:t>
        </x:is>
      </x:c>
      <x:c r="H177" s="2" t="inlineStr">
        <x:is>
          <x:t xml:space="preserve">Concentration, up to 1 minute</x:t>
        </x:is>
      </x:c>
      <x:c r="I177" s="2" t="inlineStr">
        <x:is>
          <x:t xml:space="preserve">You create a twisting pattern of colors in a 30-foot Cube within range. The pattern appears for a moment and vanishes. Each creature in the area who can see the pattern must succeed on a Wisdom saving throw or have the Charmed condition for the duration. While Charmed, the creature has the Incapacitated condition and a Speed of 0. The spell ends for an affected creature if it takes any damage or if someone else uses an action to shake the creature out of its stupor.</x:t>
        </x:is>
      </x:c>
      <x:c r="J177" s="2" t="inlineStr">
        <x:is>
          <x:t xml:space="preserve">SRD 5.2.1</x:t>
        </x:is>
      </x:c>
      <x:c r="K177" s="2" t="inlineStr">
        <x:is>
          <x:t xml:space="preserve">pp. 107-175</x:t>
        </x:is>
      </x:c>
    </x:row>
    <x:row r="178" ht="18" customHeight="1">
      <x:c r="A178" s="2" t="inlineStr">
        <x:is>
          <x:t xml:space="preserve">Ice Knife</x:t>
        </x:is>
      </x:c>
      <x:c r="B178" s="2" t="inlineStr">
        <x:is>
          <x:t xml:space="preserve">1</x:t>
        </x:is>
      </x:c>
      <x:c r="C178" s="2" t="inlineStr">
        <x:is>
          <x:t xml:space="preserve">Conjuration</x:t>
        </x:is>
      </x:c>
      <x:c r="D178" s="2" t="inlineStr">
        <x:is>
          <x:t xml:space="preserve">Druid, Sorcerer, Wizard</x:t>
        </x:is>
      </x:c>
      <x:c r="E178" s="2" t="inlineStr">
        <x:is>
          <x:t xml:space="preserve">Action</x:t>
        </x:is>
      </x:c>
      <x:c r="F178" s="2" t="inlineStr">
        <x:is>
          <x:t xml:space="preserve">60 feet</x:t>
        </x:is>
      </x:c>
      <x:c r="G178" s="2" t="inlineStr">
        <x:is>
          <x:t xml:space="preserve">S, M (a drop of water or a piece of ice)</x:t>
        </x:is>
      </x:c>
      <x:c r="H178" s="2" t="inlineStr">
        <x:is>
          <x:t xml:space="preserve">Instantaneous</x:t>
        </x:is>
      </x:c>
      <x:c r="I178" s="2" t="inlineStr">
        <x:is>
          <x:t xml:space="preserve">You create a shard of ice and fling it at one creature within range. Make a ranged spell attack against the target. On a hit, the target takes 1d10 Piercing damage. Hit or miss, the shard then explodes. The target and each creature within 5 feet of it must succeed on a Dexterity saving throw or take 2d6 Cold damage. Using a Higher-Level Spell Slot. The Cold damage increases by 1d6 for each spell slot level above 1.</x:t>
        </x:is>
      </x:c>
      <x:c r="J178" s="2" t="inlineStr">
        <x:is>
          <x:t xml:space="preserve">SRD 5.2.1</x:t>
        </x:is>
      </x:c>
      <x:c r="K178" s="2" t="inlineStr">
        <x:is>
          <x:t xml:space="preserve">pp. 107-175</x:t>
        </x:is>
      </x:c>
    </x:row>
    <x:row r="179" ht="18" customHeight="1">
      <x:c r="A179" s="2" t="inlineStr">
        <x:is>
          <x:t xml:space="preserve">Ice Storm</x:t>
        </x:is>
      </x:c>
      <x:c r="B179" s="2" t="inlineStr">
        <x:is>
          <x:t xml:space="preserve">4</x:t>
        </x:is>
      </x:c>
      <x:c r="C179" s="2" t="inlineStr">
        <x:is>
          <x:t xml:space="preserve">Evocation</x:t>
        </x:is>
      </x:c>
      <x:c r="D179" s="2" t="inlineStr">
        <x:is>
          <x:t xml:space="preserve">Druid, Sorcerer, Wizard</x:t>
        </x:is>
      </x:c>
      <x:c r="E179" s="2" t="inlineStr">
        <x:is>
          <x:t xml:space="preserve">Action</x:t>
        </x:is>
      </x:c>
      <x:c r="F179" s="2" t="inlineStr">
        <x:is>
          <x:t xml:space="preserve">300 feet</x:t>
        </x:is>
      </x:c>
      <x:c r="G179" s="2" t="inlineStr">
        <x:is>
          <x:t xml:space="preserve">V, S, M (a mitten)</x:t>
        </x:is>
      </x:c>
      <x:c r="H179" s="2" t="inlineStr">
        <x:is>
          <x:t xml:space="preserve">Instantaneous</x:t>
        </x:is>
      </x:c>
      <x:c r="I179" s="2" t="inlineStr">
        <x:is>
          <x:t xml:space="preserve">Hail falls in a 20-foot-radius, 40-foot-high Cylinder centered on a point within range. Each creature in the Cylinder makes a Dexterity saving throw. A creature takes 2d10 Bludgeoning damage and 4d6 Cold damage on a failed save or half as much damage on a successful one. Hailstones turn ground in the Cylinder into Difficult Terrain until the end of your next turn. Using a Higher-Level Spell Slot. The Bludgeoning damage increases by 1d10 for each spell slot level above 4.</x:t>
        </x:is>
      </x:c>
      <x:c r="J179" s="2" t="inlineStr">
        <x:is>
          <x:t xml:space="preserve">SRD 5.2.1</x:t>
        </x:is>
      </x:c>
      <x:c r="K179" s="2" t="inlineStr">
        <x:is>
          <x:t xml:space="preserve">pp. 107-175</x:t>
        </x:is>
      </x:c>
    </x:row>
    <x:row r="180" ht="18" customHeight="1">
      <x:c r="A180" s="2" t="inlineStr">
        <x:is>
          <x:t xml:space="preserve">Identify</x:t>
        </x:is>
      </x:c>
      <x:c r="B180" s="2" t="inlineStr">
        <x:is>
          <x:t xml:space="preserve">1</x:t>
        </x:is>
      </x:c>
      <x:c r="C180" s="2" t="inlineStr">
        <x:is>
          <x:t xml:space="preserve">Divination</x:t>
        </x:is>
      </x:c>
      <x:c r="D180" s="2" t="inlineStr">
        <x:is>
          <x:t xml:space="preserve">Bard, Wizard</x:t>
        </x:is>
      </x:c>
      <x:c r="E180" s="2" t="inlineStr">
        <x:is>
          <x:t xml:space="preserve">1 minute or Ritual</x:t>
        </x:is>
      </x:c>
      <x:c r="F180" s="2" t="inlineStr">
        <x:is>
          <x:t xml:space="preserve">Touch</x:t>
        </x:is>
      </x:c>
      <x:c r="G180" s="2" t="inlineStr">
        <x:is>
          <x:t xml:space="preserve">V, S, M (a pearl worth 100+ GP)</x:t>
        </x:is>
      </x:c>
      <x:c r="H180" s="2" t="inlineStr">
        <x:is>
          <x:t xml:space="preserve">Instantaneous</x:t>
        </x:is>
      </x:c>
      <x:c r="I180" s="2" t="inlineStr">
        <x:is>
          <x:t xml:space="preserve">You touch an object throughout the spell’s casting. If the object is a magic item or some other magical object, you learn its properties and how to use them, whether it requires Attunement, and how many charges it has, if any. You learn whether any ongoing spells are affecting the item and what they are. If the item was created by a spell, you learn that spell’s name. If you instead touch a creature throughout the casting, you learn which ongoing spells, if any, are currently affecting it.</x:t>
        </x:is>
      </x:c>
      <x:c r="J180" s="2" t="inlineStr">
        <x:is>
          <x:t xml:space="preserve">SRD 5.2.1</x:t>
        </x:is>
      </x:c>
      <x:c r="K180" s="2" t="inlineStr">
        <x:is>
          <x:t xml:space="preserve">pp. 107-175</x:t>
        </x:is>
      </x:c>
    </x:row>
    <x:row r="181" ht="18" customHeight="1">
      <x:c r="A181" s="2" t="inlineStr">
        <x:is>
          <x:t xml:space="preserve">Illusory Script</x:t>
        </x:is>
      </x:c>
      <x:c r="B181" s="2" t="inlineStr">
        <x:is>
          <x:t xml:space="preserve">1</x:t>
        </x:is>
      </x:c>
      <x:c r="C181" s="2" t="inlineStr">
        <x:is>
          <x:t xml:space="preserve">Illusion</x:t>
        </x:is>
      </x:c>
      <x:c r="D181" s="2" t="inlineStr">
        <x:is>
          <x:t xml:space="preserve">Bard, Warlock, Wizard</x:t>
        </x:is>
      </x:c>
      <x:c r="E181" s="2" t="inlineStr">
        <x:is>
          <x:t xml:space="preserve">1 minute or Ritual</x:t>
        </x:is>
      </x:c>
      <x:c r="F181" s="2" t="inlineStr">
        <x:is>
          <x:t xml:space="preserve">Touch</x:t>
        </x:is>
      </x:c>
      <x:c r="G181" s="2" t="inlineStr">
        <x:is>
          <x:t xml:space="preserve">S, M (ink worth 10+ GP, which the spell</x:t>
        </x:is>
      </x:c>
      <x:c r="H181" s="2" t="inlineStr">
        <x:is>
          <x:t xml:space="preserve">10 days</x:t>
        </x:is>
      </x:c>
      <x:c r="I181" s="2" t="inlineStr">
        <x:is>
          <x:t xml:space="preserve">You write on parchment, paper, or another suitable material and imbue it with an illusion that lasts for the duration. To you and any creatures you designate when you cast the spell, the writing appears normal, seems to be written in your hand, and conveys whatever meaning you intended when you wrote the text. To all others, the writing appears as if it were written in an unknown or magical script that is unintelligible. Alternatively, the illusion can alter the meaning, handwriting, and language of the text, though the language must be one you know. If the spell is dispelled, the original script and the illusion both disappear. A creature that has Truesight can read the hidden message.</x:t>
        </x:is>
      </x:c>
      <x:c r="J181" s="2" t="inlineStr">
        <x:is>
          <x:t xml:space="preserve">SRD 5.2.1</x:t>
        </x:is>
      </x:c>
      <x:c r="K181" s="2" t="inlineStr">
        <x:is>
          <x:t xml:space="preserve">pp. 107-175</x:t>
        </x:is>
      </x:c>
    </x:row>
    <x:row r="182" ht="18" customHeight="1">
      <x:c r="A182" s="2" t="inlineStr">
        <x:is>
          <x:t xml:space="preserve">Imprisonment</x:t>
        </x:is>
      </x:c>
      <x:c r="B182" s="2" t="inlineStr">
        <x:is>
          <x:t xml:space="preserve">9</x:t>
        </x:is>
      </x:c>
      <x:c r="C182" s="2" t="inlineStr">
        <x:is>
          <x:t xml:space="preserve">Abjuration</x:t>
        </x:is>
      </x:c>
      <x:c r="D182" s="2" t="inlineStr">
        <x:is>
          <x:t xml:space="preserve">Warlock, Wizard</x:t>
        </x:is>
      </x:c>
      <x:c r="E182" s="2" t="inlineStr">
        <x:is>
          <x:t xml:space="preserve">1 minute</x:t>
        </x:is>
      </x:c>
      <x:c r="F182" s="2" t="inlineStr">
        <x:is>
          <x:t xml:space="preserve">30 feet</x:t>
        </x:is>
      </x:c>
      <x:c r="G182" s="2" t="inlineStr">
        <x:is>
          <x:t xml:space="preserve">V, S, M (a statuette of the target worth</x:t>
        </x:is>
      </x:c>
      <x:c r="H182" s="2" t="inlineStr">
        <x:is>
          <x:t xml:space="preserve">Until dispelled</x:t>
        </x:is>
      </x:c>
      <x:c r="I182" s="2" t="inlineStr">
        <x:is>
          <x:t xml:space="preserve">You create a magical restraint to hold a creature that you can see within range. The target must make a Wisdom saving throw. On a successful save, the target is unaffected, and it is immune to this spell for the next 24 hours. On a failed save, the target is imprisoned. While imprisoned, the target doesn’t need to breathe, eat, or drink, and it doesn’t age. Divination spells can’t locate or perceive the imprisoned target, and the target can’t teleport. Until the spell ends, the target is also affected by one of the following effects of your choice: Burial. The target is entombed beneath the earth in a hollow globe of magical force that is just large enough to contain the target. Nothing can pass into or out of the globe. Chaining. Chains firmly rooted in the ground hold the target in place. The target has the Restrained condition and can’t be moved by any means. Hedged Prison. The target is trapped in a demiplane that is warded against teleportation and planar travel. The demiplane is your choice of a labyrinth, a cage, a tower, or the like. Minimus Containment. The target becomes 1 inch tall and is trapped inside an indestructible gemstone or a similar object. Light can pass through the gemstone (allowing the target to see out and other creatures to see in), but nothing else can pass through by any means. Slumber. The target has the Unconscious condition and can’t be awoken. Ending the Spell. When you cast the spell, specify a trigger that will end it. The trigger can be as simple or as elaborate as you choose, but the GM must agree that it has a high likelihood of happening within the next decade. The trigger must be an observable action, such as someone making a particular offering at the temple of your god, saving your true love, or defeating a specific monster. A Dispel Magic spell can end the spell only if it is cast with a level 9 spell slot, targeting either the prison or the component used to create it.</x:t>
        </x:is>
      </x:c>
      <x:c r="J182" s="2" t="inlineStr">
        <x:is>
          <x:t xml:space="preserve">SRD 5.2.1</x:t>
        </x:is>
      </x:c>
      <x:c r="K182" s="2" t="inlineStr">
        <x:is>
          <x:t xml:space="preserve">pp. 107-175</x:t>
        </x:is>
      </x:c>
    </x:row>
    <x:row r="183" ht="18" customHeight="1">
      <x:c r="A183" s="2" t="inlineStr">
        <x:is>
          <x:t xml:space="preserve">Incendiary Cloud</x:t>
        </x:is>
      </x:c>
      <x:c r="B183" s="2" t="inlineStr">
        <x:is>
          <x:t xml:space="preserve">8</x:t>
        </x:is>
      </x:c>
      <x:c r="C183" s="2" t="inlineStr">
        <x:is>
          <x:t xml:space="preserve">Conjuration</x:t>
        </x:is>
      </x:c>
      <x:c r="D183" s="2" t="inlineStr">
        <x:is>
          <x:t xml:space="preserve">Druid, Sorcerer, Wizard</x:t>
        </x:is>
      </x:c>
      <x:c r="E183" s="2" t="inlineStr">
        <x:is>
          <x:t xml:space="preserve">Action</x:t>
        </x:is>
      </x:c>
      <x:c r="F183" s="2" t="inlineStr">
        <x:is>
          <x:t xml:space="preserve">150 feet</x:t>
        </x:is>
      </x:c>
      <x:c r="G183" s="2" t="inlineStr">
        <x:is>
          <x:t xml:space="preserve">V, S</x:t>
        </x:is>
      </x:c>
      <x:c r="H183" s="2" t="inlineStr">
        <x:is>
          <x:t xml:space="preserve">Concentration, up to 1 minute</x:t>
        </x:is>
      </x:c>
      <x:c r="I183" s="2" t="inlineStr">
        <x:is>
          <x:t xml:space="preserve">A swirling cloud of embers and smoke fills a 20-foot-radius Sphere centered on a point within range. The cloud’s area is Heavily Obscured. It lasts for the duration or until a strong wind (like that created by Gust of Wind) disperses it. When the cloud appears, each creature in it makes a Dexterity saving throw, taking 10d8 Fire damage on a failed save or half as much damage on a successful one. A creature must also make this save when the Sphere moves into its space and when it enters the Sphere or ends its turn there. A creature makes this save only once per turn. The cloud moves 10 feet away from you in a direction you choose at the start of each of your turns.</x:t>
        </x:is>
      </x:c>
      <x:c r="J183" s="2" t="inlineStr">
        <x:is>
          <x:t xml:space="preserve">SRD 5.2.1</x:t>
        </x:is>
      </x:c>
      <x:c r="K183" s="2" t="inlineStr">
        <x:is>
          <x:t xml:space="preserve">pp. 107-175</x:t>
        </x:is>
      </x:c>
    </x:row>
    <x:row r="184" ht="18" customHeight="1">
      <x:c r="A184" s="2" t="inlineStr">
        <x:is>
          <x:t xml:space="preserve">Inflict Wounds</x:t>
        </x:is>
      </x:c>
      <x:c r="B184" s="2" t="inlineStr">
        <x:is>
          <x:t xml:space="preserve">1</x:t>
        </x:is>
      </x:c>
      <x:c r="C184" s="2" t="inlineStr">
        <x:is>
          <x:t xml:space="preserve">Necromancy</x:t>
        </x:is>
      </x:c>
      <x:c r="D184" s="2" t="inlineStr">
        <x:is>
          <x:t xml:space="preserve">Cleric</x:t>
        </x:is>
      </x:c>
      <x:c r="E184" s="2" t="inlineStr">
        <x:is>
          <x:t xml:space="preserve">Action</x:t>
        </x:is>
      </x:c>
      <x:c r="F184" s="2" t="inlineStr">
        <x:is>
          <x:t xml:space="preserve">Touch</x:t>
        </x:is>
      </x:c>
      <x:c r="G184" s="2" t="inlineStr">
        <x:is>
          <x:t xml:space="preserve">V, S</x:t>
        </x:is>
      </x:c>
      <x:c r="H184" s="2" t="inlineStr">
        <x:is>
          <x:t xml:space="preserve">Instantaneous</x:t>
        </x:is>
      </x:c>
      <x:c r="I184" s="2" t="inlineStr">
        <x:is>
          <x:t xml:space="preserve">A creature you touch makes a Constitution saving throw, taking 2d10 Necrotic damage on a failed save or half as much damage on a successful one. Using a Higher-Level Spell Slot. The damage increases by 1d10 for each spell slot level above 1.</x:t>
        </x:is>
      </x:c>
      <x:c r="J184" s="2" t="inlineStr">
        <x:is>
          <x:t xml:space="preserve">SRD 5.2.1</x:t>
        </x:is>
      </x:c>
      <x:c r="K184" s="2" t="inlineStr">
        <x:is>
          <x:t xml:space="preserve">pp. 107-175</x:t>
        </x:is>
      </x:c>
    </x:row>
    <x:row r="185" ht="18" customHeight="1">
      <x:c r="A185" s="2" t="inlineStr">
        <x:is>
          <x:t xml:space="preserve">Insect Plague</x:t>
        </x:is>
      </x:c>
      <x:c r="B185" s="2" t="inlineStr">
        <x:is>
          <x:t xml:space="preserve">5</x:t>
        </x:is>
      </x:c>
      <x:c r="C185" s="2" t="inlineStr">
        <x:is>
          <x:t xml:space="preserve">Conjuration</x:t>
        </x:is>
      </x:c>
      <x:c r="D185" s="2" t="inlineStr">
        <x:is>
          <x:t xml:space="preserve">Cleric, Druid, Sorcerer</x:t>
        </x:is>
      </x:c>
      <x:c r="E185" s="2" t="inlineStr">
        <x:is>
          <x:t xml:space="preserve">Action</x:t>
        </x:is>
      </x:c>
      <x:c r="F185" s="2" t="inlineStr">
        <x:is>
          <x:t xml:space="preserve">300 feet</x:t>
        </x:is>
      </x:c>
      <x:c r="G185" s="2" t="inlineStr">
        <x:is>
          <x:t xml:space="preserve">V, S, M (a locust)</x:t>
        </x:is>
      </x:c>
      <x:c r="H185" s="2" t="inlineStr">
        <x:is>
          <x:t xml:space="preserve">Concentration, up to 10 minutes</x:t>
        </x:is>
      </x:c>
      <x:c r="I185" s="2" t="inlineStr">
        <x:is>
          <x:t xml:space="preserve">Swarming locusts fill a 20-foot-radius Sphere centered on a point you choose within range. The Sphere remains for the duration, and its area is Lightly Obscured and Difficult Terrain. When the swarm appears, each creature in it makes a Constitution saving throw, taking 4d10 Piercing damage on a failed save or half as much damage on a successful one. A creature also makes this save when it enters the spell’s area for the first time on a turn or ends its turn there. A creature makes this save only once per turn. Using a Higher-Level Spell Slot. The damage increases by 1d10 for each spell slot level above 5.</x:t>
        </x:is>
      </x:c>
      <x:c r="J185" s="2" t="inlineStr">
        <x:is>
          <x:t xml:space="preserve">SRD 5.2.1</x:t>
        </x:is>
      </x:c>
      <x:c r="K185" s="2" t="inlineStr">
        <x:is>
          <x:t xml:space="preserve">pp. 107-175</x:t>
        </x:is>
      </x:c>
    </x:row>
    <x:row r="186" ht="18" customHeight="1">
      <x:c r="A186" s="2" t="inlineStr">
        <x:is>
          <x:t xml:space="preserve">Instant Summons</x:t>
        </x:is>
      </x:c>
      <x:c r="B186" s="2" t="inlineStr">
        <x:is>
          <x:t xml:space="preserve">6</x:t>
        </x:is>
      </x:c>
      <x:c r="C186" s="2" t="inlineStr">
        <x:is>
          <x:t xml:space="preserve">Conjuration</x:t>
        </x:is>
      </x:c>
      <x:c r="D186" s="2" t="inlineStr">
        <x:is>
          <x:t xml:space="preserve">Wizard</x:t>
        </x:is>
      </x:c>
      <x:c r="E186" s="2" t="inlineStr">
        <x:is>
          <x:t xml:space="preserve">1 minute or Ritual</x:t>
        </x:is>
      </x:c>
      <x:c r="F186" s="2" t="inlineStr">
        <x:is>
          <x:t xml:space="preserve">Touch</x:t>
        </x:is>
      </x:c>
      <x:c r="G186" s="2" t="inlineStr">
        <x:is>
          <x:t xml:space="preserve">V, S, M (a sapphire worth 1,000+ GP)</x:t>
        </x:is>
      </x:c>
      <x:c r="H186" s="2" t="inlineStr">
        <x:is>
          <x:t xml:space="preserve">Until dispelled</x:t>
        </x:is>
      </x:c>
      <x:c r="I186" s="2" t="inlineStr">
        <x:is>
          <x:t xml:space="preserve">You touch the sapphire used in the casting and an object weighing 10 pounds or less whose longest dimension is 6 feet or less. The spell leaves an Invisible mark on that object and invisibly inscribes the object’s name on the sapphire. Each time you cast this spell, you must use a different sapphire. Thereafter, you can take a Magic action to speak the object’s name and crush the sapphire. The object instantly appears in your hand regardless of physical or planar distances, and the spell ends. If another creature is holding or carrying the object, crushing the sapphire doesn’t transport it, but instead you learn who that creature is and where that creature is currently located.</x:t>
        </x:is>
      </x:c>
      <x:c r="J186" s="2" t="inlineStr">
        <x:is>
          <x:t xml:space="preserve">SRD 5.2.1</x:t>
        </x:is>
      </x:c>
      <x:c r="K186" s="2" t="inlineStr">
        <x:is>
          <x:t xml:space="preserve">pp. 107-175</x:t>
        </x:is>
      </x:c>
    </x:row>
    <x:row r="187" ht="18" customHeight="1">
      <x:c r="A187" s="2" t="inlineStr">
        <x:is>
          <x:t xml:space="preserve">Irresistible Dance</x:t>
        </x:is>
      </x:c>
      <x:c r="B187" s="2" t="inlineStr">
        <x:is>
          <x:t xml:space="preserve">6</x:t>
        </x:is>
      </x:c>
      <x:c r="C187" s="2" t="inlineStr">
        <x:is>
          <x:t xml:space="preserve">Enchantment</x:t>
        </x:is>
      </x:c>
      <x:c r="D187" s="2" t="inlineStr">
        <x:is>
          <x:t xml:space="preserve">Bard, Wizard</x:t>
        </x:is>
      </x:c>
      <x:c r="E187" s="2" t="inlineStr">
        <x:is>
          <x:t xml:space="preserve">Action</x:t>
        </x:is>
      </x:c>
      <x:c r="F187" s="2" t="inlineStr">
        <x:is>
          <x:t xml:space="preserve">30 feet</x:t>
        </x:is>
      </x:c>
      <x:c r="G187" s="2" t="inlineStr">
        <x:is>
          <x:t xml:space="preserve">V</x:t>
        </x:is>
      </x:c>
      <x:c r="H187" s="2" t="inlineStr">
        <x:is>
          <x:t xml:space="preserve">Concentration, up to 1 minute</x:t>
        </x:is>
      </x:c>
      <x:c r="I187" s="2" t="inlineStr">
        <x:is>
          <x:t xml:space="preserve">One creature that you can see within range must make a Wisdom saving throw. On a successful save, the target dances comically until the end of its next turn, during which it must spend all its movement to dance in place. On a failed save, the target has the Charmed condition for the duration. While Charmed, the target dances comically, must use all its movement to dance in place, and has Disadvantage on Dexterity saving throws and attack rolls, and other creatures have Advantage on attack rolls against it. On each of its turns, the target can take an action to collect itself and repeat the save, ending the spell on itself on a success.</x:t>
        </x:is>
      </x:c>
      <x:c r="J187" s="2" t="inlineStr">
        <x:is>
          <x:t xml:space="preserve">SRD 5.2.1</x:t>
        </x:is>
      </x:c>
      <x:c r="K187" s="2" t="inlineStr">
        <x:is>
          <x:t xml:space="preserve">pp. 107-175</x:t>
        </x:is>
      </x:c>
    </x:row>
    <x:row r="188" ht="18" customHeight="1">
      <x:c r="A188" s="2" t="inlineStr">
        <x:is>
          <x:t xml:space="preserve">Invisibility</x:t>
        </x:is>
      </x:c>
      <x:c r="B188" s="2" t="inlineStr">
        <x:is>
          <x:t xml:space="preserve">2</x:t>
        </x:is>
      </x:c>
      <x:c r="C188" s="2" t="inlineStr">
        <x:is>
          <x:t xml:space="preserve">Illusion</x:t>
        </x:is>
      </x:c>
      <x:c r="D188" s="2" t="inlineStr">
        <x:is>
          <x:t xml:space="preserve">Bard, Sorcerer, Warlock, Wizard</x:t>
        </x:is>
      </x:c>
      <x:c r="E188" s="2" t="inlineStr">
        <x:is>
          <x:t xml:space="preserve">Action</x:t>
        </x:is>
      </x:c>
      <x:c r="F188" s="2" t="inlineStr">
        <x:is>
          <x:t xml:space="preserve">Touch</x:t>
        </x:is>
      </x:c>
      <x:c r="G188" s="2" t="inlineStr">
        <x:is>
          <x:t xml:space="preserve">V, S, M (an eyelash in gum arabic)</x:t>
        </x:is>
      </x:c>
      <x:c r="H188" s="2" t="inlineStr">
        <x:is>
          <x:t xml:space="preserve">Concentration, up to 1 hour</x:t>
        </x:is>
      </x:c>
      <x:c r="I188" s="2" t="inlineStr">
        <x:is>
          <x:t xml:space="preserve">A creature you touch has the Invisible condition until the spell ends. The spell ends early immediately after the target makes an attack roll, deals damage, or casts a spell. Using a Higher-Level Spell Slot. You can target one additional creature for each spell slot level above 2.</x:t>
        </x:is>
      </x:c>
      <x:c r="J188" s="2" t="inlineStr">
        <x:is>
          <x:t xml:space="preserve">SRD 5.2.1</x:t>
        </x:is>
      </x:c>
      <x:c r="K188" s="2" t="inlineStr">
        <x:is>
          <x:t xml:space="preserve">pp. 107-175</x:t>
        </x:is>
      </x:c>
    </x:row>
    <x:row r="189" ht="18" customHeight="1">
      <x:c r="A189" s="2" t="inlineStr">
        <x:is>
          <x:t xml:space="preserve">Jump</x:t>
        </x:is>
      </x:c>
      <x:c r="B189" s="2" t="inlineStr">
        <x:is>
          <x:t xml:space="preserve">1</x:t>
        </x:is>
      </x:c>
      <x:c r="C189" s="2" t="inlineStr">
        <x:is>
          <x:t xml:space="preserve">Transmutation</x:t>
        </x:is>
      </x:c>
      <x:c r="D189" s="2" t="inlineStr">
        <x:is>
          <x:t xml:space="preserve"/>
        </x:is>
      </x:c>
      <x:c r="E189" s="2" t="inlineStr">
        <x:is>
          <x:t xml:space="preserve">Bonus Action</x:t>
        </x:is>
      </x:c>
      <x:c r="F189" s="2" t="inlineStr">
        <x:is>
          <x:t xml:space="preserve">Touch</x:t>
        </x:is>
      </x:c>
      <x:c r="G189" s="2" t="inlineStr">
        <x:is>
          <x:t xml:space="preserve"/>
        </x:is>
      </x:c>
      <x:c r="H189" s="2" t="inlineStr">
        <x:is>
          <x:t xml:space="preserve">1 minute</x:t>
        </x:is>
      </x:c>
      <x:c r="I189" s="2" t="inlineStr">
        <x:is>
          <x:t xml:space="preserve">You touch a willing creature. Once on each of its turns until the spell ends, that creature can jump up to 30 feet by spending 10 feet of movement. Using a Higher-Level Spell Slot. You can target one additional creature for each spell slot level above 1.</x:t>
        </x:is>
      </x:c>
      <x:c r="J189" s="2" t="inlineStr">
        <x:is>
          <x:t xml:space="preserve">SRD 5.2.1</x:t>
        </x:is>
      </x:c>
      <x:c r="K189" s="2" t="inlineStr">
        <x:is>
          <x:t xml:space="preserve">pp. 107-175</x:t>
        </x:is>
      </x:c>
    </x:row>
    <x:row r="190" ht="18" customHeight="1">
      <x:c r="A190" s="2" t="inlineStr">
        <x:is>
          <x:t xml:space="preserve">Knock</x:t>
        </x:is>
      </x:c>
      <x:c r="B190" s="2" t="inlineStr">
        <x:is>
          <x:t xml:space="preserve">2</x:t>
        </x:is>
      </x:c>
      <x:c r="C190" s="2" t="inlineStr">
        <x:is>
          <x:t xml:space="preserve">Transmutation</x:t>
        </x:is>
      </x:c>
      <x:c r="D190" s="2" t="inlineStr">
        <x:is>
          <x:t xml:space="preserve">Bard, Sorcerer, Wizard</x:t>
        </x:is>
      </x:c>
      <x:c r="E190" s="2" t="inlineStr">
        <x:is>
          <x:t xml:space="preserve">Action</x:t>
        </x:is>
      </x:c>
      <x:c r="F190" s="2" t="inlineStr">
        <x:is>
          <x:t xml:space="preserve">60 feet</x:t>
        </x:is>
      </x:c>
      <x:c r="G190" s="2" t="inlineStr">
        <x:is>
          <x:t xml:space="preserve">V</x:t>
        </x:is>
      </x:c>
      <x:c r="H190" s="2" t="inlineStr">
        <x:is>
          <x:t xml:space="preserve">Instantaneous</x:t>
        </x:is>
      </x:c>
      <x:c r="I190" s="2" t="inlineStr">
        <x:is>
          <x:t xml:space="preserve">Choose an object that you can see within range. The object can be a door, a box, a chest, a set of manacles, a padlock, or another object that contains a mundane or magical means that prevents access. A target that is held shut by a mundane lock or that is stuck or barred becomes unlocked, unstuck, or unbarred. If the object has multiple locks, only one of them is unlocked. If the target is held shut by Arcane Lock, that spell is suppressed for 10 minutes, during which time the target can be opened and closed. When you cast the spell, a loud knock, audible up to 300 feet away, emanates from the target.</x:t>
        </x:is>
      </x:c>
      <x:c r="J190" s="2" t="inlineStr">
        <x:is>
          <x:t xml:space="preserve">SRD 5.2.1</x:t>
        </x:is>
      </x:c>
      <x:c r="K190" s="2" t="inlineStr">
        <x:is>
          <x:t xml:space="preserve">pp. 107-175</x:t>
        </x:is>
      </x:c>
    </x:row>
    <x:row r="191" ht="18" customHeight="1">
      <x:c r="A191" s="2" t="inlineStr">
        <x:is>
          <x:t xml:space="preserve">Legend Lore</x:t>
        </x:is>
      </x:c>
      <x:c r="B191" s="2" t="inlineStr">
        <x:is>
          <x:t xml:space="preserve">5</x:t>
        </x:is>
      </x:c>
      <x:c r="C191" s="2" t="inlineStr">
        <x:is>
          <x:t xml:space="preserve">Divination</x:t>
        </x:is>
      </x:c>
      <x:c r="D191" s="2" t="inlineStr">
        <x:is>
          <x:t xml:space="preserve">Bard, Cleric, Wizard</x:t>
        </x:is>
      </x:c>
      <x:c r="E191" s="2" t="inlineStr">
        <x:is>
          <x:t xml:space="preserve">10 minutes</x:t>
        </x:is>
      </x:c>
      <x:c r="F191" s="2" t="inlineStr">
        <x:is>
          <x:t xml:space="preserve">Self</x:t>
        </x:is>
      </x:c>
      <x:c r="G191" s="2" t="inlineStr">
        <x:is>
          <x:t xml:space="preserve">V, S, M (incense worth 250+ GP, which</x:t>
        </x:is>
      </x:c>
      <x:c r="H191" s="2" t="inlineStr">
        <x:is>
          <x:t xml:space="preserve">Instantaneous</x:t>
        </x:is>
      </x:c>
      <x:c r="I191" s="2" t="inlineStr">
        <x:is>
          <x:t xml:space="preserve">Name or describe a famous person, place, or object. The spell brings to your mind a brief summary of the significant lore about that famous thing, as described by the GM. The lore might consist of important details, amusing revelations, or even secret lore that has never been widely known. The more information you already know about the thing, the more precise and detailed the information you receive is. That information is accurate but might be couched in figurative language or poetry, as determined by the GM. If the famous thing you chose isn’t actually famous, you hear sad musical notes played on a trombone, and the spell fails.</x:t>
        </x:is>
      </x:c>
      <x:c r="J191" s="2" t="inlineStr">
        <x:is>
          <x:t xml:space="preserve">SRD 5.2.1</x:t>
        </x:is>
      </x:c>
      <x:c r="K191" s="2" t="inlineStr">
        <x:is>
          <x:t xml:space="preserve">pp. 107-175</x:t>
        </x:is>
      </x:c>
    </x:row>
    <x:row r="192" ht="18" customHeight="1">
      <x:c r="A192" s="2" t="inlineStr">
        <x:is>
          <x:t xml:space="preserve">Lesser Restoration</x:t>
        </x:is>
      </x:c>
      <x:c r="B192" s="2" t="inlineStr">
        <x:is>
          <x:t xml:space="preserve">2</x:t>
        </x:is>
      </x:c>
      <x:c r="C192" s="2" t="inlineStr">
        <x:is>
          <x:t xml:space="preserve">Abjuration</x:t>
        </x:is>
      </x:c>
      <x:c r="D192" s="2" t="inlineStr">
        <x:is>
          <x:t xml:space="preserve"/>
        </x:is>
      </x:c>
      <x:c r="E192" s="2" t="inlineStr">
        <x:is>
          <x:t xml:space="preserve">Bonus Action</x:t>
        </x:is>
      </x:c>
      <x:c r="F192" s="2" t="inlineStr">
        <x:is>
          <x:t xml:space="preserve">Touch</x:t>
        </x:is>
      </x:c>
      <x:c r="G192" s="2" t="inlineStr">
        <x:is>
          <x:t xml:space="preserve">V, S</x:t>
        </x:is>
      </x:c>
      <x:c r="H192" s="2" t="inlineStr">
        <x:is>
          <x:t xml:space="preserve">Instantaneous</x:t>
        </x:is>
      </x:c>
      <x:c r="I192" s="2" t="inlineStr">
        <x:is>
          <x:t xml:space="preserve">You touch a creature and end one condition on it: Blinded, Deafened, Paralyzed, or Poisoned.</x:t>
        </x:is>
      </x:c>
      <x:c r="J192" s="2" t="inlineStr">
        <x:is>
          <x:t xml:space="preserve">SRD 5.2.1</x:t>
        </x:is>
      </x:c>
      <x:c r="K192" s="2" t="inlineStr">
        <x:is>
          <x:t xml:space="preserve">pp. 107-175</x:t>
        </x:is>
      </x:c>
    </x:row>
    <x:row r="193" ht="18" customHeight="1">
      <x:c r="A193" s="2" t="inlineStr">
        <x:is>
          <x:t xml:space="preserve">Levitate</x:t>
        </x:is>
      </x:c>
      <x:c r="B193" s="2" t="inlineStr">
        <x:is>
          <x:t xml:space="preserve">2</x:t>
        </x:is>
      </x:c>
      <x:c r="C193" s="2" t="inlineStr">
        <x:is>
          <x:t xml:space="preserve">Transmutation</x:t>
        </x:is>
      </x:c>
      <x:c r="D193" s="2" t="inlineStr">
        <x:is>
          <x:t xml:space="preserve">Sorcerer, Wizard</x:t>
        </x:is>
      </x:c>
      <x:c r="E193" s="2" t="inlineStr">
        <x:is>
          <x:t xml:space="preserve">Action</x:t>
        </x:is>
      </x:c>
      <x:c r="F193" s="2" t="inlineStr">
        <x:is>
          <x:t xml:space="preserve">60 feet</x:t>
        </x:is>
      </x:c>
      <x:c r="G193" s="2" t="inlineStr">
        <x:is>
          <x:t xml:space="preserve">V, S, M (a metal spring)</x:t>
        </x:is>
      </x:c>
      <x:c r="H193" s="2" t="inlineStr">
        <x:is>
          <x:t xml:space="preserve">Concentration, up to 10 minutes</x:t>
        </x:is>
      </x:c>
      <x:c r="I193" s="2" t="inlineStr">
        <x:is>
          <x:t xml:space="preserve">One creature or loose object of your choice that you can see within range rises vertically up to 20 feet and remains suspended there for the duration. The spell can levitate an object that weighs up to 500 pounds. An unwilling creature that succeeds on a Constitution saving throw is unaffected. The target can move only by pushing or pulling against a fixed object or surface within reach (such as a wall or a ceiling), which allows it to move as if it were climbing. You can change the target’s altitude by up to 20 feet in either direction on your turn. If you are the target, you can move up or down as part of your move. Otherwise, you can take a Magic action to move the target, which must remain within the spell’s range. When the spell ends, the target floats gently to the ground if it is still aloft.</x:t>
        </x:is>
      </x:c>
      <x:c r="J193" s="2" t="inlineStr">
        <x:is>
          <x:t xml:space="preserve">SRD 5.2.1</x:t>
        </x:is>
      </x:c>
      <x:c r="K193" s="2" t="inlineStr">
        <x:is>
          <x:t xml:space="preserve">pp. 107-175</x:t>
        </x:is>
      </x:c>
    </x:row>
    <x:row r="194" ht="18" customHeight="1">
      <x:c r="A194" s="2" t="inlineStr">
        <x:is>
          <x:t xml:space="preserve">Light</x:t>
        </x:is>
      </x:c>
      <x:c r="B194" s="2" t="inlineStr">
        <x:is>
          <x:t xml:space="preserve">Cantrip</x:t>
        </x:is>
      </x:c>
      <x:c r="C194" s="2" t="inlineStr">
        <x:is>
          <x:t xml:space="preserve">Evocation</x:t>
        </x:is>
      </x:c>
      <x:c r="D194" s="2" t="inlineStr">
        <x:is>
          <x:t xml:space="preserve">Bard, Cleric, Sorcerer, Wizard</x:t>
        </x:is>
      </x:c>
      <x:c r="E194" s="2" t="inlineStr">
        <x:is>
          <x:t xml:space="preserve">Action</x:t>
        </x:is>
      </x:c>
      <x:c r="F194" s="2" t="inlineStr">
        <x:is>
          <x:t xml:space="preserve">Touch</x:t>
        </x:is>
      </x:c>
      <x:c r="G194" s="2" t="inlineStr">
        <x:is>
          <x:t xml:space="preserve">V, M (a firefly or phosphorescent moss)</x:t>
        </x:is>
      </x:c>
      <x:c r="H194" s="2" t="inlineStr">
        <x:is>
          <x:t xml:space="preserve">1 hour</x:t>
        </x:is>
      </x:c>
      <x:c r="I194" s="2" t="inlineStr">
        <x:is>
          <x:t xml:space="preserve">You touch one Large or smaller object that isn’t being worn or carried by someone else. Until the spell ends, the object sheds Bright Light in a 20-foot radius and Dim Light for an additional 20 feet. The light can be colored as you like. Covering the object with something opaque blocks the light. The spell ends if you cast it again.</x:t>
        </x:is>
      </x:c>
      <x:c r="J194" s="2" t="inlineStr">
        <x:is>
          <x:t xml:space="preserve">SRD 5.2.1</x:t>
        </x:is>
      </x:c>
      <x:c r="K194" s="2" t="inlineStr">
        <x:is>
          <x:t xml:space="preserve">pp. 107-175</x:t>
        </x:is>
      </x:c>
    </x:row>
    <x:row r="195" ht="18" customHeight="1">
      <x:c r="A195" s="2" t="inlineStr">
        <x:is>
          <x:t xml:space="preserve">Lightning Bolt</x:t>
        </x:is>
      </x:c>
      <x:c r="B195" s="2" t="inlineStr">
        <x:is>
          <x:t xml:space="preserve">3</x:t>
        </x:is>
      </x:c>
      <x:c r="C195" s="2" t="inlineStr">
        <x:is>
          <x:t xml:space="preserve">Evocation</x:t>
        </x:is>
      </x:c>
      <x:c r="D195" s="2" t="inlineStr">
        <x:is>
          <x:t xml:space="preserve">Sorcerer, Wizard</x:t>
        </x:is>
      </x:c>
      <x:c r="E195" s="2" t="inlineStr">
        <x:is>
          <x:t xml:space="preserve">Action</x:t>
        </x:is>
      </x:c>
      <x:c r="F195" s="2" t="inlineStr">
        <x:is>
          <x:t xml:space="preserve">Self</x:t>
        </x:is>
      </x:c>
      <x:c r="G195" s="2" t="inlineStr">
        <x:is>
          <x:t xml:space="preserve">V, S, M (a bit of fur and a crystal rod)</x:t>
        </x:is>
      </x:c>
      <x:c r="H195" s="2" t="inlineStr">
        <x:is>
          <x:t xml:space="preserve">Instantaneous</x:t>
        </x:is>
      </x:c>
      <x:c r="I195" s="2" t="inlineStr">
        <x:is>
          <x:t xml:space="preserve">A stroke of lightning forming a 100-foot-long, 5-foot-wide Line blasts out from you in a direction you choose. Each creature in the Line makes a Dexterity saving throw, taking 8d6 Lightning damage on a failed save or half as much damage on a successful one. Using a Higher-Level Spell Slot. The damage increases by 1d6 for each spell slot level above 3.</x:t>
        </x:is>
      </x:c>
      <x:c r="J195" s="2" t="inlineStr">
        <x:is>
          <x:t xml:space="preserve">SRD 5.2.1</x:t>
        </x:is>
      </x:c>
      <x:c r="K195" s="2" t="inlineStr">
        <x:is>
          <x:t xml:space="preserve">pp. 107-175</x:t>
        </x:is>
      </x:c>
    </x:row>
    <x:row r="196" ht="18" customHeight="1">
      <x:c r="A196" s="2" t="inlineStr">
        <x:is>
          <x:t xml:space="preserve">Locate Animals or Plants</x:t>
        </x:is>
      </x:c>
      <x:c r="B196" s="2" t="inlineStr">
        <x:is>
          <x:t xml:space="preserve">2</x:t>
        </x:is>
      </x:c>
      <x:c r="C196" s="2" t="inlineStr">
        <x:is>
          <x:t xml:space="preserve">Divination</x:t>
        </x:is>
      </x:c>
      <x:c r="D196" s="2" t="inlineStr">
        <x:is>
          <x:t xml:space="preserve">Bard, Druid, Ranger</x:t>
        </x:is>
      </x:c>
      <x:c r="E196" s="2" t="inlineStr">
        <x:is>
          <x:t xml:space="preserve">Action or Ritual</x:t>
        </x:is>
      </x:c>
      <x:c r="F196" s="2" t="inlineStr">
        <x:is>
          <x:t xml:space="preserve">Self</x:t>
        </x:is>
      </x:c>
      <x:c r="G196" s="2" t="inlineStr">
        <x:is>
          <x:t xml:space="preserve">V, S, M (fur from a bloodhound)</x:t>
        </x:is>
      </x:c>
      <x:c r="H196" s="2" t="inlineStr">
        <x:is>
          <x:t xml:space="preserve">Instantaneous</x:t>
        </x:is>
      </x:c>
      <x:c r="I196" s="2" t="inlineStr">
        <x:is>
          <x:t xml:space="preserve">Describe or name a specific kind of Beast, Plant creature, or nonmagical plant. You learn the direction and distance to the closest creature or plant of that kind within 5 miles, if any are present.</x:t>
        </x:is>
      </x:c>
      <x:c r="J196" s="2" t="inlineStr">
        <x:is>
          <x:t xml:space="preserve">SRD 5.2.1</x:t>
        </x:is>
      </x:c>
      <x:c r="K196" s="2" t="inlineStr">
        <x:is>
          <x:t xml:space="preserve">pp. 107-175</x:t>
        </x:is>
      </x:c>
    </x:row>
    <x:row r="197" ht="18" customHeight="1">
      <x:c r="A197" s="2" t="inlineStr">
        <x:is>
          <x:t xml:space="preserve">Locate Creature</x:t>
        </x:is>
      </x:c>
      <x:c r="B197" s="2" t="inlineStr">
        <x:is>
          <x:t xml:space="preserve">4</x:t>
        </x:is>
      </x:c>
      <x:c r="C197" s="2" t="inlineStr">
        <x:is>
          <x:t xml:space="preserve">Divination</x:t>
        </x:is>
      </x:c>
      <x:c r="D197" s="2" t="inlineStr">
        <x:is>
          <x:t xml:space="preserve"/>
        </x:is>
      </x:c>
      <x:c r="E197" s="2" t="inlineStr">
        <x:is>
          <x:t xml:space="preserve">Action</x:t>
        </x:is>
      </x:c>
      <x:c r="F197" s="2" t="inlineStr">
        <x:is>
          <x:t xml:space="preserve">Self</x:t>
        </x:is>
      </x:c>
      <x:c r="G197" s="2" t="inlineStr">
        <x:is>
          <x:t xml:space="preserve">V, S, M (fur from a bloodhound)</x:t>
        </x:is>
      </x:c>
      <x:c r="H197" s="2" t="inlineStr">
        <x:is>
          <x:t xml:space="preserve">Concentration, up to 1 hour</x:t>
        </x:is>
      </x:c>
      <x:c r="I197" s="2" t="inlineStr">
        <x:is>
          <x:t xml:space="preserve">Describe or name a creature that is familiar to you. You sense the direction to the creature’s location if that creature is within 1,000 feet of you. If the creature is moving, you know the direction of its movement. The spell can locate a specific creature known to you or the nearest creature of a specific kind (such as a human or a unicorn) if you have seen such a creature up close—within 30 feet—at least once. If the creature you described or named is in a different form, such as under the effects of a Flesh to Stone or Polymorph spell, this spell doesn’t locate the creature. This spell can’t locate a creature if any thickness of lead blocks a direct path between you and the creature.</x:t>
        </x:is>
      </x:c>
      <x:c r="J197" s="2" t="inlineStr">
        <x:is>
          <x:t xml:space="preserve">SRD 5.2.1</x:t>
        </x:is>
      </x:c>
      <x:c r="K197" s="2" t="inlineStr">
        <x:is>
          <x:t xml:space="preserve">pp. 107-175</x:t>
        </x:is>
      </x:c>
    </x:row>
    <x:row r="198" ht="18" customHeight="1">
      <x:c r="A198" s="2" t="inlineStr">
        <x:is>
          <x:t xml:space="preserve">Locate Object</x:t>
        </x:is>
      </x:c>
      <x:c r="B198" s="2" t="inlineStr">
        <x:is>
          <x:t xml:space="preserve">2</x:t>
        </x:is>
      </x:c>
      <x:c r="C198" s="2" t="inlineStr">
        <x:is>
          <x:t xml:space="preserve">Divination</x:t>
        </x:is>
      </x:c>
      <x:c r="D198" s="2" t="inlineStr">
        <x:is>
          <x:t xml:space="preserve"/>
        </x:is>
      </x:c>
      <x:c r="E198" s="2" t="inlineStr">
        <x:is>
          <x:t xml:space="preserve">Action</x:t>
        </x:is>
      </x:c>
      <x:c r="F198" s="2" t="inlineStr">
        <x:is>
          <x:t xml:space="preserve">Self</x:t>
        </x:is>
      </x:c>
      <x:c r="G198" s="2" t="inlineStr">
        <x:is>
          <x:t xml:space="preserve">V, S, M (a forked twig)</x:t>
        </x:is>
      </x:c>
      <x:c r="H198" s="2" t="inlineStr">
        <x:is>
          <x:t xml:space="preserve">Concentration, up to 10 minutes</x:t>
        </x:is>
      </x:c>
      <x:c r="I198" s="2" t="inlineStr">
        <x:is>
          <x:t xml:space="preserve">Describe or name an object that is familiar to you. You sense the direction to the object’s location if that object is within 1,000 feet of you. If the object is in motion, you know the direction of its movement. The spell can locate a specific object known to you if you have seen it up close—within 30 feet—at least once. Alternatively, the spell can locate the nearest object of a particular kind, such as a certain kind of apparel, jewelry, furniture, tool, or weapon. This spell can’t locate an object if any thickness of lead blocks a direct path between you and the object.</x:t>
        </x:is>
      </x:c>
      <x:c r="J198" s="2" t="inlineStr">
        <x:is>
          <x:t xml:space="preserve">SRD 5.2.1</x:t>
        </x:is>
      </x:c>
      <x:c r="K198" s="2" t="inlineStr">
        <x:is>
          <x:t xml:space="preserve">pp. 107-175</x:t>
        </x:is>
      </x:c>
    </x:row>
    <x:row r="199" ht="18" customHeight="1">
      <x:c r="A199" s="2" t="inlineStr">
        <x:is>
          <x:t xml:space="preserve">Longstrider</x:t>
        </x:is>
      </x:c>
      <x:c r="B199" s="2" t="inlineStr">
        <x:is>
          <x:t xml:space="preserve">1</x:t>
        </x:is>
      </x:c>
      <x:c r="C199" s="2" t="inlineStr">
        <x:is>
          <x:t xml:space="preserve">Transmutation</x:t>
        </x:is>
      </x:c>
      <x:c r="D199" s="2" t="inlineStr">
        <x:is>
          <x:t xml:space="preserve">Bard, Druid, Ranger, Wizard</x:t>
        </x:is>
      </x:c>
      <x:c r="E199" s="2" t="inlineStr">
        <x:is>
          <x:t xml:space="preserve">Action</x:t>
        </x:is>
      </x:c>
      <x:c r="F199" s="2" t="inlineStr">
        <x:is>
          <x:t xml:space="preserve">Touch</x:t>
        </x:is>
      </x:c>
      <x:c r="G199" s="2" t="inlineStr">
        <x:is>
          <x:t xml:space="preserve">V, S, M (a pinch of dirt)</x:t>
        </x:is>
      </x:c>
      <x:c r="H199" s="2" t="inlineStr">
        <x:is>
          <x:t xml:space="preserve">1 hour</x:t>
        </x:is>
      </x:c>
      <x:c r="I199" s="2" t="inlineStr">
        <x:is>
          <x:t xml:space="preserve">You touch a creature. The target’s Speed increases by 10 feet until the spell ends. Using a Higher-Level Spell Slot. You can target one additional creature for each spell slot level above 1.</x:t>
        </x:is>
      </x:c>
      <x:c r="J199" s="2" t="inlineStr">
        <x:is>
          <x:t xml:space="preserve">SRD 5.2.1</x:t>
        </x:is>
      </x:c>
      <x:c r="K199" s="2" t="inlineStr">
        <x:is>
          <x:t xml:space="preserve">pp. 107-175</x:t>
        </x:is>
      </x:c>
    </x:row>
    <x:row r="200" ht="18" customHeight="1">
      <x:c r="A200" s="2" t="inlineStr">
        <x:is>
          <x:t xml:space="preserve">Mage Armor</x:t>
        </x:is>
      </x:c>
      <x:c r="B200" s="2" t="inlineStr">
        <x:is>
          <x:t xml:space="preserve">1</x:t>
        </x:is>
      </x:c>
      <x:c r="C200" s="2" t="inlineStr">
        <x:is>
          <x:t xml:space="preserve">Abjuration</x:t>
        </x:is>
      </x:c>
      <x:c r="D200" s="2" t="inlineStr">
        <x:is>
          <x:t xml:space="preserve">Sorcerer, Wizard</x:t>
        </x:is>
      </x:c>
      <x:c r="E200" s="2" t="inlineStr">
        <x:is>
          <x:t xml:space="preserve">Action</x:t>
        </x:is>
      </x:c>
      <x:c r="F200" s="2" t="inlineStr">
        <x:is>
          <x:t xml:space="preserve">Touch</x:t>
        </x:is>
      </x:c>
      <x:c r="G200" s="2" t="inlineStr">
        <x:is>
          <x:t xml:space="preserve">V, S, M (a piece of cured leather)</x:t>
        </x:is>
      </x:c>
      <x:c r="H200" s="2" t="inlineStr">
        <x:is>
          <x:t xml:space="preserve">8 hours</x:t>
        </x:is>
      </x:c>
      <x:c r="I200" s="2" t="inlineStr">
        <x:is>
          <x:t xml:space="preserve">You touch a willing creature who isn’t wearing armor. Until the spell ends, the target’s base AC becomes 13 plus its Dexterity modifier. The spell ends early if the target dons armor.</x:t>
        </x:is>
      </x:c>
      <x:c r="J200" s="2" t="inlineStr">
        <x:is>
          <x:t xml:space="preserve">SRD 5.2.1</x:t>
        </x:is>
      </x:c>
      <x:c r="K200" s="2" t="inlineStr">
        <x:is>
          <x:t xml:space="preserve">pp. 107-175</x:t>
        </x:is>
      </x:c>
    </x:row>
    <x:row r="201" ht="18" customHeight="1">
      <x:c r="A201" s="2" t="inlineStr">
        <x:is>
          <x:t xml:space="preserve">Mage Hand</x:t>
        </x:is>
      </x:c>
      <x:c r="B201" s="2" t="inlineStr">
        <x:is>
          <x:t xml:space="preserve">Cantrip</x:t>
        </x:is>
      </x:c>
      <x:c r="C201" s="2" t="inlineStr">
        <x:is>
          <x:t xml:space="preserve">Conjuration</x:t>
        </x:is>
      </x:c>
      <x:c r="D201" s="2" t="inlineStr">
        <x:is>
          <x:t xml:space="preserve">Bard, Sorcerer, Warlock, Wizard</x:t>
        </x:is>
      </x:c>
      <x:c r="E201" s="2" t="inlineStr">
        <x:is>
          <x:t xml:space="preserve">Action</x:t>
        </x:is>
      </x:c>
      <x:c r="F201" s="2" t="inlineStr">
        <x:is>
          <x:t xml:space="preserve">30 feet</x:t>
        </x:is>
      </x:c>
      <x:c r="G201" s="2" t="inlineStr">
        <x:is>
          <x:t xml:space="preserve">V, S</x:t>
        </x:is>
      </x:c>
      <x:c r="H201" s="2" t="inlineStr">
        <x:is>
          <x:t xml:space="preserve">1 minute</x:t>
        </x:is>
      </x:c>
      <x:c r="I201" s="2" t="inlineStr">
        <x:is>
          <x:t xml:space="preserve">A spectral, floating hand appears at a point you choose within range. The hand lasts for the duration. The hand vanishes if it is ever more than 30 feet away from you or if you cast this spell again. When you cast the spell, you can use the hand to manipulate an object, open an unlocked door or container, stow or retrieve an item from an open container, or pour the contents out of a vial. As a Magic action on your later turns, you can control the hand thus again. As part of that action, you can move the hand up to 30 feet. The hand can’t attack, activate magic items, or carry more than 10 pounds.</x:t>
        </x:is>
      </x:c>
      <x:c r="J201" s="2" t="inlineStr">
        <x:is>
          <x:t xml:space="preserve">SRD 5.2.1</x:t>
        </x:is>
      </x:c>
      <x:c r="K201" s="2" t="inlineStr">
        <x:is>
          <x:t xml:space="preserve">pp. 107-175</x:t>
        </x:is>
      </x:c>
    </x:row>
    <x:row r="202" ht="18" customHeight="1">
      <x:c r="A202" s="2" t="inlineStr">
        <x:is>
          <x:t xml:space="preserve">Magic Circle</x:t>
        </x:is>
      </x:c>
      <x:c r="B202" s="2" t="inlineStr">
        <x:is>
          <x:t xml:space="preserve">3</x:t>
        </x:is>
      </x:c>
      <x:c r="C202" s="2" t="inlineStr">
        <x:is>
          <x:t xml:space="preserve">Abjuration</x:t>
        </x:is>
      </x:c>
      <x:c r="D202" s="2" t="inlineStr">
        <x:is>
          <x:t xml:space="preserve">Cleric, Paladin, Warlock, Wizard</x:t>
        </x:is>
      </x:c>
      <x:c r="E202" s="2" t="inlineStr">
        <x:is>
          <x:t xml:space="preserve">1 minute</x:t>
        </x:is>
      </x:c>
      <x:c r="F202" s="2" t="inlineStr">
        <x:is>
          <x:t xml:space="preserve">10 feet</x:t>
        </x:is>
      </x:c>
      <x:c r="G202" s="2" t="inlineStr">
        <x:is>
          <x:t xml:space="preserve">V, S, M (salt and powdered silver worth</x:t>
        </x:is>
      </x:c>
      <x:c r="H202" s="2" t="inlineStr">
        <x:is>
          <x:t xml:space="preserve">1 hour</x:t>
        </x:is>
      </x:c>
      <x:c r="I202" s="2" t="inlineStr">
        <x:is>
          <x:t xml:space="preserve">You create a 10-foot-radius, 20-foot-tall Cylinder of magical energy centered on a point on the ground that you can see within range. Glowing runes appear wherever the Cylinder intersects with the floor or other surface. Choose one or more of the following types of creatures: Celestials, Elementals, Fey, Fiends, or Undead. The circle affects a creature of the chosen type in the following ways: • The creature can’t willingly enter the Cylinder by nonmagical means. If the creature tries to use teleportation or interplanar travel to do so, it must first succeed on a Charisma saving throw. • The creature has Disadvantage on attack rolls against targets within the Cylinder. • Targets within the Cylinder can’t be possessed by or gain the Charmed or Frightened condition from the creature. Each time you cast this spell, you can cause its magic to operate in the reverse direction, preventing a creature of the specified type from leaving the Cylinder and protecting targets outside it. Using a Higher-Level Spell Slot. The duration increases by 1 hour for each spell slot level above 3.</x:t>
        </x:is>
      </x:c>
      <x:c r="J202" s="2" t="inlineStr">
        <x:is>
          <x:t xml:space="preserve">SRD 5.2.1</x:t>
        </x:is>
      </x:c>
      <x:c r="K202" s="2" t="inlineStr">
        <x:is>
          <x:t xml:space="preserve">pp. 107-175</x:t>
        </x:is>
      </x:c>
    </x:row>
    <x:row r="203" ht="18" customHeight="1">
      <x:c r="A203" s="2" t="inlineStr">
        <x:is>
          <x:t xml:space="preserve">Magic Jar</x:t>
        </x:is>
      </x:c>
      <x:c r="B203" s="2" t="inlineStr">
        <x:is>
          <x:t xml:space="preserve">6</x:t>
        </x:is>
      </x:c>
      <x:c r="C203" s="2" t="inlineStr">
        <x:is>
          <x:t xml:space="preserve">Necromancy</x:t>
        </x:is>
      </x:c>
      <x:c r="D203" s="2" t="inlineStr">
        <x:is>
          <x:t xml:space="preserve">Wizard</x:t>
        </x:is>
      </x:c>
      <x:c r="E203" s="2" t="inlineStr">
        <x:is>
          <x:t xml:space="preserve">1 minute</x:t>
        </x:is>
      </x:c>
      <x:c r="F203" s="2" t="inlineStr">
        <x:is>
          <x:t xml:space="preserve">Self</x:t>
        </x:is>
      </x:c>
      <x:c r="G203" s="2" t="inlineStr">
        <x:is>
          <x:t xml:space="preserve">V, S, M (a gem, crystal, or reliquary worth</x:t>
        </x:is>
      </x:c>
      <x:c r="H203" s="2" t="inlineStr">
        <x:is>
          <x:t xml:space="preserve">Until dispelled</x:t>
        </x:is>
      </x:c>
      <x:c r="I203" s="2" t="inlineStr">
        <x:is>
          <x:t xml:space="preserve">Your body falls into a catatonic state as your soul leaves it and enters the container you used for the spell’s Material component. While your soul inhabits the container, you are aware of your surroundings as if you were in the container’s space. You can’t move or take Reactions. The only action you can take is to project your soul up to 100 feet out of the container, either returning to your living body (and ending the spell) or attempting to possess a Humanoid’s body. You can attempt to possess any Humanoid within 100 feet of you that you can see (creatures warded by a Protection from Evil and Good or Magic Circle spell can’t be possessed). The target makes a Charisma saving throw. On a failed save, your soul enters the target’s body, and the target’s soul becomes trapped in the container. On a successful save, the target resists your efforts to possess it, and you can’t attempt to possess it again for 24 hours. Once you possess a creature’s body, you control it. Your Hit Points, Hit Point Dice, Strength, Dexterity, Constitution, Speed, and senses are replaced by the creature’s. You otherwise keep your game statistics. Meanwhile, the possessed creature’s soul can perceive from the container using its own senses, but it can’t move and it is Incapacitated. While possessing a body, you can take a Magic action to return from the host body to the container if it is within 100 feet of you, returning the host creature’s soul to its body. If the host body dies while you’re in it, the creature dies, and you make a Charisma saving throw against your own spellcasting DC. On a success, you return to the container if it is within 100 feet of you. Otherwise, you die. If the container is destroyed or the spell ends, your soul returns to your body. If your body is more than 100 feet away from you or if your body is dead, you die. If another creature’s soul is in the container when it is destroyed, the creature’s soul returns to its body if the body is alive and within 100 feet. Otherwise, that creature dies. When the spell ends, the container is destroyed.</x:t>
        </x:is>
      </x:c>
      <x:c r="J203" s="2" t="inlineStr">
        <x:is>
          <x:t xml:space="preserve">SRD 5.2.1</x:t>
        </x:is>
      </x:c>
      <x:c r="K203" s="2" t="inlineStr">
        <x:is>
          <x:t xml:space="preserve">pp. 107-175</x:t>
        </x:is>
      </x:c>
    </x:row>
    <x:row r="204" ht="18" customHeight="1">
      <x:c r="A204" s="2" t="inlineStr">
        <x:is>
          <x:t xml:space="preserve">Magic Missile</x:t>
        </x:is>
      </x:c>
      <x:c r="B204" s="2" t="inlineStr">
        <x:is>
          <x:t xml:space="preserve">1</x:t>
        </x:is>
      </x:c>
      <x:c r="C204" s="2" t="inlineStr">
        <x:is>
          <x:t xml:space="preserve">Evocation</x:t>
        </x:is>
      </x:c>
      <x:c r="D204" s="2" t="inlineStr">
        <x:is>
          <x:t xml:space="preserve">Sorcerer, Wizard</x:t>
        </x:is>
      </x:c>
      <x:c r="E204" s="2" t="inlineStr">
        <x:is>
          <x:t xml:space="preserve">Action</x:t>
        </x:is>
      </x:c>
      <x:c r="F204" s="2" t="inlineStr">
        <x:is>
          <x:t xml:space="preserve">120 feet</x:t>
        </x:is>
      </x:c>
      <x:c r="G204" s="2" t="inlineStr">
        <x:is>
          <x:t xml:space="preserve">V, S</x:t>
        </x:is>
      </x:c>
      <x:c r="H204" s="2" t="inlineStr">
        <x:is>
          <x:t xml:space="preserve">Instantaneous</x:t>
        </x:is>
      </x:c>
      <x:c r="I204" s="2" t="inlineStr">
        <x:is>
          <x:t xml:space="preserve">You create three glowing darts of magical force. Each dart strikes a creature of your choice that you can see within range. A dart deals 1d4 + 1 Force damage to its target. The darts all strike simultaneously, and you can direct them to hit one creature or several. Using a Higher-Level Spell Slot. The spell creates one more dart for each spell slot level above 1.</x:t>
        </x:is>
      </x:c>
      <x:c r="J204" s="2" t="inlineStr">
        <x:is>
          <x:t xml:space="preserve">SRD 5.2.1</x:t>
        </x:is>
      </x:c>
      <x:c r="K204" s="2" t="inlineStr">
        <x:is>
          <x:t xml:space="preserve">pp. 107-175</x:t>
        </x:is>
      </x:c>
    </x:row>
    <x:row r="205" ht="18" customHeight="1">
      <x:c r="A205" s="2" t="inlineStr">
        <x:is>
          <x:t xml:space="preserve">Magic Mouth</x:t>
        </x:is>
      </x:c>
      <x:c r="B205" s="2" t="inlineStr">
        <x:is>
          <x:t xml:space="preserve">2</x:t>
        </x:is>
      </x:c>
      <x:c r="C205" s="2" t="inlineStr">
        <x:is>
          <x:t xml:space="preserve">Illusion</x:t>
        </x:is>
      </x:c>
      <x:c r="D205" s="2" t="inlineStr">
        <x:is>
          <x:t xml:space="preserve">Bard, Wizard</x:t>
        </x:is>
      </x:c>
      <x:c r="E205" s="2" t="inlineStr">
        <x:is>
          <x:t xml:space="preserve">1 minute or Ritual</x:t>
        </x:is>
      </x:c>
      <x:c r="F205" s="2" t="inlineStr">
        <x:is>
          <x:t xml:space="preserve">30 feet</x:t>
        </x:is>
      </x:c>
      <x:c r="G205" s="2" t="inlineStr">
        <x:is>
          <x:t xml:space="preserve">V, S, M (jade dust worth 10+ GP, which</x:t>
        </x:is>
      </x:c>
      <x:c r="H205" s="2" t="inlineStr">
        <x:is>
          <x:t xml:space="preserve">Until dispelled</x:t>
        </x:is>
      </x:c>
      <x:c r="I205" s="2" t="inlineStr">
        <x:is>
          <x:t xml:space="preserve">You implant a message within an object in range—a message that is uttered when a trigger condition is met. Choose an object that you can see and that isn’t being worn or carried by another creature. Then speak the message, which must be 25 words or fewer, though it can be delivered over as long as 10 minutes. Finally, determine the circumstance that will trigger the spell to deliver your message. When that trigger occurs, a magical mouth appears on the object and recites the message in your voice and at the same volume you spoke. If the object you chose has a mouth or something that looks like a mouth (for example, the mouth of a statue), the magical mouth appears there, so the words appear to come from the object’s mouth. When you cast this spell, you can have the spell end after it delivers its message, or it can remain and repeat its message whenever the trigger occurs. The trigger can be as general or as detailed as you like, though it must be based on visual or audible conditions that occur within 30 feet of the object. For example, you could instruct the mouth to speak when any creature moves within 30 feet of the object or when a silver bell rings within 30 feet of it.</x:t>
        </x:is>
      </x:c>
      <x:c r="J205" s="2" t="inlineStr">
        <x:is>
          <x:t xml:space="preserve">SRD 5.2.1</x:t>
        </x:is>
      </x:c>
      <x:c r="K205" s="2" t="inlineStr">
        <x:is>
          <x:t xml:space="preserve">pp. 107-175</x:t>
        </x:is>
      </x:c>
    </x:row>
    <x:row r="206" ht="18" customHeight="1">
      <x:c r="A206" s="2" t="inlineStr">
        <x:is>
          <x:t xml:space="preserve">Magic Weapon</x:t>
        </x:is>
      </x:c>
      <x:c r="B206" s="2" t="inlineStr">
        <x:is>
          <x:t xml:space="preserve">2</x:t>
        </x:is>
      </x:c>
      <x:c r="C206" s="2" t="inlineStr">
        <x:is>
          <x:t xml:space="preserve">Transmutation</x:t>
        </x:is>
      </x:c>
      <x:c r="D206" s="2" t="inlineStr">
        <x:is>
          <x:t xml:space="preserve"/>
        </x:is>
      </x:c>
      <x:c r="E206" s="2" t="inlineStr">
        <x:is>
          <x:t xml:space="preserve">Bonus Action</x:t>
        </x:is>
      </x:c>
      <x:c r="F206" s="2" t="inlineStr">
        <x:is>
          <x:t xml:space="preserve">Touch</x:t>
        </x:is>
      </x:c>
      <x:c r="G206" s="2" t="inlineStr">
        <x:is>
          <x:t xml:space="preserve">V, S</x:t>
        </x:is>
      </x:c>
      <x:c r="H206" s="2" t="inlineStr">
        <x:is>
          <x:t xml:space="preserve">1 hour</x:t>
        </x:is>
      </x:c>
      <x:c r="I206" s="2" t="inlineStr">
        <x:is>
          <x:t xml:space="preserve">You touch a nonmagical weapon. Until the spell ends, that weapon becomes a magic weapon with a +1 bonus to attack rolls and damage rolls. The spell ends early if you cast it again. Using a Higher-Level Spell Slot. The bonus increases to +2 with a level 3–5 spell slot. The bonus increases to +3 with a level 6+ spell slot.</x:t>
        </x:is>
      </x:c>
      <x:c r="J206" s="2" t="inlineStr">
        <x:is>
          <x:t xml:space="preserve">SRD 5.2.1</x:t>
        </x:is>
      </x:c>
      <x:c r="K206" s="2" t="inlineStr">
        <x:is>
          <x:t xml:space="preserve">pp. 107-175</x:t>
        </x:is>
      </x:c>
    </x:row>
    <x:row r="207" ht="18" customHeight="1">
      <x:c r="A207" s="2" t="inlineStr">
        <x:is>
          <x:t xml:space="preserve">Magnificent Mansion</x:t>
        </x:is>
      </x:c>
      <x:c r="B207" s="2" t="inlineStr">
        <x:is>
          <x:t xml:space="preserve">7</x:t>
        </x:is>
      </x:c>
      <x:c r="C207" s="2" t="inlineStr">
        <x:is>
          <x:t xml:space="preserve">Conjuration</x:t>
        </x:is>
      </x:c>
      <x:c r="D207" s="2" t="inlineStr">
        <x:is>
          <x:t xml:space="preserve">Bard, Wizard</x:t>
        </x:is>
      </x:c>
      <x:c r="E207" s="2" t="inlineStr">
        <x:is>
          <x:t xml:space="preserve">1 minute</x:t>
        </x:is>
      </x:c>
      <x:c r="F207" s="2" t="inlineStr">
        <x:is>
          <x:t xml:space="preserve">300 feet</x:t>
        </x:is>
      </x:c>
      <x:c r="G207" s="2" t="inlineStr">
        <x:is>
          <x:t xml:space="preserve">V, S, M (a miniature door worth 15+ GP)</x:t>
        </x:is>
      </x:c>
      <x:c r="H207" s="2" t="inlineStr">
        <x:is>
          <x:t xml:space="preserve">24 hours</x:t>
        </x:is>
      </x:c>
      <x:c r="I207" s="2" t="inlineStr">
        <x:is>
          <x:t xml:space="preserve">You conjure a shimmering door in range that lasts for the duration. The door leads to an extradimensional dwelling and is 5 feet wide and 10 feet tall. You and any creature you designate when you cast the spell can enter the extradimensional dwelling as long as the door remains open. You can open or close it (no action required) if you are within 30 feet of it. While closed, the door is imperceptible. Beyond the door is a magnificent foyer with numerous chambers beyond. The dwelling’s atmosphere is clean, fresh, and warm. You can create any floor plan you like for the dwelling, but it can’t exceed 50 contiguous 10-foot Cubes. The place is furnished and decorated as you choose. It contains sufficient food to serve a ninecourse banquet for up to 100 people. Furnishings and other objects created by this spell dissipate into smoke if removed from it. A staff of 100 near-transparent servants attends all who enter. You determine the appearance of these servants and their attire. They are invulnerable and obey your commands. Each servant can perform tasks that a human could perform, but they can’t attack or take any action that would directly harm another creature. Thus the servants can fetch things, clean, mend, fold clothes, light fires, serve food, pour wine, and so on. The servants can’t leave the dwelling. When the spell ends, any creatures or objects left inside the extradimensional space are expelled into the unoccupied spaces nearest to the entrance.</x:t>
        </x:is>
      </x:c>
      <x:c r="J207" s="2" t="inlineStr">
        <x:is>
          <x:t xml:space="preserve">SRD 5.2.1</x:t>
        </x:is>
      </x:c>
      <x:c r="K207" s="2" t="inlineStr">
        <x:is>
          <x:t xml:space="preserve">pp. 107-175</x:t>
        </x:is>
      </x:c>
    </x:row>
    <x:row r="208" ht="18" customHeight="1">
      <x:c r="A208" s="2" t="inlineStr">
        <x:is>
          <x:t xml:space="preserve">Major Image</x:t>
        </x:is>
      </x:c>
      <x:c r="B208" s="2" t="inlineStr">
        <x:is>
          <x:t xml:space="preserve">3</x:t>
        </x:is>
      </x:c>
      <x:c r="C208" s="2" t="inlineStr">
        <x:is>
          <x:t xml:space="preserve">Illusion</x:t>
        </x:is>
      </x:c>
      <x:c r="D208" s="2" t="inlineStr">
        <x:is>
          <x:t xml:space="preserve">Bard, Sorcerer, Warlock, Wizard</x:t>
        </x:is>
      </x:c>
      <x:c r="E208" s="2" t="inlineStr">
        <x:is>
          <x:t xml:space="preserve">Action</x:t>
        </x:is>
      </x:c>
      <x:c r="F208" s="2" t="inlineStr">
        <x:is>
          <x:t xml:space="preserve">120 feet</x:t>
        </x:is>
      </x:c>
      <x:c r="G208" s="2" t="inlineStr">
        <x:is>
          <x:t xml:space="preserve">V, S, M (a bit of fleece)</x:t>
        </x:is>
      </x:c>
      <x:c r="H208" s="2" t="inlineStr">
        <x:is>
          <x:t xml:space="preserve">Concentration, up to 10 minutes</x:t>
        </x:is>
      </x:c>
      <x:c r="I208" s="2" t="inlineStr">
        <x:is>
          <x:t xml:space="preserve">You create the image of an object, a creature, or some other visible phenomenon that is no larger than a 20-foot Cube. The image appears at a spot that you can see within range and lasts for the duration. It seems real, including sounds, smells, and temperature appropriate to the thing depicted, but it can’t deal damage or cause conditions. If you are within range of the illusion, you can take a Magic action to cause the image to move to any other spot within range. As the image changes location, you can alter its appearance so that its movements appear natural for the image. For example, if you create an image of a creature and move it, you can alter the image so that it appears to be walking. Similarly, you can cause the illusion to make different sounds at different times, even making it carry on a conversation, for example. Physical interaction with the image reveals it to be an illusion, for things can pass through it. A creature that takes a Study action to examine the image can determine that it is an illusion with a successful Intelligence (Investigation) check against your spell save DC. If a creature discerns the illusion for what it is, the creature can see through the image, and its other sensory qualities become faint to the creature. Using a Higher-Level Spell Slot. The spell lasts until dispelled, without requiring Concentration, if cast with a level 4+ spell slot.</x:t>
        </x:is>
      </x:c>
      <x:c r="J208" s="2" t="inlineStr">
        <x:is>
          <x:t xml:space="preserve">SRD 5.2.1</x:t>
        </x:is>
      </x:c>
      <x:c r="K208" s="2" t="inlineStr">
        <x:is>
          <x:t xml:space="preserve">pp. 107-175</x:t>
        </x:is>
      </x:c>
    </x:row>
    <x:row r="209" ht="18" customHeight="1">
      <x:c r="A209" s="2" t="inlineStr">
        <x:is>
          <x:t xml:space="preserve">Mass Cure Wounds</x:t>
        </x:is>
      </x:c>
      <x:c r="B209" s="2" t="inlineStr">
        <x:is>
          <x:t xml:space="preserve">5</x:t>
        </x:is>
      </x:c>
      <x:c r="C209" s="2" t="inlineStr">
        <x:is>
          <x:t xml:space="preserve">Abjuration</x:t>
        </x:is>
      </x:c>
      <x:c r="D209" s="2" t="inlineStr">
        <x:is>
          <x:t xml:space="preserve">Bard, Cleric, Druid</x:t>
        </x:is>
      </x:c>
      <x:c r="E209" s="2" t="inlineStr">
        <x:is>
          <x:t xml:space="preserve">Action</x:t>
        </x:is>
      </x:c>
      <x:c r="F209" s="2" t="inlineStr">
        <x:is>
          <x:t xml:space="preserve">60 feet</x:t>
        </x:is>
      </x:c>
      <x:c r="G209" s="2" t="inlineStr">
        <x:is>
          <x:t xml:space="preserve">V, S</x:t>
        </x:is>
      </x:c>
      <x:c r="H209" s="2" t="inlineStr">
        <x:is>
          <x:t xml:space="preserve">Instantaneous</x:t>
        </x:is>
      </x:c>
      <x:c r="I209" s="2" t="inlineStr">
        <x:is>
          <x:t xml:space="preserve">A wave of healing energy washes out from a point you can see within range. Choose up to six creatures in a 30-foot-radius Sphere centered on that point. Each target regains Hit Points equal to 5d8 plus your spellcasting ability modifier. Using a Higher-Level Spell Slot. The healing increases by 1d8 for each spell slot level above 5.</x:t>
        </x:is>
      </x:c>
      <x:c r="J209" s="2" t="inlineStr">
        <x:is>
          <x:t xml:space="preserve">SRD 5.2.1</x:t>
        </x:is>
      </x:c>
      <x:c r="K209" s="2" t="inlineStr">
        <x:is>
          <x:t xml:space="preserve">pp. 107-175</x:t>
        </x:is>
      </x:c>
    </x:row>
    <x:row r="210" ht="18" customHeight="1">
      <x:c r="A210" s="2" t="inlineStr">
        <x:is>
          <x:t xml:space="preserve">Mass Heal</x:t>
        </x:is>
      </x:c>
      <x:c r="B210" s="2" t="inlineStr">
        <x:is>
          <x:t xml:space="preserve">9</x:t>
        </x:is>
      </x:c>
      <x:c r="C210" s="2" t="inlineStr">
        <x:is>
          <x:t xml:space="preserve">Abjuration</x:t>
        </x:is>
      </x:c>
      <x:c r="D210" s="2" t="inlineStr">
        <x:is>
          <x:t xml:space="preserve">Cleric</x:t>
        </x:is>
      </x:c>
      <x:c r="E210" s="2" t="inlineStr">
        <x:is>
          <x:t xml:space="preserve">Action</x:t>
        </x:is>
      </x:c>
      <x:c r="F210" s="2" t="inlineStr">
        <x:is>
          <x:t xml:space="preserve">60 feet</x:t>
        </x:is>
      </x:c>
      <x:c r="G210" s="2" t="inlineStr">
        <x:is>
          <x:t xml:space="preserve">V, S</x:t>
        </x:is>
      </x:c>
      <x:c r="H210" s="2" t="inlineStr">
        <x:is>
          <x:t xml:space="preserve">Instantaneous</x:t>
        </x:is>
      </x:c>
      <x:c r="I210" s="2" t="inlineStr">
        <x:is>
          <x:t xml:space="preserve">A flood of healing energy flows from you into creatures around you. You restore up to 700 Hit Points, divided as you choose among any number of creatures that you can see within range. Creatures healed by this spell also have the Blinded, Deafened, and Poisoned conditions removed from them.</x:t>
        </x:is>
      </x:c>
      <x:c r="J210" s="2" t="inlineStr">
        <x:is>
          <x:t xml:space="preserve">SRD 5.2.1</x:t>
        </x:is>
      </x:c>
      <x:c r="K210" s="2" t="inlineStr">
        <x:is>
          <x:t xml:space="preserve">pp. 107-175</x:t>
        </x:is>
      </x:c>
    </x:row>
    <x:row r="211" ht="18" customHeight="1">
      <x:c r="A211" s="2" t="inlineStr">
        <x:is>
          <x:t xml:space="preserve">Mass Healing Word</x:t>
        </x:is>
      </x:c>
      <x:c r="B211" s="2" t="inlineStr">
        <x:is>
          <x:t xml:space="preserve">3</x:t>
        </x:is>
      </x:c>
      <x:c r="C211" s="2" t="inlineStr">
        <x:is>
          <x:t xml:space="preserve">Abjuration</x:t>
        </x:is>
      </x:c>
      <x:c r="D211" s="2" t="inlineStr">
        <x:is>
          <x:t xml:space="preserve">Bard, Cleric</x:t>
        </x:is>
      </x:c>
      <x:c r="E211" s="2" t="inlineStr">
        <x:is>
          <x:t xml:space="preserve">Bonus Action</x:t>
        </x:is>
      </x:c>
      <x:c r="F211" s="2" t="inlineStr">
        <x:is>
          <x:t xml:space="preserve">60 feet</x:t>
        </x:is>
      </x:c>
      <x:c r="G211" s="2" t="inlineStr">
        <x:is>
          <x:t xml:space="preserve">V</x:t>
        </x:is>
      </x:c>
      <x:c r="H211" s="2" t="inlineStr">
        <x:is>
          <x:t xml:space="preserve">Instantaneous</x:t>
        </x:is>
      </x:c>
      <x:c r="I211" s="2" t="inlineStr">
        <x:is>
          <x:t xml:space="preserve">Up to six creatures of your choice that you can see within range regain Hit Points equal to 2d4 plus your spellcasting ability modifier. Using a Higher-Level Spell Slot. The healing increases by 1d4 for each spell slot level above 3.</x:t>
        </x:is>
      </x:c>
      <x:c r="J211" s="2" t="inlineStr">
        <x:is>
          <x:t xml:space="preserve">SRD 5.2.1</x:t>
        </x:is>
      </x:c>
      <x:c r="K211" s="2" t="inlineStr">
        <x:is>
          <x:t xml:space="preserve">pp. 107-175</x:t>
        </x:is>
      </x:c>
    </x:row>
    <x:row r="212" ht="18" customHeight="1">
      <x:c r="A212" s="2" t="inlineStr">
        <x:is>
          <x:t xml:space="preserve">Mass Suggestion</x:t>
        </x:is>
      </x:c>
      <x:c r="B212" s="2" t="inlineStr">
        <x:is>
          <x:t xml:space="preserve">6</x:t>
        </x:is>
      </x:c>
      <x:c r="C212" s="2" t="inlineStr">
        <x:is>
          <x:t xml:space="preserve">Enchantment</x:t>
        </x:is>
      </x:c>
      <x:c r="D212" s="2" t="inlineStr">
        <x:is>
          <x:t xml:space="preserve">Bard, Sorcerer, Wizard</x:t>
        </x:is>
      </x:c>
      <x:c r="E212" s="2" t="inlineStr">
        <x:is>
          <x:t xml:space="preserve">Action</x:t>
        </x:is>
      </x:c>
      <x:c r="F212" s="2" t="inlineStr">
        <x:is>
          <x:t xml:space="preserve">60 feet</x:t>
        </x:is>
      </x:c>
      <x:c r="G212" s="2" t="inlineStr">
        <x:is>
          <x:t xml:space="preserve">V, M (a snake’s tongue)</x:t>
        </x:is>
      </x:c>
      <x:c r="H212" s="2" t="inlineStr">
        <x:is>
          <x:t xml:space="preserve">24 hours</x:t>
        </x:is>
      </x:c>
      <x:c r="I212" s="2" t="inlineStr">
        <x:is>
          <x:t xml:space="preserve">You suggest a course of activity—described in no more than 25 words—to twelve or fewer creatures you can see within range that can hear and understand you. The suggestion must sound achievable and not involve anything that would obviously deal damage to any of the targets or their allies. For example, you could say, “Walk to the village down that road, and help the villagers there harvest crops until sunset.” Or you could say, “Now is not the time for violence. Drop your weapons, and dance! Stop in an hour.” Each target must succeed on a Wisdom saving throw or have the Charmed condition for the duration or until you or your allies deal damage to the target. Each Charmed target pursues the suggestion to the best of its ability. The suggested activity can continue for the entire duration, but if the suggested activity can be completed in a shorter time, the spell ends for a target upon completing it. Using a Higher-Level Spell Slot. The duration is longer with a spell slot of level 7 (10 days), 8 (30 days), or 9 (366 days).</x:t>
        </x:is>
      </x:c>
      <x:c r="J212" s="2" t="inlineStr">
        <x:is>
          <x:t xml:space="preserve">SRD 5.2.1</x:t>
        </x:is>
      </x:c>
      <x:c r="K212" s="2" t="inlineStr">
        <x:is>
          <x:t xml:space="preserve">pp. 107-175</x:t>
        </x:is>
      </x:c>
    </x:row>
    <x:row r="213" ht="18" customHeight="1">
      <x:c r="A213" s="2" t="inlineStr">
        <x:is>
          <x:t xml:space="preserve">Maze</x:t>
        </x:is>
      </x:c>
      <x:c r="B213" s="2" t="inlineStr">
        <x:is>
          <x:t xml:space="preserve">8</x:t>
        </x:is>
      </x:c>
      <x:c r="C213" s="2" t="inlineStr">
        <x:is>
          <x:t xml:space="preserve">Conjuration</x:t>
        </x:is>
      </x:c>
      <x:c r="D213" s="2" t="inlineStr">
        <x:is>
          <x:t xml:space="preserve">Wizard</x:t>
        </x:is>
      </x:c>
      <x:c r="E213" s="2" t="inlineStr">
        <x:is>
          <x:t xml:space="preserve">Action</x:t>
        </x:is>
      </x:c>
      <x:c r="F213" s="2" t="inlineStr">
        <x:is>
          <x:t xml:space="preserve">60 feet</x:t>
        </x:is>
      </x:c>
      <x:c r="G213" s="2" t="inlineStr">
        <x:is>
          <x:t xml:space="preserve">V, S</x:t>
        </x:is>
      </x:c>
      <x:c r="H213" s="2" t="inlineStr">
        <x:is>
          <x:t xml:space="preserve">Concentration, up to 10 minutes</x:t>
        </x:is>
      </x:c>
      <x:c r="I213" s="2" t="inlineStr">
        <x:is>
          <x:t xml:space="preserve">You banish a creature that you can see within range into a labyrinthine demiplane. The target remains there for the duration or until it escapes the maze. The target can take a Study action to try to escape. When it does so, it makes a DC 20 Intelligence (Investigation) check. If it succeeds, it escapes, and the spell ends. When the spell ends, the target reappears in the space it left or, if that space is occupied, in the nearest unoccupied space.</x:t>
        </x:is>
      </x:c>
      <x:c r="J213" s="2" t="inlineStr">
        <x:is>
          <x:t xml:space="preserve">SRD 5.2.1</x:t>
        </x:is>
      </x:c>
      <x:c r="K213" s="2" t="inlineStr">
        <x:is>
          <x:t xml:space="preserve">pp. 107-175</x:t>
        </x:is>
      </x:c>
    </x:row>
    <x:row r="214" ht="18" customHeight="1">
      <x:c r="A214" s="2" t="inlineStr">
        <x:is>
          <x:t xml:space="preserve">Meld into Stone</x:t>
        </x:is>
      </x:c>
      <x:c r="B214" s="2" t="inlineStr">
        <x:is>
          <x:t xml:space="preserve">3</x:t>
        </x:is>
      </x:c>
      <x:c r="C214" s="2" t="inlineStr">
        <x:is>
          <x:t xml:space="preserve">Transmutation</x:t>
        </x:is>
      </x:c>
      <x:c r="D214" s="2" t="inlineStr">
        <x:is>
          <x:t xml:space="preserve">Cleric, Druid, Ranger</x:t>
        </x:is>
      </x:c>
      <x:c r="E214" s="2" t="inlineStr">
        <x:is>
          <x:t xml:space="preserve">Action or Ritual</x:t>
        </x:is>
      </x:c>
      <x:c r="F214" s="2" t="inlineStr">
        <x:is>
          <x:t xml:space="preserve">Touch</x:t>
        </x:is>
      </x:c>
      <x:c r="G214" s="2" t="inlineStr">
        <x:is>
          <x:t xml:space="preserve">V, S</x:t>
        </x:is>
      </x:c>
      <x:c r="H214" s="2" t="inlineStr">
        <x:is>
          <x:t xml:space="preserve">8 hours</x:t>
        </x:is>
      </x:c>
      <x:c r="I214" s="2" t="inlineStr">
        <x:is>
          <x:t xml:space="preserve">You step into a stone object or surface large enough to fully contain your body, merging yourself and your equipment with the stone for the duration. You must touch the stone to do so. Nothing of your presence remains visible or otherwise detectable by nonmagical senses. While merged with the stone, you can’t see what occurs outside it, and any Wisdom (Perception) checks you make to hear sounds outside it are made with Disadvantage. You remain aware of the passage of time and can cast spells on yourself while merged in the stone. You can use 5 feet of movement to leave the stone where you entered it, which ends the spell. You otherwise can’t move. Minor physical damage to the stone doesn’t harm you, but its partial destruction or a change in its shape (to the extent that you no longer fit within it) expels you and deals 6d6 Force damage to you. The stone’s complete destruction (or transmutation into a different substance) expels you and deals 50 Force damage to you. If expelled, you move into an unoccupied space closest to where you first entered and have the Prone condition.</x:t>
        </x:is>
      </x:c>
      <x:c r="J214" s="2" t="inlineStr">
        <x:is>
          <x:t xml:space="preserve">SRD 5.2.1</x:t>
        </x:is>
      </x:c>
      <x:c r="K214" s="2" t="inlineStr">
        <x:is>
          <x:t xml:space="preserve">pp. 107-175</x:t>
        </x:is>
      </x:c>
    </x:row>
    <x:row r="215" ht="18" customHeight="1">
      <x:c r="A215" s="2" t="inlineStr">
        <x:is>
          <x:t xml:space="preserve">Mending</x:t>
        </x:is>
      </x:c>
      <x:c r="B215" s="2" t="inlineStr">
        <x:is>
          <x:t xml:space="preserve">Cantrip</x:t>
        </x:is>
      </x:c>
      <x:c r="C215" s="2" t="inlineStr">
        <x:is>
          <x:t xml:space="preserve">Transmutation</x:t>
        </x:is>
      </x:c>
      <x:c r="D215" s="2" t="inlineStr">
        <x:is>
          <x:t xml:space="preserve"/>
        </x:is>
      </x:c>
      <x:c r="E215" s="2" t="inlineStr">
        <x:is>
          <x:t xml:space="preserve">1 minute</x:t>
        </x:is>
      </x:c>
      <x:c r="F215" s="2" t="inlineStr">
        <x:is>
          <x:t xml:space="preserve">Touch</x:t>
        </x:is>
      </x:c>
      <x:c r="G215" s="2" t="inlineStr">
        <x:is>
          <x:t xml:space="preserve">V, S, M (two lodestones)</x:t>
        </x:is>
      </x:c>
      <x:c r="H215" s="2" t="inlineStr">
        <x:is>
          <x:t xml:space="preserve">Instantaneous</x:t>
        </x:is>
      </x:c>
      <x:c r="I215" s="2" t="inlineStr">
        <x:is>
          <x:t xml:space="preserve">This spell repairs a single break or tear in an object you touch, such as a broken chain link, two halves of a broken key, a torn cloak, or a leaking wineskin. As long as the break or tear is no larger than 1 foot in any dimension, you mend it, leaving no trace of the former damage. This spell can physically repair a magic item, but it can’t restore magic to such an object.</x:t>
        </x:is>
      </x:c>
      <x:c r="J215" s="2" t="inlineStr">
        <x:is>
          <x:t xml:space="preserve">SRD 5.2.1</x:t>
        </x:is>
      </x:c>
      <x:c r="K215" s="2" t="inlineStr">
        <x:is>
          <x:t xml:space="preserve">pp. 107-175</x:t>
        </x:is>
      </x:c>
    </x:row>
    <x:row r="216" ht="18" customHeight="1">
      <x:c r="A216" s="2" t="inlineStr">
        <x:is>
          <x:t xml:space="preserve">Message</x:t>
        </x:is>
      </x:c>
      <x:c r="B216" s="2" t="inlineStr">
        <x:is>
          <x:t xml:space="preserve">Cantrip</x:t>
        </x:is>
      </x:c>
      <x:c r="C216" s="2" t="inlineStr">
        <x:is>
          <x:t xml:space="preserve">Transmutation</x:t>
        </x:is>
      </x:c>
      <x:c r="D216" s="2" t="inlineStr">
        <x:is>
          <x:t xml:space="preserve"/>
        </x:is>
      </x:c>
      <x:c r="E216" s="2" t="inlineStr">
        <x:is>
          <x:t xml:space="preserve">Action</x:t>
        </x:is>
      </x:c>
      <x:c r="F216" s="2" t="inlineStr">
        <x:is>
          <x:t xml:space="preserve">120 feet</x:t>
        </x:is>
      </x:c>
      <x:c r="G216" s="2" t="inlineStr">
        <x:is>
          <x:t xml:space="preserve">S, M (a copper wire)</x:t>
        </x:is>
      </x:c>
      <x:c r="H216" s="2" t="inlineStr">
        <x:is>
          <x:t xml:space="preserve">1 round</x:t>
        </x:is>
      </x:c>
      <x:c r="I216" s="2" t="inlineStr">
        <x:is>
          <x:t xml:space="preserve">You point toward a creature within range and whisper a message. The target (and only the target) hears the message and can reply in a whisper that only you can hear. You can cast this spell through solid objects if you are familiar with the target and know it is beyond the barrier. Magical silence; 1 foot of stone, metal, or wood; or a thin sheet of lead blocks the spell.</x:t>
        </x:is>
      </x:c>
      <x:c r="J216" s="2" t="inlineStr">
        <x:is>
          <x:t xml:space="preserve">SRD 5.2.1</x:t>
        </x:is>
      </x:c>
      <x:c r="K216" s="2" t="inlineStr">
        <x:is>
          <x:t xml:space="preserve">pp. 107-175</x:t>
        </x:is>
      </x:c>
    </x:row>
    <x:row r="217" ht="18" customHeight="1">
      <x:c r="A217" s="2" t="inlineStr">
        <x:is>
          <x:t xml:space="preserve">Meteor Swarm</x:t>
        </x:is>
      </x:c>
      <x:c r="B217" s="2" t="inlineStr">
        <x:is>
          <x:t xml:space="preserve">9</x:t>
        </x:is>
      </x:c>
      <x:c r="C217" s="2" t="inlineStr">
        <x:is>
          <x:t xml:space="preserve">Evocation</x:t>
        </x:is>
      </x:c>
      <x:c r="D217" s="2" t="inlineStr">
        <x:is>
          <x:t xml:space="preserve">Sorcerer, Wizard</x:t>
        </x:is>
      </x:c>
      <x:c r="E217" s="2" t="inlineStr">
        <x:is>
          <x:t xml:space="preserve">Action</x:t>
        </x:is>
      </x:c>
      <x:c r="F217" s="2" t="inlineStr">
        <x:is>
          <x:t xml:space="preserve">1 mile</x:t>
        </x:is>
      </x:c>
      <x:c r="G217" s="2" t="inlineStr">
        <x:is>
          <x:t xml:space="preserve">V, S</x:t>
        </x:is>
      </x:c>
      <x:c r="H217" s="2" t="inlineStr">
        <x:is>
          <x:t xml:space="preserve">Instantaneous</x:t>
        </x:is>
      </x:c>
      <x:c r="I217" s="2" t="inlineStr">
        <x:is>
          <x:t xml:space="preserve">Blazing orbs of fire plummet to the ground at four different points you can see within range. Each creature in a 40-foot-radius Sphere centered on each of those points makes a Dexterity saving throw. A creature takes 20d6 Fire damage and 20d6 Bludgeoning damage on a failed save or half as much damage on a successful one. A creature in the area of more than one fiery Sphere is affected only once. A nonmagical object that isn’t being worn or carried also takes the damage if it’s in the spell’s area, and the object starts burning if it’s flammable.</x:t>
        </x:is>
      </x:c>
      <x:c r="J217" s="2" t="inlineStr">
        <x:is>
          <x:t xml:space="preserve">SRD 5.2.1</x:t>
        </x:is>
      </x:c>
      <x:c r="K217" s="2" t="inlineStr">
        <x:is>
          <x:t xml:space="preserve">pp. 107-175</x:t>
        </x:is>
      </x:c>
    </x:row>
    <x:row r="218" ht="18" customHeight="1">
      <x:c r="A218" s="2" t="inlineStr">
        <x:is>
          <x:t xml:space="preserve">Mind Blank</x:t>
        </x:is>
      </x:c>
      <x:c r="B218" s="2" t="inlineStr">
        <x:is>
          <x:t xml:space="preserve">8</x:t>
        </x:is>
      </x:c>
      <x:c r="C218" s="2" t="inlineStr">
        <x:is>
          <x:t xml:space="preserve">Abjuration</x:t>
        </x:is>
      </x:c>
      <x:c r="D218" s="2" t="inlineStr">
        <x:is>
          <x:t xml:space="preserve">Bard, Wizard</x:t>
        </x:is>
      </x:c>
      <x:c r="E218" s="2" t="inlineStr">
        <x:is>
          <x:t xml:space="preserve">Action</x:t>
        </x:is>
      </x:c>
      <x:c r="F218" s="2" t="inlineStr">
        <x:is>
          <x:t xml:space="preserve">Touch</x:t>
        </x:is>
      </x:c>
      <x:c r="G218" s="2" t="inlineStr">
        <x:is>
          <x:t xml:space="preserve">V, S</x:t>
        </x:is>
      </x:c>
      <x:c r="H218" s="2" t="inlineStr">
        <x:is>
          <x:t xml:space="preserve">24 hours</x:t>
        </x:is>
      </x:c>
      <x:c r="I218" s="2" t="inlineStr">
        <x:is>
          <x:t xml:space="preserve">Until the spell ends, one willing creature you touch has Immunity to Psychic damage and the Charmed condition. The target is also unaffected by anything that would sense its emotions or alignment, read its thoughts, or magically detect its location, and no spell—not even Wish—can gather information about the target, observe it remotely, or control its mind.</x:t>
        </x:is>
      </x:c>
      <x:c r="J218" s="2" t="inlineStr">
        <x:is>
          <x:t xml:space="preserve">SRD 5.2.1</x:t>
        </x:is>
      </x:c>
      <x:c r="K218" s="2" t="inlineStr">
        <x:is>
          <x:t xml:space="preserve">pp. 107-175</x:t>
        </x:is>
      </x:c>
    </x:row>
    <x:row r="219" ht="18" customHeight="1">
      <x:c r="A219" s="2" t="inlineStr">
        <x:is>
          <x:t xml:space="preserve">Mind Spike</x:t>
        </x:is>
      </x:c>
      <x:c r="B219" s="2" t="inlineStr">
        <x:is>
          <x:t xml:space="preserve">2</x:t>
        </x:is>
      </x:c>
      <x:c r="C219" s="2" t="inlineStr">
        <x:is>
          <x:t xml:space="preserve">Divination</x:t>
        </x:is>
      </x:c>
      <x:c r="D219" s="2" t="inlineStr">
        <x:is>
          <x:t xml:space="preserve">Sorcerer, Warlock, Wizard</x:t>
        </x:is>
      </x:c>
      <x:c r="E219" s="2" t="inlineStr">
        <x:is>
          <x:t xml:space="preserve">Action</x:t>
        </x:is>
      </x:c>
      <x:c r="F219" s="2" t="inlineStr">
        <x:is>
          <x:t xml:space="preserve">120 feet</x:t>
        </x:is>
      </x:c>
      <x:c r="G219" s="2" t="inlineStr">
        <x:is>
          <x:t xml:space="preserve">S</x:t>
        </x:is>
      </x:c>
      <x:c r="H219" s="2" t="inlineStr">
        <x:is>
          <x:t xml:space="preserve">Concentration, up to 1 hour</x:t>
        </x:is>
      </x:c>
      <x:c r="I219" s="2" t="inlineStr">
        <x:is>
          <x:t xml:space="preserve">You drive a spike of psionic energy into the mind of one creature you can see within range. The target makes a Wisdom saving throw, taking 3d8 Psychic damage on a failed save or half as much damage on a successful one. On a failed save, you also always know the target’s location until the spell ends, but only while the two of you are on the same plane of existence. While you have this knowledge, the target can’t become hidden from you, and if it has the Invisible condition, it gains no benefit from that condition against you. Using a Higher-Level Spell Slot. The damage increases by 1d8 for each spell slot level above 2.</x:t>
        </x:is>
      </x:c>
      <x:c r="J219" s="2" t="inlineStr">
        <x:is>
          <x:t xml:space="preserve">SRD 5.2.1</x:t>
        </x:is>
      </x:c>
      <x:c r="K219" s="2" t="inlineStr">
        <x:is>
          <x:t xml:space="preserve">pp. 107-175</x:t>
        </x:is>
      </x:c>
    </x:row>
    <x:row r="220" ht="18" customHeight="1">
      <x:c r="A220" s="2" t="inlineStr">
        <x:is>
          <x:t xml:space="preserve">Minor Illusion</x:t>
        </x:is>
      </x:c>
      <x:c r="B220" s="2" t="inlineStr">
        <x:is>
          <x:t xml:space="preserve">Cantrip</x:t>
        </x:is>
      </x:c>
      <x:c r="C220" s="2" t="inlineStr">
        <x:is>
          <x:t xml:space="preserve">Illusion</x:t>
        </x:is>
      </x:c>
      <x:c r="D220" s="2" t="inlineStr">
        <x:is>
          <x:t xml:space="preserve">Bard, Sorcerer, Warlock, Wizard</x:t>
        </x:is>
      </x:c>
      <x:c r="E220" s="2" t="inlineStr">
        <x:is>
          <x:t xml:space="preserve">Action</x:t>
        </x:is>
      </x:c>
      <x:c r="F220" s="2" t="inlineStr">
        <x:is>
          <x:t xml:space="preserve">30 feet</x:t>
        </x:is>
      </x:c>
      <x:c r="G220" s="2" t="inlineStr">
        <x:is>
          <x:t xml:space="preserve">S, M (a bit of fleece)</x:t>
        </x:is>
      </x:c>
      <x:c r="H220" s="2" t="inlineStr">
        <x:is>
          <x:t xml:space="preserve">1 minute</x:t>
        </x:is>
      </x:c>
      <x:c r="I220" s="2" t="inlineStr">
        <x:is>
          <x:t xml:space="preserve">You create a sound or an image of an object within range that lasts for the duration. See the descriptions below for the effects of each. The illusion ends if you cast this spell again. If a creature takes a Study action to examine the sound or image, the creature can determine that it is an illusion with a successful Intelligence (Investigation) check against your spell save DC. If a creature discerns the illusion for what it is, the illusion becomes faint to the creature. Sound. If you create a sound, its volume can range from a whisper to a scream. It can be your voice, someone else’s voice, a lion’s roar, a beating of drums, or any other sound you choose. The sound continues unabated throughout the duration, or you can make discrete sounds at different times before the spell ends. Image. If you create an image of an object—such as a chair, muddy footprints, or a small chest—it must be no larger than a 5-foot Cube. The image can’t create sound, light, smell, or any other sensory effect. Physical interaction with the image reveals it to be an illusion, since things can pass through it.</x:t>
        </x:is>
      </x:c>
      <x:c r="J220" s="2" t="inlineStr">
        <x:is>
          <x:t xml:space="preserve">SRD 5.2.1</x:t>
        </x:is>
      </x:c>
      <x:c r="K220" s="2" t="inlineStr">
        <x:is>
          <x:t xml:space="preserve">pp. 107-175</x:t>
        </x:is>
      </x:c>
    </x:row>
    <x:row r="221" ht="18" customHeight="1">
      <x:c r="A221" s="2" t="inlineStr">
        <x:is>
          <x:t xml:space="preserve">Mirage Arcane</x:t>
        </x:is>
      </x:c>
      <x:c r="B221" s="2" t="inlineStr">
        <x:is>
          <x:t xml:space="preserve">7</x:t>
        </x:is>
      </x:c>
      <x:c r="C221" s="2" t="inlineStr">
        <x:is>
          <x:t xml:space="preserve">Illusion</x:t>
        </x:is>
      </x:c>
      <x:c r="D221" s="2" t="inlineStr">
        <x:is>
          <x:t xml:space="preserve">Bard, Druid, Wizard</x:t>
        </x:is>
      </x:c>
      <x:c r="E221" s="2" t="inlineStr">
        <x:is>
          <x:t xml:space="preserve">10 minutes</x:t>
        </x:is>
      </x:c>
      <x:c r="F221" s="2" t="inlineStr">
        <x:is>
          <x:t xml:space="preserve">Sight</x:t>
        </x:is>
      </x:c>
      <x:c r="G221" s="2" t="inlineStr">
        <x:is>
          <x:t xml:space="preserve">V, S</x:t>
        </x:is>
      </x:c>
      <x:c r="H221" s="2" t="inlineStr">
        <x:is>
          <x:t xml:space="preserve">10 days</x:t>
        </x:is>
      </x:c>
      <x:c r="I221" s="2" t="inlineStr">
        <x:is>
          <x:t xml:space="preserve">You make terrain in an area up to 1 mile square look, sound, smell, and even feel like some other sort of terrain. Open fields or a road could be made to resemble a swamp, hill, crevasse, or some other rough or impassable terrain. A pond can be made to seem like a grassy meadow, a precipice like a gentle slope, or a rock-strewn gully like a wide and smooth road. Similarly, you can alter the appearance of structures or add them where none are present. The spell doesn’t disguise, conceal, or add creatures. The illusion includes audible, visual, tactile, and olfactory elements, so it can turn clear ground into Difficult Terrain (or vice versa) or otherwise impede movement through the area. Any piece of the illusory terrain (such as a rock or stick) that is removed from the spell’s area disappears immediately. Creatures with Truesight can see through the illusion to the terrain’s true form; however, all other elements of the illusion remain, so while the creature is aware of the illusion’s presence, the creature can still physically interact with the illusion.</x:t>
        </x:is>
      </x:c>
      <x:c r="J221" s="2" t="inlineStr">
        <x:is>
          <x:t xml:space="preserve">SRD 5.2.1</x:t>
        </x:is>
      </x:c>
      <x:c r="K221" s="2" t="inlineStr">
        <x:is>
          <x:t xml:space="preserve">pp. 107-175</x:t>
        </x:is>
      </x:c>
    </x:row>
    <x:row r="222" ht="18" customHeight="1">
      <x:c r="A222" s="2" t="inlineStr">
        <x:is>
          <x:t xml:space="preserve">Mirror Image</x:t>
        </x:is>
      </x:c>
      <x:c r="B222" s="2" t="inlineStr">
        <x:is>
          <x:t xml:space="preserve">2</x:t>
        </x:is>
      </x:c>
      <x:c r="C222" s="2" t="inlineStr">
        <x:is>
          <x:t xml:space="preserve">Illusion</x:t>
        </x:is>
      </x:c>
      <x:c r="D222" s="2" t="inlineStr">
        <x:is>
          <x:t xml:space="preserve">Bard, Sorcerer, Warlock, Wizard</x:t>
        </x:is>
      </x:c>
      <x:c r="E222" s="2" t="inlineStr">
        <x:is>
          <x:t xml:space="preserve">Action</x:t>
        </x:is>
      </x:c>
      <x:c r="F222" s="2" t="inlineStr">
        <x:is>
          <x:t xml:space="preserve">Self</x:t>
        </x:is>
      </x:c>
      <x:c r="G222" s="2" t="inlineStr">
        <x:is>
          <x:t xml:space="preserve">V, S</x:t>
        </x:is>
      </x:c>
      <x:c r="H222" s="2" t="inlineStr">
        <x:is>
          <x:t xml:space="preserve">1 minute</x:t>
        </x:is>
      </x:c>
      <x:c r="I222" s="2" t="inlineStr">
        <x:is>
          <x:t xml:space="preserve">Three illusory duplicates of yourself appear in your space. Until the spell ends, the duplicates move with you and mimic your actions, shifting position so it’s impossible to track which image is real. Each time a creature hits you with an attack roll during the spell’s duration, roll a d6 for each of your remaining duplicates. If any of the d6s rolls a 3 or higher, one of the duplicates is hit instead of you, and the duplicate is destroyed. The duplicates otherwise ignore all other damage and effects. The spell ends when all three duplicates are destroyed. A creature is unaffected by this spell if it has the Blinded condition, Blindsight, or Truesight.</x:t>
        </x:is>
      </x:c>
      <x:c r="J222" s="2" t="inlineStr">
        <x:is>
          <x:t xml:space="preserve">SRD 5.2.1</x:t>
        </x:is>
      </x:c>
      <x:c r="K222" s="2" t="inlineStr">
        <x:is>
          <x:t xml:space="preserve">pp. 107-175</x:t>
        </x:is>
      </x:c>
    </x:row>
    <x:row r="223" ht="18" customHeight="1">
      <x:c r="A223" s="2" t="inlineStr">
        <x:is>
          <x:t xml:space="preserve">Mislead</x:t>
        </x:is>
      </x:c>
      <x:c r="B223" s="2" t="inlineStr">
        <x:is>
          <x:t xml:space="preserve">5</x:t>
        </x:is>
      </x:c>
      <x:c r="C223" s="2" t="inlineStr">
        <x:is>
          <x:t xml:space="preserve">Illusion</x:t>
        </x:is>
      </x:c>
      <x:c r="D223" s="2" t="inlineStr">
        <x:is>
          <x:t xml:space="preserve">Bard, Warlock, Wizard</x:t>
        </x:is>
      </x:c>
      <x:c r="E223" s="2" t="inlineStr">
        <x:is>
          <x:t xml:space="preserve">Action</x:t>
        </x:is>
      </x:c>
      <x:c r="F223" s="2" t="inlineStr">
        <x:is>
          <x:t xml:space="preserve">Self</x:t>
        </x:is>
      </x:c>
      <x:c r="G223" s="2" t="inlineStr">
        <x:is>
          <x:t xml:space="preserve">S</x:t>
        </x:is>
      </x:c>
      <x:c r="H223" s="2" t="inlineStr">
        <x:is>
          <x:t xml:space="preserve">Concentration, up to 1 hour</x:t>
        </x:is>
      </x:c>
      <x:c r="I223" s="2" t="inlineStr">
        <x:is>
          <x:t xml:space="preserve">You gain the Invisible condition at the same time that an illusory double of you appears where you are standing. The double lasts for the duration, but the invisibility ends immediately after you make an attack roll, deal damage, or cast a spell. As a Magic action, you can move the illusory double up to twice your Speed and make it gesture, speak, and behave in whatever way you choose. It is intangible and invulnerable. You can see through its eyes and hear through its ears as if you were located where it is.</x:t>
        </x:is>
      </x:c>
      <x:c r="J223" s="2" t="inlineStr">
        <x:is>
          <x:t xml:space="preserve">SRD 5.2.1</x:t>
        </x:is>
      </x:c>
      <x:c r="K223" s="2" t="inlineStr">
        <x:is>
          <x:t xml:space="preserve">pp. 107-175</x:t>
        </x:is>
      </x:c>
    </x:row>
    <x:row r="224" ht="18" customHeight="1">
      <x:c r="A224" s="2" t="inlineStr">
        <x:is>
          <x:t xml:space="preserve">Misty Step</x:t>
        </x:is>
      </x:c>
      <x:c r="B224" s="2" t="inlineStr">
        <x:is>
          <x:t xml:space="preserve">2</x:t>
        </x:is>
      </x:c>
      <x:c r="C224" s="2" t="inlineStr">
        <x:is>
          <x:t xml:space="preserve">Conjuration</x:t>
        </x:is>
      </x:c>
      <x:c r="D224" s="2" t="inlineStr">
        <x:is>
          <x:t xml:space="preserve">Sorcerer, Warlock, Wizard</x:t>
        </x:is>
      </x:c>
      <x:c r="E224" s="2" t="inlineStr">
        <x:is>
          <x:t xml:space="preserve">Bonus Action</x:t>
        </x:is>
      </x:c>
      <x:c r="F224" s="2" t="inlineStr">
        <x:is>
          <x:t xml:space="preserve">Self</x:t>
        </x:is>
      </x:c>
      <x:c r="G224" s="2" t="inlineStr">
        <x:is>
          <x:t xml:space="preserve">V</x:t>
        </x:is>
      </x:c>
      <x:c r="H224" s="2" t="inlineStr">
        <x:is>
          <x:t xml:space="preserve">Instantaneous</x:t>
        </x:is>
      </x:c>
      <x:c r="I224" s="2" t="inlineStr">
        <x:is>
          <x:t xml:space="preserve">Briefly surrounded by silvery mist, you teleport up to 30 feet to an unoccupied space you can see.</x:t>
        </x:is>
      </x:c>
      <x:c r="J224" s="2" t="inlineStr">
        <x:is>
          <x:t xml:space="preserve">SRD 5.2.1</x:t>
        </x:is>
      </x:c>
      <x:c r="K224" s="2" t="inlineStr">
        <x:is>
          <x:t xml:space="preserve">pp. 107-175</x:t>
        </x:is>
      </x:c>
    </x:row>
    <x:row r="225" ht="18" customHeight="1">
      <x:c r="A225" s="2" t="inlineStr">
        <x:is>
          <x:t xml:space="preserve">Modify Memory</x:t>
        </x:is>
      </x:c>
      <x:c r="B225" s="2" t="inlineStr">
        <x:is>
          <x:t xml:space="preserve">5</x:t>
        </x:is>
      </x:c>
      <x:c r="C225" s="2" t="inlineStr">
        <x:is>
          <x:t xml:space="preserve">Enchantment</x:t>
        </x:is>
      </x:c>
      <x:c r="D225" s="2" t="inlineStr">
        <x:is>
          <x:t xml:space="preserve">Bard, Wizard</x:t>
        </x:is>
      </x:c>
      <x:c r="E225" s="2" t="inlineStr">
        <x:is>
          <x:t xml:space="preserve">Action</x:t>
        </x:is>
      </x:c>
      <x:c r="F225" s="2" t="inlineStr">
        <x:is>
          <x:t xml:space="preserve">30 feet</x:t>
        </x:is>
      </x:c>
      <x:c r="G225" s="2" t="inlineStr">
        <x:is>
          <x:t xml:space="preserve">V, S</x:t>
        </x:is>
      </x:c>
      <x:c r="H225" s="2" t="inlineStr">
        <x:is>
          <x:t xml:space="preserve">Concentration, up to 1 minute</x:t>
        </x:is>
      </x:c>
      <x:c r="I225" s="2" t="inlineStr">
        <x:is>
          <x:t xml:space="preserve">You attempt to reshape another creature’s memories. One creature that you can see within range makes a Wisdom saving throw. If you are fighting the creature, it has Advantage on the save. On a failed save, the target has the Charmed condition for the duration. While Charmed in this way, the target also has the Incapacitated condition and is unaware of its surroundings, though it can hear you. If it takes any damage or is targeted by another spell, this spell ends, and no memories are modified. While this charm lasts, you can affect the target’s memory of an event that it experienced within the last 24 hours and that lasted no more than 10 minutes. You can permanently eliminate all memory of the event, allow the target to recall the event with perfect clarity, change its memory of the event’s details, or create a memory of some other event. You must speak to the target to describe how its memories are affected, and it must be able to understand your language for the modified memories to take root. Its mind fills in any gaps in the details of your description. If the spell ends before you finish describing the modified memories, the creature’s memory isn’t altered. Otherwise, the modified memories take hold when the spell ends. A modified memory doesn’t necessarily affect how a creature behaves, particularly if the memory contradicts the creature’s natural inclinations, alignment, or beliefs. An illogical modified memory, such as a false memory of how much the creature enjoyed swimming in acid, is dismissed as a bad dream. The GM might deem a modified memory too nonsensical to affect a creature. A Remove Curse or Greater Restoration spell cast on the target restores the creature’s true memory. Using a Higher-Level Spell Slot. You can alter the target’s memories of an event that took place up to 7 days ago (level 6 spell slot), 30 days ago (level 7 spell slot), 365 days ago (level 8 spell slot), or any time in the creature’s past (level 9 spell slot).</x:t>
        </x:is>
      </x:c>
      <x:c r="J225" s="2" t="inlineStr">
        <x:is>
          <x:t xml:space="preserve">SRD 5.2.1</x:t>
        </x:is>
      </x:c>
      <x:c r="K225" s="2" t="inlineStr">
        <x:is>
          <x:t xml:space="preserve">pp. 107-175</x:t>
        </x:is>
      </x:c>
    </x:row>
    <x:row r="226" ht="18" customHeight="1">
      <x:c r="A226" s="2" t="inlineStr">
        <x:is>
          <x:t xml:space="preserve">Moonbeam</x:t>
        </x:is>
      </x:c>
      <x:c r="B226" s="2" t="inlineStr">
        <x:is>
          <x:t xml:space="preserve">2</x:t>
        </x:is>
      </x:c>
      <x:c r="C226" s="2" t="inlineStr">
        <x:is>
          <x:t xml:space="preserve">Evocation</x:t>
        </x:is>
      </x:c>
      <x:c r="D226" s="2" t="inlineStr">
        <x:is>
          <x:t xml:space="preserve">Druid</x:t>
        </x:is>
      </x:c>
      <x:c r="E226" s="2" t="inlineStr">
        <x:is>
          <x:t xml:space="preserve">Action</x:t>
        </x:is>
      </x:c>
      <x:c r="F226" s="2" t="inlineStr">
        <x:is>
          <x:t xml:space="preserve">120 feet</x:t>
        </x:is>
      </x:c>
      <x:c r="G226" s="2" t="inlineStr">
        <x:is>
          <x:t xml:space="preserve">V, S, M (a moonseed leaf)</x:t>
        </x:is>
      </x:c>
      <x:c r="H226" s="2" t="inlineStr">
        <x:is>
          <x:t xml:space="preserve">Concentration, up to 1 minute</x:t>
        </x:is>
      </x:c>
      <x:c r="I226" s="2" t="inlineStr">
        <x:is>
          <x:t xml:space="preserve">A silvery beam of pale light shines down in a 5-foot-radius, 40-foot-high Cylinder centered on a point within range. Until the spell ends, Dim Light fills the Cylinder, and you can take a Magic action on later turns to move the Cylinder up to 60 feet. When the Cylinder appears, each creature in it makes a Constitution saving throw. On a failed save, a creature takes 2d10 Radiant damage, and if the creature is shape-shifted (as a result of the Polymorph spell, for example), it reverts to its true form and can’t shape-shift until it leaves the Cylinder. On a successful save, a creature takes half as much damage only. A creature also makes this save when the spell’s area moves into its space and when it enters the spell’s area or ends its turn there. A creature makes this save only once per turn. Using a Higher-Level Spell Slot. The damage increases by 1d10 for each spell slot level above 2.</x:t>
        </x:is>
      </x:c>
      <x:c r="J226" s="2" t="inlineStr">
        <x:is>
          <x:t xml:space="preserve">SRD 5.2.1</x:t>
        </x:is>
      </x:c>
      <x:c r="K226" s="2" t="inlineStr">
        <x:is>
          <x:t xml:space="preserve">pp. 107-175</x:t>
        </x:is>
      </x:c>
    </x:row>
    <x:row r="227" ht="18" customHeight="1">
      <x:c r="A227" s="2" t="inlineStr">
        <x:is>
          <x:t xml:space="preserve">Move Earth</x:t>
        </x:is>
      </x:c>
      <x:c r="B227" s="2" t="inlineStr">
        <x:is>
          <x:t xml:space="preserve">6</x:t>
        </x:is>
      </x:c>
      <x:c r="C227" s="2" t="inlineStr">
        <x:is>
          <x:t xml:space="preserve">Transmutation</x:t>
        </x:is>
      </x:c>
      <x:c r="D227" s="2" t="inlineStr">
        <x:is>
          <x:t xml:space="preserve">Druid, Sorcerer, Wizard</x:t>
        </x:is>
      </x:c>
      <x:c r="E227" s="2" t="inlineStr">
        <x:is>
          <x:t xml:space="preserve">Action</x:t>
        </x:is>
      </x:c>
      <x:c r="F227" s="2" t="inlineStr">
        <x:is>
          <x:t xml:space="preserve">120 feet</x:t>
        </x:is>
      </x:c>
      <x:c r="G227" s="2" t="inlineStr">
        <x:is>
          <x:t xml:space="preserve">V, S, M (a miniature shovel)</x:t>
        </x:is>
      </x:c>
      <x:c r="H227" s="2" t="inlineStr">
        <x:is>
          <x:t xml:space="preserve">Concentration, up to 2 hours</x:t>
        </x:is>
      </x:c>
      <x:c r="I227" s="2" t="inlineStr">
        <x:is>
          <x:t xml:space="preserve">Choose an area of terrain no larger than 40 feet on a side within range. You can reshape dirt, sand, or clay in the area in any manner you choose for the duration. You can raise or lower the area’s elevation, create or fill in a trench, erect or flatten a wall, or form a pillar. The extent of any such changes can’t exceed half the area’s largest dimension. For example, if you affect a 40-foot square, you can create a pillar up to 20 feet high, raise or lower the square’s elevation by up to 20 feet, dig a trench up to 20 feet deep, and so on. It takes 10 minutes for these changes to complete. Because the terrain’s transformation occurs slowly, creatures in the area can’t usually be trapped or injured by the ground’s movement. At the end of every 10 minutes you spend concentrating on the spell, you can choose a new area of terrain to affect within range. This spell can’t manipulate natural stone or stone construction. Rocks and structures shift to accommodate the new terrain. If the way you shape the terrain would make a structure unstable, it might collapse. Similarly, this spell doesn’t directly affect plant growth. The moved earth carries any plants along with it.</x:t>
        </x:is>
      </x:c>
      <x:c r="J227" s="2" t="inlineStr">
        <x:is>
          <x:t xml:space="preserve">SRD 5.2.1</x:t>
        </x:is>
      </x:c>
      <x:c r="K227" s="2" t="inlineStr">
        <x:is>
          <x:t xml:space="preserve">pp. 107-175</x:t>
        </x:is>
      </x:c>
    </x:row>
    <x:row r="228" ht="18" customHeight="1">
      <x:c r="A228" s="2" t="inlineStr">
        <x:is>
          <x:t xml:space="preserve">Nondetection</x:t>
        </x:is>
      </x:c>
      <x:c r="B228" s="2" t="inlineStr">
        <x:is>
          <x:t xml:space="preserve">3</x:t>
        </x:is>
      </x:c>
      <x:c r="C228" s="2" t="inlineStr">
        <x:is>
          <x:t xml:space="preserve">Abjuration</x:t>
        </x:is>
      </x:c>
      <x:c r="D228" s="2" t="inlineStr">
        <x:is>
          <x:t xml:space="preserve">Bard, Ranger, Wizard</x:t>
        </x:is>
      </x:c>
      <x:c r="E228" s="2" t="inlineStr">
        <x:is>
          <x:t xml:space="preserve">Action</x:t>
        </x:is>
      </x:c>
      <x:c r="F228" s="2" t="inlineStr">
        <x:is>
          <x:t xml:space="preserve">Touch</x:t>
        </x:is>
      </x:c>
      <x:c r="G228" s="2" t="inlineStr">
        <x:is>
          <x:t xml:space="preserve">V, S, M (a pinch of diamond dust worth</x:t>
        </x:is>
      </x:c>
      <x:c r="H228" s="2" t="inlineStr">
        <x:is>
          <x:t xml:space="preserve">8 hours</x:t>
        </x:is>
      </x:c>
      <x:c r="I228" s="2" t="inlineStr">
        <x:is>
          <x:t xml:space="preserve">For the duration, you hide a target that you touch from Divination spells. The target can be a willing creature, or it can be a place or an object no larger than 10 feet in any dimension. The target can’t be targeted by any Divination spell or perceived through magical scrying sensors.</x:t>
        </x:is>
      </x:c>
      <x:c r="J228" s="2" t="inlineStr">
        <x:is>
          <x:t xml:space="preserve">SRD 5.2.1</x:t>
        </x:is>
      </x:c>
      <x:c r="K228" s="2" t="inlineStr">
        <x:is>
          <x:t xml:space="preserve">pp. 107-175</x:t>
        </x:is>
      </x:c>
    </x:row>
    <x:row r="229" ht="18" customHeight="1">
      <x:c r="A229" s="2" t="inlineStr">
        <x:is>
          <x:t xml:space="preserve">Passwall</x:t>
        </x:is>
      </x:c>
      <x:c r="B229" s="2" t="inlineStr">
        <x:is>
          <x:t xml:space="preserve">5</x:t>
        </x:is>
      </x:c>
      <x:c r="C229" s="2" t="inlineStr">
        <x:is>
          <x:t xml:space="preserve">Transmutation</x:t>
        </x:is>
      </x:c>
      <x:c r="D229" s="2" t="inlineStr">
        <x:is>
          <x:t xml:space="preserve">Wizard</x:t>
        </x:is>
      </x:c>
      <x:c r="E229" s="2" t="inlineStr">
        <x:is>
          <x:t xml:space="preserve">Action</x:t>
        </x:is>
      </x:c>
      <x:c r="F229" s="2" t="inlineStr">
        <x:is>
          <x:t xml:space="preserve">30 feet</x:t>
        </x:is>
      </x:c>
      <x:c r="G229" s="2" t="inlineStr">
        <x:is>
          <x:t xml:space="preserve">V, S, M (a pinch of sesame seeds)</x:t>
        </x:is>
      </x:c>
      <x:c r="H229" s="2" t="inlineStr">
        <x:is>
          <x:t xml:space="preserve">1 hour</x:t>
        </x:is>
      </x:c>
      <x:c r="I229" s="2" t="inlineStr">
        <x:is>
          <x:t xml:space="preserve">A passage appears at a point that you can see on a wooden, plaster, or stone surface (such as a wall, ceiling, or floor) within range and lasts for the duration. You choose the opening’s dimensions: up to 5 feet wide, 8 feet tall, and 20 feet deep. The passage creates no instability in a structure surrounding it. When the opening disappears, any creatures or objects still in the passage created by the spell are safely ejected to an unoccupied space nearest to the surface on which you cast the spell.</x:t>
        </x:is>
      </x:c>
      <x:c r="J229" s="2" t="inlineStr">
        <x:is>
          <x:t xml:space="preserve">SRD 5.2.1</x:t>
        </x:is>
      </x:c>
      <x:c r="K229" s="2" t="inlineStr">
        <x:is>
          <x:t xml:space="preserve">pp. 107-175</x:t>
        </x:is>
      </x:c>
    </x:row>
    <x:row r="230" ht="18" customHeight="1">
      <x:c r="A230" s="2" t="inlineStr">
        <x:is>
          <x:t xml:space="preserve">Pass without Trace</x:t>
        </x:is>
      </x:c>
      <x:c r="B230" s="2" t="inlineStr">
        <x:is>
          <x:t xml:space="preserve">2</x:t>
        </x:is>
      </x:c>
      <x:c r="C230" s="2" t="inlineStr">
        <x:is>
          <x:t xml:space="preserve">Abjuration</x:t>
        </x:is>
      </x:c>
      <x:c r="D230" s="2" t="inlineStr">
        <x:is>
          <x:t xml:space="preserve">Druid, Ranger</x:t>
        </x:is>
      </x:c>
      <x:c r="E230" s="2" t="inlineStr">
        <x:is>
          <x:t xml:space="preserve">Action</x:t>
        </x:is>
      </x:c>
      <x:c r="F230" s="2" t="inlineStr">
        <x:is>
          <x:t xml:space="preserve">Self</x:t>
        </x:is>
      </x:c>
      <x:c r="G230" s="2" t="inlineStr">
        <x:is>
          <x:t xml:space="preserve">V, S, M (ashes from burned mistletoe)</x:t>
        </x:is>
      </x:c>
      <x:c r="H230" s="2" t="inlineStr">
        <x:is>
          <x:t xml:space="preserve">Concentration, up to 1 hour</x:t>
        </x:is>
      </x:c>
      <x:c r="I230" s="2" t="inlineStr">
        <x:is>
          <x:t xml:space="preserve">You radiate a concealing aura in a 30-foot Emanation for the duration. While in the aura, you and each creature you choose have a +10 bonus to Dexterity (Stealth) checks and leave no tracks.</x:t>
        </x:is>
      </x:c>
      <x:c r="J230" s="2" t="inlineStr">
        <x:is>
          <x:t xml:space="preserve">SRD 5.2.1</x:t>
        </x:is>
      </x:c>
      <x:c r="K230" s="2" t="inlineStr">
        <x:is>
          <x:t xml:space="preserve">pp. 107-175</x:t>
        </x:is>
      </x:c>
    </x:row>
    <x:row r="231" ht="18" customHeight="1">
      <x:c r="A231" s="2" t="inlineStr">
        <x:is>
          <x:t xml:space="preserve">Phantasmal Force</x:t>
        </x:is>
      </x:c>
      <x:c r="B231" s="2" t="inlineStr">
        <x:is>
          <x:t xml:space="preserve">2</x:t>
        </x:is>
      </x:c>
      <x:c r="C231" s="2" t="inlineStr">
        <x:is>
          <x:t xml:space="preserve">Illusion</x:t>
        </x:is>
      </x:c>
      <x:c r="D231" s="2" t="inlineStr">
        <x:is>
          <x:t xml:space="preserve">Bard, Sorcerer, Wizard</x:t>
        </x:is>
      </x:c>
      <x:c r="E231" s="2" t="inlineStr">
        <x:is>
          <x:t xml:space="preserve">Action</x:t>
        </x:is>
      </x:c>
      <x:c r="F231" s="2" t="inlineStr">
        <x:is>
          <x:t xml:space="preserve">60 feet</x:t>
        </x:is>
      </x:c>
      <x:c r="G231" s="2" t="inlineStr">
        <x:is>
          <x:t xml:space="preserve">V, S, M (a bit of fleece)</x:t>
        </x:is>
      </x:c>
      <x:c r="H231" s="2" t="inlineStr">
        <x:is>
          <x:t xml:space="preserve">Concentration, up to 1 minute</x:t>
        </x:is>
      </x:c>
      <x:c r="I231" s="2" t="inlineStr">
        <x:is>
          <x:t xml:space="preserve">You attempt to craft an illusion in the mind of a creature you can see within range. The target makes an Intelligence saving throw. On a failed save, you create a phantasmal object, creature, or other phenomenon that is no larger than a 10-foot Cube and that is perceivable only to the target for the duration. The phantasm includes sound, temperature, and other stimuli. The target can take a Study action to examine the phantasm with an Intelligence (Investigation) check against your spell save DC. If the check succeeds, the target realizes that the phantasm is an illusion, and the spell ends. While affected by the spell, the target treats the phantasm as if it were real and rationalizes any illogical outcomes from interacting with it. For example, if the target steps through a phantasmal bridge and survives the fall, it believes the bridge exists and something else caused it to fall. An affected target can even take damage from the illusion if the phantasm represents a dangerous creature or hazard. On each of your turns, such a phantasm can deal 2d8 Psychic damage to the target if it is in the phantasm’s area or within 5 feet of the phantasm. The target perceives the damage as a type appropriate to the illusion.</x:t>
        </x:is>
      </x:c>
      <x:c r="J231" s="2" t="inlineStr">
        <x:is>
          <x:t xml:space="preserve">SRD 5.2.1</x:t>
        </x:is>
      </x:c>
      <x:c r="K231" s="2" t="inlineStr">
        <x:is>
          <x:t xml:space="preserve">pp. 107-175</x:t>
        </x:is>
      </x:c>
    </x:row>
    <x:row r="232" ht="18" customHeight="1">
      <x:c r="A232" s="2" t="inlineStr">
        <x:is>
          <x:t xml:space="preserve">Phantasmal Killer</x:t>
        </x:is>
      </x:c>
      <x:c r="B232" s="2" t="inlineStr">
        <x:is>
          <x:t xml:space="preserve">4</x:t>
        </x:is>
      </x:c>
      <x:c r="C232" s="2" t="inlineStr">
        <x:is>
          <x:t xml:space="preserve">Illusion</x:t>
        </x:is>
      </x:c>
      <x:c r="D232" s="2" t="inlineStr">
        <x:is>
          <x:t xml:space="preserve">Bard, Wizard</x:t>
        </x:is>
      </x:c>
      <x:c r="E232" s="2" t="inlineStr">
        <x:is>
          <x:t xml:space="preserve">Action</x:t>
        </x:is>
      </x:c>
      <x:c r="F232" s="2" t="inlineStr">
        <x:is>
          <x:t xml:space="preserve">120 feet</x:t>
        </x:is>
      </x:c>
      <x:c r="G232" s="2" t="inlineStr">
        <x:is>
          <x:t xml:space="preserve">V, S</x:t>
        </x:is>
      </x:c>
      <x:c r="H232" s="2" t="inlineStr">
        <x:is>
          <x:t xml:space="preserve">Concentration, up to 1 minute</x:t>
        </x:is>
      </x:c>
      <x:c r="I232" s="2" t="inlineStr">
        <x:is>
          <x:t xml:space="preserve">You tap into the nightmares of a creature you can see within range and create an illusion of its deepest fears, visible only to that creature. The target makes a Wisdom saving throw. On a failed save, the target takes 4d10 Psychic damage and has Disadvantage on ability checks and attack rolls for the duration. On a successful save, the target takes half as much damage, and the spell ends. For the duration, the target makes a Wisdom saving throw at the end of each of its turns. On a failed save, it takes the Psychic damage again. On a successful save, the spell ends. Using a Higher-Level Spell Slot. The damage increases by 1d10 for each spell slot level above 4.</x:t>
        </x:is>
      </x:c>
      <x:c r="J232" s="2" t="inlineStr">
        <x:is>
          <x:t xml:space="preserve">SRD 5.2.1</x:t>
        </x:is>
      </x:c>
      <x:c r="K232" s="2" t="inlineStr">
        <x:is>
          <x:t xml:space="preserve">pp. 107-175</x:t>
        </x:is>
      </x:c>
    </x:row>
    <x:row r="233" ht="18" customHeight="1">
      <x:c r="A233" s="2" t="inlineStr">
        <x:is>
          <x:t xml:space="preserve">Phantom Steed</x:t>
        </x:is>
      </x:c>
      <x:c r="B233" s="2" t="inlineStr">
        <x:is>
          <x:t xml:space="preserve">3</x:t>
        </x:is>
      </x:c>
      <x:c r="C233" s="2" t="inlineStr">
        <x:is>
          <x:t xml:space="preserve">Illusion</x:t>
        </x:is>
      </x:c>
      <x:c r="D233" s="2" t="inlineStr">
        <x:is>
          <x:t xml:space="preserve">Wizard</x:t>
        </x:is>
      </x:c>
      <x:c r="E233" s="2" t="inlineStr">
        <x:is>
          <x:t xml:space="preserve">1 minute or Ritual</x:t>
        </x:is>
      </x:c>
      <x:c r="F233" s="2" t="inlineStr">
        <x:is>
          <x:t xml:space="preserve">30 feet</x:t>
        </x:is>
      </x:c>
      <x:c r="G233" s="2" t="inlineStr">
        <x:is>
          <x:t xml:space="preserve">V, S</x:t>
        </x:is>
      </x:c>
      <x:c r="H233" s="2" t="inlineStr">
        <x:is>
          <x:t xml:space="preserve">1 hour</x:t>
        </x:is>
      </x:c>
      <x:c r="I233" s="2" t="inlineStr">
        <x:is>
          <x:t xml:space="preserve">A Large, quasi-real, horselike creature appears on the ground in an unoccupied space of your choice within range. You decide the creature’s appearance, and it is equipped with a saddle, bit, and bridle. Any of the equipment created by the spell vanishes in a puff of smoke if it is carried more than 10 feet away from the steed. For the duration, you or a creature you choose can ride the steed. The steed uses the Riding Horse stat block (see “Monsters”), except it has a Speed of 100 feet and can travel 13 miles in an hour. When the spell ends, the steed gradually fades, giving the rider 1 minute to dismount. The spell ends early if the steed takes any damage.</x:t>
        </x:is>
      </x:c>
      <x:c r="J233" s="2" t="inlineStr">
        <x:is>
          <x:t xml:space="preserve">SRD 5.2.1</x:t>
        </x:is>
      </x:c>
      <x:c r="K233" s="2" t="inlineStr">
        <x:is>
          <x:t xml:space="preserve">pp. 107-175</x:t>
        </x:is>
      </x:c>
    </x:row>
    <x:row r="234" ht="18" customHeight="1">
      <x:c r="A234" s="2" t="inlineStr">
        <x:is>
          <x:t xml:space="preserve">Planar Ally</x:t>
        </x:is>
      </x:c>
      <x:c r="B234" s="2" t="inlineStr">
        <x:is>
          <x:t xml:space="preserve">6</x:t>
        </x:is>
      </x:c>
      <x:c r="C234" s="2" t="inlineStr">
        <x:is>
          <x:t xml:space="preserve">Conjuration</x:t>
        </x:is>
      </x:c>
      <x:c r="D234" s="2" t="inlineStr">
        <x:is>
          <x:t xml:space="preserve">Cleric</x:t>
        </x:is>
      </x:c>
      <x:c r="E234" s="2" t="inlineStr">
        <x:is>
          <x:t xml:space="preserve">10 minutes</x:t>
        </x:is>
      </x:c>
      <x:c r="F234" s="2" t="inlineStr">
        <x:is>
          <x:t xml:space="preserve">60 feet</x:t>
        </x:is>
      </x:c>
      <x:c r="G234" s="2" t="inlineStr">
        <x:is>
          <x:t xml:space="preserve">V, S</x:t>
        </x:is>
      </x:c>
      <x:c r="H234" s="2" t="inlineStr">
        <x:is>
          <x:t xml:space="preserve">Instantaneous</x:t>
        </x:is>
      </x:c>
      <x:c r="I234" s="2" t="inlineStr">
        <x:is>
          <x:t xml:space="preserve">You beseech an otherworldly entity for aid. The being must be known to you: a god, a demon prince, or some other being of cosmic power. That entity sends a Celestial, an Elemental, or a Fiend loyal to it to aid you, making the creature appear in an unoccupied space within range. If you know a specific creature’s name, you can speak that name when you cast this spell to request that creature, though you might get a different creature anyway (GM’s choice). When the creature appears, it is under no compulsion to behave a particular way. You can ask it to perform a service in exchange for payment, but it isn’t obliged to do so. The requested task could range from simple (fly us across the chasm, or help us fight a battle) to complex (spy on our enemies, or protect us during our foray into the dungeon). You must be able to communicate with the creature to bargain for its services. Payment can take a variety of forms. A Celestial might require a sizable donation of gold or magic items to an allied temple, while a Fiend might demand a living sacrifice or a gift of treasure. Some creatures might exchange their service for a quest undertaken by you. A task that can be measured in minutes requires a payment worth 100 GP per minute. A task measured in hours requires 1,000 GP per hour. And a task measured in days (up to 10 days) requires 10,000 GP per day. The GM can adjust these payments based on the circumstances under which you cast the spell. If the task is aligned with the creature’s ethos, the payment might be halved or even waived. Nonhazardous tasks typically require only half the suggested payment, while especially dangerous tasks might require a greater gift. Creatures rarely accept tasks that seem suicidal. After the creature completes the task, or when the agreed-upon duration of service expires, the creature returns to its home plane after reporting back to you if possible. If you are unable to agree on a price for the creature’s service, the creature immediately returns to its home plane.</x:t>
        </x:is>
      </x:c>
      <x:c r="J234" s="2" t="inlineStr">
        <x:is>
          <x:t xml:space="preserve">SRD 5.2.1</x:t>
        </x:is>
      </x:c>
      <x:c r="K234" s="2" t="inlineStr">
        <x:is>
          <x:t xml:space="preserve">pp. 107-175</x:t>
        </x:is>
      </x:c>
    </x:row>
    <x:row r="235" ht="18" customHeight="1">
      <x:c r="A235" s="2" t="inlineStr">
        <x:is>
          <x:t xml:space="preserve">Planar Binding</x:t>
        </x:is>
      </x:c>
      <x:c r="B235" s="2" t="inlineStr">
        <x:is>
          <x:t xml:space="preserve">5</x:t>
        </x:is>
      </x:c>
      <x:c r="C235" s="2" t="inlineStr">
        <x:is>
          <x:t xml:space="preserve">Abjuration</x:t>
        </x:is>
      </x:c>
      <x:c r="D235" s="2" t="inlineStr">
        <x:is>
          <x:t xml:space="preserve"/>
        </x:is>
      </x:c>
      <x:c r="E235" s="2" t="inlineStr">
        <x:is>
          <x:t xml:space="preserve">1 hour</x:t>
        </x:is>
      </x:c>
      <x:c r="F235" s="2" t="inlineStr">
        <x:is>
          <x:t xml:space="preserve">60 feet</x:t>
        </x:is>
      </x:c>
      <x:c r="G235" s="2" t="inlineStr">
        <x:is>
          <x:t xml:space="preserve">V, S, M (a jewel worth 1,000+ GP, which</x:t>
        </x:is>
      </x:c>
      <x:c r="H235" s="2" t="inlineStr">
        <x:is>
          <x:t xml:space="preserve">24 hours</x:t>
        </x:is>
      </x:c>
      <x:c r="I235" s="2" t="inlineStr">
        <x:is>
          <x:t xml:space="preserve">You attempt to bind a Celestial, an Elemental, a Fey, or a Fiend to your service. The creature must be within range for the entire casting of the spell. (Typically, the creature is first summoned into the center of the inverted version of the Magic Circle spell to trap it while this spell is cast.) At the completion of the casting, the target must succeed on a Charisma saving throw or be bound to serve you for the duration. If the creature was summoned or created by another spell, that spell’s duration is extended to match the duration of this spell. A bound creature must follow your commands to the best of its ability. You might command the creature to accompany you on an adventure, to guard a location, or to deliver a message. If the creature is Hostile, it strives to twist your commands to achieve its own objectives. If the creature carries out your commands completely before the spell ends, it travels to you to report this fact if you are on the same plane of existence. If you are on a different plane, it returns to the place where you bound it and remains there until the spell ends. Using a Higher-Level Spell Slot. The duration increases with a spell slot of level 6 (10 days), 7 (30 days), 8 (180 days), and 9 (366 days).</x:t>
        </x:is>
      </x:c>
      <x:c r="J235" s="2" t="inlineStr">
        <x:is>
          <x:t xml:space="preserve">SRD 5.2.1</x:t>
        </x:is>
      </x:c>
      <x:c r="K235" s="2" t="inlineStr">
        <x:is>
          <x:t xml:space="preserve">pp. 107-175</x:t>
        </x:is>
      </x:c>
    </x:row>
    <x:row r="236" ht="18" customHeight="1">
      <x:c r="A236" s="2" t="inlineStr">
        <x:is>
          <x:t xml:space="preserve">Plane Shift</x:t>
        </x:is>
      </x:c>
      <x:c r="B236" s="2" t="inlineStr">
        <x:is>
          <x:t xml:space="preserve">7</x:t>
        </x:is>
      </x:c>
      <x:c r="C236" s="2" t="inlineStr">
        <x:is>
          <x:t xml:space="preserve">Conjuration</x:t>
        </x:is>
      </x:c>
      <x:c r="D236" s="2" t="inlineStr">
        <x:is>
          <x:t xml:space="preserve"/>
        </x:is>
      </x:c>
      <x:c r="E236" s="2" t="inlineStr">
        <x:is>
          <x:t xml:space="preserve">Action</x:t>
        </x:is>
      </x:c>
      <x:c r="F236" s="2" t="inlineStr">
        <x:is>
          <x:t xml:space="preserve">Touch</x:t>
        </x:is>
      </x:c>
      <x:c r="G236" s="2" t="inlineStr">
        <x:is>
          <x:t xml:space="preserve">V, S, M (a forked, metal rod worth 250+</x:t>
        </x:is>
      </x:c>
      <x:c r="H236" s="2" t="inlineStr">
        <x:is>
          <x:t xml:space="preserve">Instantaneous</x:t>
        </x:is>
      </x:c>
      <x:c r="I236" s="2" t="inlineStr">
        <x:is>
          <x:t xml:space="preserve">You and up to eight willing creatures who link hands in a circle are transported to a different plane of existence. You can specify a target destination in general terms, such as a specific city on the Elemental Plane of Fire or palace on the second level of the Nine Hells, and you appear in or near that destination, as determined by the GM. Alternatively, if you know the sigil sequence of a teleportation circle on another plane of existence, this spell can take you to that circle. If the teleportation circle is too small to hold all the creatures you transported, they appear in the closest unoccupied spaces next to the circle.</x:t>
        </x:is>
      </x:c>
      <x:c r="J236" s="2" t="inlineStr">
        <x:is>
          <x:t xml:space="preserve">SRD 5.2.1</x:t>
        </x:is>
      </x:c>
      <x:c r="K236" s="2" t="inlineStr">
        <x:is>
          <x:t xml:space="preserve">pp. 107-175</x:t>
        </x:is>
      </x:c>
    </x:row>
    <x:row r="237" ht="18" customHeight="1">
      <x:c r="A237" s="2" t="inlineStr">
        <x:is>
          <x:t xml:space="preserve">Plant Growth</x:t>
        </x:is>
      </x:c>
      <x:c r="B237" s="2" t="inlineStr">
        <x:is>
          <x:t xml:space="preserve">3</x:t>
        </x:is>
      </x:c>
      <x:c r="C237" s="2" t="inlineStr">
        <x:is>
          <x:t xml:space="preserve">Transmutation</x:t>
        </x:is>
      </x:c>
      <x:c r="D237" s="2" t="inlineStr">
        <x:is>
          <x:t xml:space="preserve">Bard, Druid, Ranger</x:t>
        </x:is>
      </x:c>
      <x:c r="E237" s="2" t="inlineStr">
        <x:is>
          <x:t xml:space="preserve">Action (Overgrowth) or</x:t>
        </x:is>
      </x:c>
      <x:c r="F237" s="2" t="inlineStr">
        <x:is>
          <x:t xml:space="preserve">150 feet</x:t>
        </x:is>
      </x:c>
      <x:c r="G237" s="2" t="inlineStr">
        <x:is>
          <x:t xml:space="preserve">V, S</x:t>
        </x:is>
      </x:c>
      <x:c r="H237" s="2" t="inlineStr">
        <x:is>
          <x:t xml:space="preserve">Instantaneous</x:t>
        </x:is>
      </x:c>
      <x:c r="I237" s="2" t="inlineStr">
        <x:is>
          <x:t xml:space="preserve">This spell channels vitality into plants. The casting time you use determines whether the spell has the Overgrowth or the Enrichment effect below. Overgrowth. Choose a point within range. All normal plants in a 100-foot-radius Sphere centered on that point become thick and overgrown. A creature moving through that area must spend 4 feet of movement for every 1 foot it moves. You can exclude one or more areas of any size within the spell’s area from being affected. Enrichment. All plants in a half-mile radius centered on a point within range become enriched for 365 days. The plants yield twice the normal amount of food when harvested. They can benefit from only one Plant Growth per year.</x:t>
        </x:is>
      </x:c>
      <x:c r="J237" s="2" t="inlineStr">
        <x:is>
          <x:t xml:space="preserve">SRD 5.2.1</x:t>
        </x:is>
      </x:c>
      <x:c r="K237" s="2" t="inlineStr">
        <x:is>
          <x:t xml:space="preserve">pp. 107-175</x:t>
        </x:is>
      </x:c>
    </x:row>
    <x:row r="238" ht="18" customHeight="1">
      <x:c r="A238" s="2" t="inlineStr">
        <x:is>
          <x:t xml:space="preserve">Poison Spray</x:t>
        </x:is>
      </x:c>
      <x:c r="B238" s="2" t="inlineStr">
        <x:is>
          <x:t xml:space="preserve">Cantrip</x:t>
        </x:is>
      </x:c>
      <x:c r="C238" s="2" t="inlineStr">
        <x:is>
          <x:t xml:space="preserve">Necromancy</x:t>
        </x:is>
      </x:c>
      <x:c r="D238" s="2" t="inlineStr">
        <x:is>
          <x:t xml:space="preserve"/>
        </x:is>
      </x:c>
      <x:c r="E238" s="2" t="inlineStr">
        <x:is>
          <x:t xml:space="preserve">Action</x:t>
        </x:is>
      </x:c>
      <x:c r="F238" s="2" t="inlineStr">
        <x:is>
          <x:t xml:space="preserve">30 feet</x:t>
        </x:is>
      </x:c>
      <x:c r="G238" s="2" t="inlineStr">
        <x:is>
          <x:t xml:space="preserve">V, S</x:t>
        </x:is>
      </x:c>
      <x:c r="H238" s="2" t="inlineStr">
        <x:is>
          <x:t xml:space="preserve">Instantaneous</x:t>
        </x:is>
      </x:c>
      <x:c r="I238" s="2" t="inlineStr">
        <x:is>
          <x:t xml:space="preserve">You spray toxic mist at a creature within range. Make a ranged spell attack against the target. On a</x:t>
        </x:is>
      </x:c>
      <x:c r="J238" s="2" t="inlineStr">
        <x:is>
          <x:t xml:space="preserve">SRD 5.2.1</x:t>
        </x:is>
      </x:c>
      <x:c r="K238" s="2" t="inlineStr">
        <x:is>
          <x:t xml:space="preserve">pp. 107-175</x:t>
        </x:is>
      </x:c>
    </x:row>
    <x:row r="239" ht="18" customHeight="1">
      <x:c r="A239" s="2" t="inlineStr">
        <x:is>
          <x:t xml:space="preserve">hit, the target takes 1d12 Poison damage.</x:t>
        </x:is>
      </x:c>
      <x:c r="B239" s="2" t="inlineStr">
        <x:is>
          <x:t xml:space="preserve">Cantrip</x:t>
        </x:is>
      </x:c>
      <x:c r="C239" s="2" t="inlineStr">
        <x:is>
          <x:t xml:space="preserve"/>
        </x:is>
      </x:c>
      <x:c r="D239" s="2" t="inlineStr">
        <x:is>
          <x:t xml:space="preserve"/>
        </x:is>
      </x:c>
      <x:c r="E239" s="2" t="inlineStr">
        <x:is>
          <x:t xml:space="preserve"/>
        </x:is>
      </x:c>
      <x:c r="F239" s="2" t="inlineStr">
        <x:is>
          <x:t xml:space="preserve"/>
        </x:is>
      </x:c>
      <x:c r="G239" s="2" t="inlineStr">
        <x:is>
          <x:t xml:space="preserve"/>
        </x:is>
      </x:c>
      <x:c r="H239" s="2" t="inlineStr">
        <x:is>
          <x:t xml:space="preserve"/>
        </x:is>
      </x:c>
      <x:c r="I239" s="2" t="inlineStr">
        <x:is>
          <x:t xml:space="preserve">hit, the target takes 1d12 Poison damage. Cantrip Upgrade. The damage increases by 1d12 when you reach levels 5 (2d12), 11 (3d12), and 17 (4d12).</x:t>
        </x:is>
      </x:c>
      <x:c r="J239" s="2" t="inlineStr">
        <x:is>
          <x:t xml:space="preserve">SRD 5.2.1</x:t>
        </x:is>
      </x:c>
      <x:c r="K239" s="2" t="inlineStr">
        <x:is>
          <x:t xml:space="preserve">pp. 107-175</x:t>
        </x:is>
      </x:c>
    </x:row>
    <x:row r="240" ht="18" customHeight="1">
      <x:c r="A240" s="2" t="inlineStr">
        <x:is>
          <x:t xml:space="preserve">Polymorph</x:t>
        </x:is>
      </x:c>
      <x:c r="B240" s="2" t="inlineStr">
        <x:is>
          <x:t xml:space="preserve">4</x:t>
        </x:is>
      </x:c>
      <x:c r="C240" s="2" t="inlineStr">
        <x:is>
          <x:t xml:space="preserve">Transmutation</x:t>
        </x:is>
      </x:c>
      <x:c r="D240" s="2" t="inlineStr">
        <x:is>
          <x:t xml:space="preserve">Bard, Druid, Sorcerer, Wizard</x:t>
        </x:is>
      </x:c>
      <x:c r="E240" s="2" t="inlineStr">
        <x:is>
          <x:t xml:space="preserve">Action</x:t>
        </x:is>
      </x:c>
      <x:c r="F240" s="2" t="inlineStr">
        <x:is>
          <x:t xml:space="preserve">60 feet</x:t>
        </x:is>
      </x:c>
      <x:c r="G240" s="2" t="inlineStr">
        <x:is>
          <x:t xml:space="preserve">V, S, M (a caterpillar cocoon)</x:t>
        </x:is>
      </x:c>
      <x:c r="H240" s="2" t="inlineStr">
        <x:is>
          <x:t xml:space="preserve">Concentration, up to 1 hour</x:t>
        </x:is>
      </x:c>
      <x:c r="I240" s="2" t="inlineStr">
        <x:is>
          <x:t xml:space="preserve">You attempt to transform a creature that you can see within range into a Beast. The target must succeed on a Wisdom saving throw or shape-shift into a Beast form for the duration. That form can be any Beast you choose that has a Challenge Rating equal to or less than the target’s (or the target’s level if it doesn’t have a Challenge Rating). The target’s game statistics are replaced by the stat block of the chosen Beast, but the target retains its alignment, personality, creature type, Hit Points, and Hit Point Dice. See the “Animals” section of “Monsters” for a sample of Beast stat blocks. The target gains a number of Temporary Hit Points equal to the Hit Points of the Beast form. These Temporary Hit Points vanish if any remain when the spell ends. The spell ends early on the target if it has no Temporary Hit Points left. The target is limited in the actions it can perform by the anatomy of its new form, and it can’t speak or cast spells. The target’s gear melds into the new form. The creature can’t use or otherwise benefit from any of that equipment.</x:t>
        </x:is>
      </x:c>
      <x:c r="J240" s="2" t="inlineStr">
        <x:is>
          <x:t xml:space="preserve">SRD 5.2.1</x:t>
        </x:is>
      </x:c>
      <x:c r="K240" s="2" t="inlineStr">
        <x:is>
          <x:t xml:space="preserve">pp. 107-175</x:t>
        </x:is>
      </x:c>
    </x:row>
    <x:row r="241" ht="18" customHeight="1">
      <x:c r="A241" s="2" t="inlineStr">
        <x:is>
          <x:t xml:space="preserve">Power Word Heal</x:t>
        </x:is>
      </x:c>
      <x:c r="B241" s="2" t="inlineStr">
        <x:is>
          <x:t xml:space="preserve">9</x:t>
        </x:is>
      </x:c>
      <x:c r="C241" s="2" t="inlineStr">
        <x:is>
          <x:t xml:space="preserve">Enchantment</x:t>
        </x:is>
      </x:c>
      <x:c r="D241" s="2" t="inlineStr">
        <x:is>
          <x:t xml:space="preserve">Bard, Cleric</x:t>
        </x:is>
      </x:c>
      <x:c r="E241" s="2" t="inlineStr">
        <x:is>
          <x:t xml:space="preserve">Action</x:t>
        </x:is>
      </x:c>
      <x:c r="F241" s="2" t="inlineStr">
        <x:is>
          <x:t xml:space="preserve">60 feet</x:t>
        </x:is>
      </x:c>
      <x:c r="G241" s="2" t="inlineStr">
        <x:is>
          <x:t xml:space="preserve"/>
        </x:is>
      </x:c>
      <x:c r="H241" s="2" t="inlineStr">
        <x:is>
          <x:t xml:space="preserve">Instantaneous</x:t>
        </x:is>
      </x:c>
      <x:c r="I241" s="2" t="inlineStr">
        <x:is>
          <x:t xml:space="preserve">A wave of healing energy washes over one creature you can see within range. The target regains all its Hit Points. If the creature has the Charmed, Frightened, Paralyzed, Poisoned, or Stunned condition, the condition ends. If the creature has the Prone condition, it can use its Reaction to stand up.</x:t>
        </x:is>
      </x:c>
      <x:c r="J241" s="2" t="inlineStr">
        <x:is>
          <x:t xml:space="preserve">SRD 5.2.1</x:t>
        </x:is>
      </x:c>
      <x:c r="K241" s="2" t="inlineStr">
        <x:is>
          <x:t xml:space="preserve">pp. 107-175</x:t>
        </x:is>
      </x:c>
    </x:row>
    <x:row r="242" ht="18" customHeight="1">
      <x:c r="A242" s="2" t="inlineStr">
        <x:is>
          <x:t xml:space="preserve">Power Word Kill</x:t>
        </x:is>
      </x:c>
      <x:c r="B242" s="2" t="inlineStr">
        <x:is>
          <x:t xml:space="preserve">9</x:t>
        </x:is>
      </x:c>
      <x:c r="C242" s="2" t="inlineStr">
        <x:is>
          <x:t xml:space="preserve">Enchantment</x:t>
        </x:is>
      </x:c>
      <x:c r="D242" s="2" t="inlineStr">
        <x:is>
          <x:t xml:space="preserve"/>
        </x:is>
      </x:c>
      <x:c r="E242" s="2" t="inlineStr">
        <x:is>
          <x:t xml:space="preserve">Action</x:t>
        </x:is>
      </x:c>
      <x:c r="F242" s="2" t="inlineStr">
        <x:is>
          <x:t xml:space="preserve">60 feet</x:t>
        </x:is>
      </x:c>
      <x:c r="G242" s="2" t="inlineStr">
        <x:is>
          <x:t xml:space="preserve"/>
        </x:is>
      </x:c>
      <x:c r="H242" s="2" t="inlineStr">
        <x:is>
          <x:t xml:space="preserve">Instantaneous</x:t>
        </x:is>
      </x:c>
      <x:c r="I242" s="2" t="inlineStr">
        <x:is>
          <x:t xml:space="preserve">You compel one creature you can see within range to die. If the target has 100 Hit Points or fewer, it dies. Otherwise, it takes 12d12 Psychic damage.</x:t>
        </x:is>
      </x:c>
      <x:c r="J242" s="2" t="inlineStr">
        <x:is>
          <x:t xml:space="preserve">SRD 5.2.1</x:t>
        </x:is>
      </x:c>
      <x:c r="K242" s="2" t="inlineStr">
        <x:is>
          <x:t xml:space="preserve">pp. 107-175</x:t>
        </x:is>
      </x:c>
    </x:row>
    <x:row r="243" ht="18" customHeight="1">
      <x:c r="A243" s="2" t="inlineStr">
        <x:is>
          <x:t xml:space="preserve">Power Word Stun</x:t>
        </x:is>
      </x:c>
      <x:c r="B243" s="2" t="inlineStr">
        <x:is>
          <x:t xml:space="preserve">8</x:t>
        </x:is>
      </x:c>
      <x:c r="C243" s="2" t="inlineStr">
        <x:is>
          <x:t xml:space="preserve">Enchantment</x:t>
        </x:is>
      </x:c>
      <x:c r="D243" s="2" t="inlineStr">
        <x:is>
          <x:t xml:space="preserve"/>
        </x:is>
      </x:c>
      <x:c r="E243" s="2" t="inlineStr">
        <x:is>
          <x:t xml:space="preserve">Action</x:t>
        </x:is>
      </x:c>
      <x:c r="F243" s="2" t="inlineStr">
        <x:is>
          <x:t xml:space="preserve">60 feet</x:t>
        </x:is>
      </x:c>
      <x:c r="G243" s="2" t="inlineStr">
        <x:is>
          <x:t xml:space="preserve">V</x:t>
        </x:is>
      </x:c>
      <x:c r="H243" s="2" t="inlineStr">
        <x:is>
          <x:t xml:space="preserve">Instantaneous</x:t>
        </x:is>
      </x:c>
      <x:c r="I243" s="2" t="inlineStr">
        <x:is>
          <x:t xml:space="preserve">You overwhelm the mind of one creature you can see within range. If the target has 150 Hit Points or fewer, it has the Stunned condition. Otherwise, its Speed is 0 until the start of your next turn. The Stunned target makes a Constitution saving throw at the end of each of its turns, ending the condition on itself on a success.</x:t>
        </x:is>
      </x:c>
      <x:c r="J243" s="2" t="inlineStr">
        <x:is>
          <x:t xml:space="preserve">SRD 5.2.1</x:t>
        </x:is>
      </x:c>
      <x:c r="K243" s="2" t="inlineStr">
        <x:is>
          <x:t xml:space="preserve">pp. 107-175</x:t>
        </x:is>
      </x:c>
    </x:row>
    <x:row r="244" ht="18" customHeight="1">
      <x:c r="A244" s="2" t="inlineStr">
        <x:is>
          <x:t xml:space="preserve">Prayer of Healing</x:t>
        </x:is>
      </x:c>
      <x:c r="B244" s="2" t="inlineStr">
        <x:is>
          <x:t xml:space="preserve">2</x:t>
        </x:is>
      </x:c>
      <x:c r="C244" s="2" t="inlineStr">
        <x:is>
          <x:t xml:space="preserve">Abjuration</x:t>
        </x:is>
      </x:c>
      <x:c r="D244" s="2" t="inlineStr">
        <x:is>
          <x:t xml:space="preserve">Cleric, Paladin</x:t>
        </x:is>
      </x:c>
      <x:c r="E244" s="2" t="inlineStr">
        <x:is>
          <x:t xml:space="preserve">10 minutes</x:t>
        </x:is>
      </x:c>
      <x:c r="F244" s="2" t="inlineStr">
        <x:is>
          <x:t xml:space="preserve">30 feet</x:t>
        </x:is>
      </x:c>
      <x:c r="G244" s="2" t="inlineStr">
        <x:is>
          <x:t xml:space="preserve">V</x:t>
        </x:is>
      </x:c>
      <x:c r="H244" s="2" t="inlineStr">
        <x:is>
          <x:t xml:space="preserve">Instantaneous</x:t>
        </x:is>
      </x:c>
      <x:c r="I244" s="2" t="inlineStr">
        <x:is>
          <x:t xml:space="preserve">Up to five creatures of your choice who remain within range for the spell’s entire casting gain the benefits of a Short Rest and also regain 2d8 Hit Points. A creature can’t be affected by this spell again until that creature finishes a Long Rest. Using a Higher-Level Spell Slot. The healing increases by 1d8 for each spell slot level above 2.</x:t>
        </x:is>
      </x:c>
      <x:c r="J244" s="2" t="inlineStr">
        <x:is>
          <x:t xml:space="preserve">SRD 5.2.1</x:t>
        </x:is>
      </x:c>
      <x:c r="K244" s="2" t="inlineStr">
        <x:is>
          <x:t xml:space="preserve">pp. 107-175</x:t>
        </x:is>
      </x:c>
    </x:row>
    <x:row r="245" ht="18" customHeight="1">
      <x:c r="A245" s="2" t="inlineStr">
        <x:is>
          <x:t xml:space="preserve">Prestidigitation</x:t>
        </x:is>
      </x:c>
      <x:c r="B245" s="2" t="inlineStr">
        <x:is>
          <x:t xml:space="preserve">Cantrip</x:t>
        </x:is>
      </x:c>
      <x:c r="C245" s="2" t="inlineStr">
        <x:is>
          <x:t xml:space="preserve">Transmutation</x:t>
        </x:is>
      </x:c>
      <x:c r="D245" s="2" t="inlineStr">
        <x:is>
          <x:t xml:space="preserve"/>
        </x:is>
      </x:c>
      <x:c r="E245" s="2" t="inlineStr">
        <x:is>
          <x:t xml:space="preserve">Action</x:t>
        </x:is>
      </x:c>
      <x:c r="F245" s="2" t="inlineStr">
        <x:is>
          <x:t xml:space="preserve">10 feet</x:t>
        </x:is>
      </x:c>
      <x:c r="G245" s="2" t="inlineStr">
        <x:is>
          <x:t xml:space="preserve">V, S</x:t>
        </x:is>
      </x:c>
      <x:c r="H245" s="2" t="inlineStr">
        <x:is>
          <x:t xml:space="preserve">Up to 1 hour</x:t>
        </x:is>
      </x:c>
      <x:c r="I245" s="2" t="inlineStr">
        <x:is>
          <x:t xml:space="preserve">You create a magical effect within range. Choose the effect from the options below. If you cast this spell multiple times, you can have up to three of its non-instantaneous effects active at a time. Sensory Effect. You create an instantaneous, harmless sensory effect, such as a shower of sparks, a puff of wind, faint musical notes, or an odd odor. Fire Play. You instantaneously light or snuff out a candle, a torch, or a small campfire. Clean or Soil. You instantaneously clean or soil an object no larger than 1 cubic foot. Minor Sensation. You chill, warm, or flavor up to 1 cubic foot of nonliving material for 1 hour. Magic Mark. You make a color, a small mark, or a symbol appear on an object or a surface for 1 hour. Minor Creation. You create a nonmagical trinket or an illusory image that can fit in your hand. It lasts until the end of your next turn. A trinket can deal no damage and has no monetary worth.</x:t>
        </x:is>
      </x:c>
      <x:c r="J245" s="2" t="inlineStr">
        <x:is>
          <x:t xml:space="preserve">SRD 5.2.1</x:t>
        </x:is>
      </x:c>
      <x:c r="K245" s="2" t="inlineStr">
        <x:is>
          <x:t xml:space="preserve">pp. 107-175</x:t>
        </x:is>
      </x:c>
    </x:row>
    <x:row r="246" ht="18" customHeight="1">
      <x:c r="A246" s="2" t="inlineStr">
        <x:is>
          <x:t xml:space="preserve">Prismatic Spray</x:t>
        </x:is>
      </x:c>
      <x:c r="B246" s="2" t="inlineStr">
        <x:is>
          <x:t xml:space="preserve">7</x:t>
        </x:is>
      </x:c>
      <x:c r="C246" s="2" t="inlineStr">
        <x:is>
          <x:t xml:space="preserve">Evocation</x:t>
        </x:is>
      </x:c>
      <x:c r="D246" s="2" t="inlineStr">
        <x:is>
          <x:t xml:space="preserve">Bard, Sorcerer, Wizard</x:t>
        </x:is>
      </x:c>
      <x:c r="E246" s="2" t="inlineStr">
        <x:is>
          <x:t xml:space="preserve">Action</x:t>
        </x:is>
      </x:c>
      <x:c r="F246" s="2" t="inlineStr">
        <x:is>
          <x:t xml:space="preserve">Self</x:t>
        </x:is>
      </x:c>
      <x:c r="G246" s="2" t="inlineStr">
        <x:is>
          <x:t xml:space="preserve">V, S</x:t>
        </x:is>
      </x:c>
      <x:c r="H246" s="2" t="inlineStr">
        <x:is>
          <x:t xml:space="preserve">Instantaneous</x:t>
        </x:is>
      </x:c>
      <x:c r="I246" s="2" t="inlineStr">
        <x:is>
          <x:t xml:space="preserve">Eight rays of light flash from you in a 60-foot Cone. Each creature in the Cone makes a Dexterity saving throw. For each target, roll 1d8 to determine which color ray affects it, consulting the Prismatic Rays table. Prismatic Rays 1d8 Ray 1 Red. Failed Save: 12d6 Fire damage. Successful Save: Half as much damage. 2 Orange. Failed Save: 12d6 Acid damage. Successful Save: Half as much damage. 3 Yellow. Failed Save: 12d6 Lightning damage. Successful Save: Half as much damage. 4 Green. Failed Save: 12d6 Poison damage. Successful Save: Half as much damage. 1d8 Ray 5 Blue. Failed Save: 12d6 Cold damage. Successful Save: Half as much damage. 6 Indigo. Failed Save: The target has the Restrained condition and makes a Constitution saving throw at the end of each of its turns. If it successfully saves three times, the condition ends. If it fails three times, it has the Petrified condition until it is freed by an effect like the Greater Restoration spell. The successes and failures needn’t be consecutive; keep track of both until the target collects three of a kind. 7 Violet. Failed Save: The target has the Blinded condition and makes a Wisdom saving throw at the start of your next turn. On a successful save, the condition ends. On a failed save, the condition ends, and the creature teleports to another plane of existence (GM’s choice). 8 Special. The target is struck by two rays. Roll twice, rerolling any 8.</x:t>
        </x:is>
      </x:c>
      <x:c r="J246" s="2" t="inlineStr">
        <x:is>
          <x:t xml:space="preserve">SRD 5.2.1</x:t>
        </x:is>
      </x:c>
      <x:c r="K246" s="2" t="inlineStr">
        <x:is>
          <x:t xml:space="preserve">pp. 107-175</x:t>
        </x:is>
      </x:c>
    </x:row>
    <x:row r="247" ht="18" customHeight="1">
      <x:c r="A247" s="2" t="inlineStr">
        <x:is>
          <x:t xml:space="preserve">Prismatic Wall</x:t>
        </x:is>
      </x:c>
      <x:c r="B247" s="2" t="inlineStr">
        <x:is>
          <x:t xml:space="preserve">9</x:t>
        </x:is>
      </x:c>
      <x:c r="C247" s="2" t="inlineStr">
        <x:is>
          <x:t xml:space="preserve">Abjuration</x:t>
        </x:is>
      </x:c>
      <x:c r="D247" s="2" t="inlineStr">
        <x:is>
          <x:t xml:space="preserve">Bard, Wizard</x:t>
        </x:is>
      </x:c>
      <x:c r="E247" s="2" t="inlineStr">
        <x:is>
          <x:t xml:space="preserve">Action</x:t>
        </x:is>
      </x:c>
      <x:c r="F247" s="2" t="inlineStr">
        <x:is>
          <x:t xml:space="preserve">60 feet</x:t>
        </x:is>
      </x:c>
      <x:c r="G247" s="2" t="inlineStr">
        <x:is>
          <x:t xml:space="preserve">V, S</x:t>
        </x:is>
      </x:c>
      <x:c r="H247" s="2" t="inlineStr">
        <x:is>
          <x:t xml:space="preserve">10 minutes</x:t>
        </x:is>
      </x:c>
      <x:c r="I247" s="2" t="inlineStr">
        <x:is>
          <x:t xml:space="preserve">A shimmering, multicolored plane of light forms a vertical opaque wall—up to 90 feet long, 30 feet high, and 1 inch thick—centered on a point within range. Alternatively, you shape the wall into a globe up to 30 feet in diameter centered on a point within range. The wall lasts for the duration. If you position the wall in a space occupied by a creature, the spell ends instantly without effect. The wall sheds Bright Light within 100 feet and Dim Light for an additional 100 feet. You and creatures you designate when you cast the spell can pass through and be near the wall without harm. If another creature that can see the wall moves within 20 feet of it or starts its turn there, the creature must succeed on a Constitution saving throw or have the Blinded condition for 1 minute. The wall consists of seven layers, each with a different color. When a creature reaches into or passes through the wall, it does so one layer at a time through all the layers. Each layer forces the creature to make a Dexterity saving throw or be affected by that layer’s properties as described in the Prismatic Layers table. The wall, which has AC 10, can be destroyed one layer at a time, in order from red to violet, by means specific to each layer. If a layer is destroyed, it is gone for the duration. Antimagic Field has no effect on the wall, and Dispel Magic can affect only the violet layer. Prismatic Layers Order Effects 1 Red. Failed Save: 12d6 Fire damage. Successful Save: Half as much damage. Additional Effects: Nonmagical ranged attacks can’t pass through this layer, which is destroyed if it takes at least 25 Cold damage. 2 Orange. Failed Save: 12d6 Acid damage. Successful Save: Half as much damage. Additional Effects: Magical ranged attacks can’t pass through this layer, which is destroyed by a strong wind (such as the one created by Gust of Wind). 3 Yellow. Failed Save: 12d6 Lightning damage. Successful Save: Half as much damage. Additional Effects: The layer is destroyed if it takes at least 60 Force damage. 4 Green. Failed Save: 12d6 Poison damage. Successful Save: Half as much damage. Additional Effects: A Passwall spell, or another spell of equal or greater level that can open a portal on a solid surface, destroys this layer. 5 Blue. Failed Save: 12d6 Cold damage. Successful Save: Half as much damage. Additional Effects: The layer is destroyed if it takes at least 25 Fire damage. 6 Indigo. Failed Save: The target has the Restrained condition and makes a Constitution savin</x:t>
        </x:is>
      </x:c>
      <x:c r="J247" s="2" t="inlineStr">
        <x:is>
          <x:t xml:space="preserve">SRD 5.2.1</x:t>
        </x:is>
      </x:c>
      <x:c r="K247" s="2" t="inlineStr">
        <x:is>
          <x:t xml:space="preserve">pp. 107-175</x:t>
        </x:is>
      </x:c>
    </x:row>
    <x:row r="248" ht="18" customHeight="1">
      <x:c r="A248" s="2" t="inlineStr">
        <x:is>
          <x:t xml:space="preserve">Private Sanctum</x:t>
        </x:is>
      </x:c>
      <x:c r="B248" s="2" t="inlineStr">
        <x:is>
          <x:t xml:space="preserve">4</x:t>
        </x:is>
      </x:c>
      <x:c r="C248" s="2" t="inlineStr">
        <x:is>
          <x:t xml:space="preserve">Abjuration</x:t>
        </x:is>
      </x:c>
      <x:c r="D248" s="2" t="inlineStr">
        <x:is>
          <x:t xml:space="preserve">Wizard</x:t>
        </x:is>
      </x:c>
      <x:c r="E248" s="2" t="inlineStr">
        <x:is>
          <x:t xml:space="preserve">10 minutes</x:t>
        </x:is>
      </x:c>
      <x:c r="F248" s="2" t="inlineStr">
        <x:is>
          <x:t xml:space="preserve">120 feet</x:t>
        </x:is>
      </x:c>
      <x:c r="G248" s="2" t="inlineStr">
        <x:is>
          <x:t xml:space="preserve">V, S, M (a thin sheet of lead)</x:t>
        </x:is>
      </x:c>
      <x:c r="H248" s="2" t="inlineStr">
        <x:is>
          <x:t xml:space="preserve">24 hours</x:t>
        </x:is>
      </x:c>
      <x:c r="I248" s="2" t="inlineStr">
        <x:is>
          <x:t xml:space="preserve">You make an area within range magically secure. The area is a Cube that can be as small as 5 feet to as large as 100 feet on each side. The spell lasts for the duration. When you cast the spell, you decide what sort of security the spell provides, choosing any of the following properties: • Sound can’t pass through the barrier at the edge of the warded area. • The barrier of the warded area appears dark and foggy, preventing vision (including Darkvision) through it. • Sensors created by Divination spells can’t appear inside the protected area or pass through the barrier at its perimeter. • Creatures in the area can’t be targeted by Divination spells. • Nothing can teleport into or out of the warded area. • Planar travel is blocked within the warded area. Casting this spell on the same spot every day for 365 days makes the spell last until dispelled. Using a Higher-Level Spell Slot. You can increase the size of the Cube by 100 feet for each spell slot level above 4.</x:t>
        </x:is>
      </x:c>
      <x:c r="J248" s="2" t="inlineStr">
        <x:is>
          <x:t xml:space="preserve">SRD 5.2.1</x:t>
        </x:is>
      </x:c>
      <x:c r="K248" s="2" t="inlineStr">
        <x:is>
          <x:t xml:space="preserve">pp. 107-175</x:t>
        </x:is>
      </x:c>
    </x:row>
    <x:row r="249" ht="18" customHeight="1">
      <x:c r="A249" s="2" t="inlineStr">
        <x:is>
          <x:t xml:space="preserve">Produce Flame</x:t>
        </x:is>
      </x:c>
      <x:c r="B249" s="2" t="inlineStr">
        <x:is>
          <x:t xml:space="preserve">Cantrip</x:t>
        </x:is>
      </x:c>
      <x:c r="C249" s="2" t="inlineStr">
        <x:is>
          <x:t xml:space="preserve">Conjuration</x:t>
        </x:is>
      </x:c>
      <x:c r="D249" s="2" t="inlineStr">
        <x:is>
          <x:t xml:space="preserve">Druid</x:t>
        </x:is>
      </x:c>
      <x:c r="E249" s="2" t="inlineStr">
        <x:is>
          <x:t xml:space="preserve">Bonus Action</x:t>
        </x:is>
      </x:c>
      <x:c r="F249" s="2" t="inlineStr">
        <x:is>
          <x:t xml:space="preserve">Self</x:t>
        </x:is>
      </x:c>
      <x:c r="G249" s="2" t="inlineStr">
        <x:is>
          <x:t xml:space="preserve">V, S</x:t>
        </x:is>
      </x:c>
      <x:c r="H249" s="2" t="inlineStr">
        <x:is>
          <x:t xml:space="preserve">10 minutes</x:t>
        </x:is>
      </x:c>
      <x:c r="I249" s="2" t="inlineStr">
        <x:is>
          <x:t xml:space="preserve">A flickering flame appears in your hand and remains there for the duration. While there, the flame emits no heat and ignites nothing, and it sheds Bright Light in a 20-foot radius and Dim Light for an additional 20 feet. The spell ends if you cast it again. Until the spell ends, you can take a Magic action to hurl fire at a creature or an object within 60 feet of you. Make a ranged spell attack. On a hit, the target</x:t>
        </x:is>
      </x:c>
      <x:c r="J249" s="2" t="inlineStr">
        <x:is>
          <x:t xml:space="preserve">SRD 5.2.1</x:t>
        </x:is>
      </x:c>
      <x:c r="K249" s="2" t="inlineStr">
        <x:is>
          <x:t xml:space="preserve">pp. 107-175</x:t>
        </x:is>
      </x:c>
    </x:row>
    <x:row r="250" ht="18" customHeight="1">
      <x:c r="A250" s="2" t="inlineStr">
        <x:is>
          <x:t xml:space="preserve">takes 1d8 Fire damage.</x:t>
        </x:is>
      </x:c>
      <x:c r="B250" s="2" t="inlineStr">
        <x:is>
          <x:t xml:space="preserve">Cantrip</x:t>
        </x:is>
      </x:c>
      <x:c r="C250" s="2" t="inlineStr">
        <x:is>
          <x:t xml:space="preserve"/>
        </x:is>
      </x:c>
      <x:c r="D250" s="2" t="inlineStr">
        <x:is>
          <x:t xml:space="preserve"/>
        </x:is>
      </x:c>
      <x:c r="E250" s="2" t="inlineStr">
        <x:is>
          <x:t xml:space="preserve"/>
        </x:is>
      </x:c>
      <x:c r="F250" s="2" t="inlineStr">
        <x:is>
          <x:t xml:space="preserve"/>
        </x:is>
      </x:c>
      <x:c r="G250" s="2" t="inlineStr">
        <x:is>
          <x:t xml:space="preserve"/>
        </x:is>
      </x:c>
      <x:c r="H250" s="2" t="inlineStr">
        <x:is>
          <x:t xml:space="preserve"/>
        </x:is>
      </x:c>
      <x:c r="I250" s="2" t="inlineStr">
        <x:is>
          <x:t xml:space="preserve">takes 1d8 Fire damage. Cantrip Upgrade. The damage increases by 1d8 when you reach levels 5 (2d8), 11 (3d8), and 17 (4d8).</x:t>
        </x:is>
      </x:c>
      <x:c r="J250" s="2" t="inlineStr">
        <x:is>
          <x:t xml:space="preserve">SRD 5.2.1</x:t>
        </x:is>
      </x:c>
      <x:c r="K250" s="2" t="inlineStr">
        <x:is>
          <x:t xml:space="preserve">pp. 107-175</x:t>
        </x:is>
      </x:c>
    </x:row>
    <x:row r="251" ht="18" customHeight="1">
      <x:c r="A251" s="2" t="inlineStr">
        <x:is>
          <x:t xml:space="preserve">Programmed Illusion</x:t>
        </x:is>
      </x:c>
      <x:c r="B251" s="2" t="inlineStr">
        <x:is>
          <x:t xml:space="preserve">6</x:t>
        </x:is>
      </x:c>
      <x:c r="C251" s="2" t="inlineStr">
        <x:is>
          <x:t xml:space="preserve">Illusion</x:t>
        </x:is>
      </x:c>
      <x:c r="D251" s="2" t="inlineStr">
        <x:is>
          <x:t xml:space="preserve">Bard, Wizard</x:t>
        </x:is>
      </x:c>
      <x:c r="E251" s="2" t="inlineStr">
        <x:is>
          <x:t xml:space="preserve">Action</x:t>
        </x:is>
      </x:c>
      <x:c r="F251" s="2" t="inlineStr">
        <x:is>
          <x:t xml:space="preserve">120 feet</x:t>
        </x:is>
      </x:c>
      <x:c r="G251" s="2" t="inlineStr">
        <x:is>
          <x:t xml:space="preserve">V, S, M (jade dust worth 25+ GP)</x:t>
        </x:is>
      </x:c>
      <x:c r="H251" s="2" t="inlineStr">
        <x:is>
          <x:t xml:space="preserve">Until dispelled</x:t>
        </x:is>
      </x:c>
      <x:c r="I251" s="2" t="inlineStr">
        <x:is>
          <x:t xml:space="preserve">You create an illusion of an object, a creature, or some other visible phenomenon within range that activates when a specific trigger occurs. The illusion is imperceptible until then. It must be no larger than a 30-foot Cube, and you decide when you cast the spell how the illusion behaves and what sounds it makes. This scripted performance can last up to 5 minutes. When the trigger you specify occurs, the illusion springs into existence and performs in the manner you described. Once the illusion finishes performing, it disappears and remains dormant for 10 minutes, after which the illusion can be activated again. The trigger can be as general or as detailed as you like, though it must be based on visual or audible phenomena that occur within 30 feet of the area. For example, you could create an illusion of yourself to appear and warn off others who attempt to open a trapped door. Physical interaction with the image reveals it to be illusory, since things can pass through it. A creature that takes the Study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x:t>
        </x:is>
      </x:c>
      <x:c r="J251" s="2" t="inlineStr">
        <x:is>
          <x:t xml:space="preserve">SRD 5.2.1</x:t>
        </x:is>
      </x:c>
      <x:c r="K251" s="2" t="inlineStr">
        <x:is>
          <x:t xml:space="preserve">pp. 107-175</x:t>
        </x:is>
      </x:c>
    </x:row>
    <x:row r="252" ht="18" customHeight="1">
      <x:c r="A252" s="2" t="inlineStr">
        <x:is>
          <x:t xml:space="preserve">Project Image</x:t>
        </x:is>
      </x:c>
      <x:c r="B252" s="2" t="inlineStr">
        <x:is>
          <x:t xml:space="preserve">7</x:t>
        </x:is>
      </x:c>
      <x:c r="C252" s="2" t="inlineStr">
        <x:is>
          <x:t xml:space="preserve">Illusion</x:t>
        </x:is>
      </x:c>
      <x:c r="D252" s="2" t="inlineStr">
        <x:is>
          <x:t xml:space="preserve">Bard, Wizard</x:t>
        </x:is>
      </x:c>
      <x:c r="E252" s="2" t="inlineStr">
        <x:is>
          <x:t xml:space="preserve">Action</x:t>
        </x:is>
      </x:c>
      <x:c r="F252" s="2" t="inlineStr">
        <x:is>
          <x:t xml:space="preserve">500 miles</x:t>
        </x:is>
      </x:c>
      <x:c r="G252" s="2" t="inlineStr">
        <x:is>
          <x:t xml:space="preserve">V, S, M (a statuette of yourself worth</x:t>
        </x:is>
      </x:c>
      <x:c r="H252" s="2" t="inlineStr">
        <x:is>
          <x:t xml:space="preserve">Concentration, up to 1 day</x:t>
        </x:is>
      </x:c>
      <x:c r="I252" s="2" t="inlineStr">
        <x:is>
          <x:t xml:space="preserve">You create an illusory copy of yourself that lasts for the duration. The copy can appear at any location within range that you have seen before, regardless of intervening obstacles. The illusion looks and sounds like you, but it is intangible. If the illusion takes any damage, it disappears, and the spell ends. You can see through the illusion’s eyes and hear through its ears as if you were in its space. As a Magic action, you can move it up to 60 feet and make it gesture, speak, and behave in whatever way you choose. It mimics your mannerisms perfectly. Physical interaction with the image reveals it to be illusory, since things can pass through it. A creature that takes the Study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x:t>
        </x:is>
      </x:c>
      <x:c r="J252" s="2" t="inlineStr">
        <x:is>
          <x:t xml:space="preserve">SRD 5.2.1</x:t>
        </x:is>
      </x:c>
      <x:c r="K252" s="2" t="inlineStr">
        <x:is>
          <x:t xml:space="preserve">pp. 107-175</x:t>
        </x:is>
      </x:c>
    </x:row>
    <x:row r="253" ht="18" customHeight="1">
      <x:c r="A253" s="2" t="inlineStr">
        <x:is>
          <x:t xml:space="preserve">Protection from Energy</x:t>
        </x:is>
      </x:c>
      <x:c r="B253" s="2" t="inlineStr">
        <x:is>
          <x:t xml:space="preserve">3</x:t>
        </x:is>
      </x:c>
      <x:c r="C253" s="2" t="inlineStr">
        <x:is>
          <x:t xml:space="preserve">Abjuration</x:t>
        </x:is>
      </x:c>
      <x:c r="D253" s="2" t="inlineStr">
        <x:is>
          <x:t xml:space="preserve"/>
        </x:is>
      </x:c>
      <x:c r="E253" s="2" t="inlineStr">
        <x:is>
          <x:t xml:space="preserve">Action</x:t>
        </x:is>
      </x:c>
      <x:c r="F253" s="2" t="inlineStr">
        <x:is>
          <x:t xml:space="preserve">Touch</x:t>
        </x:is>
      </x:c>
      <x:c r="G253" s="2" t="inlineStr">
        <x:is>
          <x:t xml:space="preserve">V, S</x:t>
        </x:is>
      </x:c>
      <x:c r="H253" s="2" t="inlineStr">
        <x:is>
          <x:t xml:space="preserve">Concentration, up to 1 hour</x:t>
        </x:is>
      </x:c>
      <x:c r="I253" s="2" t="inlineStr">
        <x:is>
          <x:t xml:space="preserve">For the duration, the willing creature you touch has Resistance to one damage type of your choice: Acid, Cold, Fire, Lightning, or Thunder.</x:t>
        </x:is>
      </x:c>
      <x:c r="J253" s="2" t="inlineStr">
        <x:is>
          <x:t xml:space="preserve">SRD 5.2.1</x:t>
        </x:is>
      </x:c>
      <x:c r="K253" s="2" t="inlineStr">
        <x:is>
          <x:t xml:space="preserve">pp. 107-175</x:t>
        </x:is>
      </x:c>
    </x:row>
    <x:row r="254" ht="18" customHeight="1">
      <x:c r="A254" s="2" t="inlineStr">
        <x:is>
          <x:t xml:space="preserve">Protection from Evil and Good</x:t>
        </x:is>
      </x:c>
      <x:c r="B254" s="2" t="inlineStr">
        <x:is>
          <x:t xml:space="preserve">1</x:t>
        </x:is>
      </x:c>
      <x:c r="C254" s="2" t="inlineStr">
        <x:is>
          <x:t xml:space="preserve">Abjuration</x:t>
        </x:is>
      </x:c>
      <x:c r="D254" s="2" t="inlineStr">
        <x:is>
          <x:t xml:space="preserve"/>
        </x:is>
      </x:c>
      <x:c r="E254" s="2" t="inlineStr">
        <x:is>
          <x:t xml:space="preserve">Action</x:t>
        </x:is>
      </x:c>
      <x:c r="F254" s="2" t="inlineStr">
        <x:is>
          <x:t xml:space="preserve">Touch</x:t>
        </x:is>
      </x:c>
      <x:c r="G254" s="2" t="inlineStr">
        <x:is>
          <x:t xml:space="preserve">V, S, M (a flask of Holy Water worth 25+</x:t>
        </x:is>
      </x:c>
      <x:c r="H254" s="2" t="inlineStr">
        <x:is>
          <x:t xml:space="preserve">Concentration up to 10 minutes</x:t>
        </x:is>
      </x:c>
      <x:c r="I254" s="2" t="inlineStr">
        <x:is>
          <x:t xml:space="preserve">Until the spell ends, one willing creature you touch is protected against creatures that are Aberrations, Celestials, Elementals, Fey, Fiends, or Undead. The protection grants several benefits. Creatures of those types have Disadvantage on attack rolls against the target. The target also can’t be possessed by or gain the Charmed or Frightened conditions from them. If the target is already possessed, Charmed, or Frightened by such a creature, the target has Advantage on any new saving throw against the relevant effect.</x:t>
        </x:is>
      </x:c>
      <x:c r="J254" s="2" t="inlineStr">
        <x:is>
          <x:t xml:space="preserve">SRD 5.2.1</x:t>
        </x:is>
      </x:c>
      <x:c r="K254" s="2" t="inlineStr">
        <x:is>
          <x:t xml:space="preserve">pp. 107-175</x:t>
        </x:is>
      </x:c>
    </x:row>
    <x:row r="255" ht="18" customHeight="1">
      <x:c r="A255" s="2" t="inlineStr">
        <x:is>
          <x:t xml:space="preserve">Protection from Poison</x:t>
        </x:is>
      </x:c>
      <x:c r="B255" s="2" t="inlineStr">
        <x:is>
          <x:t xml:space="preserve">2</x:t>
        </x:is>
      </x:c>
      <x:c r="C255" s="2" t="inlineStr">
        <x:is>
          <x:t xml:space="preserve">Abjuration</x:t>
        </x:is>
      </x:c>
      <x:c r="D255" s="2" t="inlineStr">
        <x:is>
          <x:t xml:space="preserve">Cleric, Druid, Paladin, Ranger</x:t>
        </x:is>
      </x:c>
      <x:c r="E255" s="2" t="inlineStr">
        <x:is>
          <x:t xml:space="preserve">Action</x:t>
        </x:is>
      </x:c>
      <x:c r="F255" s="2" t="inlineStr">
        <x:is>
          <x:t xml:space="preserve">Touch</x:t>
        </x:is>
      </x:c>
      <x:c r="G255" s="2" t="inlineStr">
        <x:is>
          <x:t xml:space="preserve">V, S</x:t>
        </x:is>
      </x:c>
      <x:c r="H255" s="2" t="inlineStr">
        <x:is>
          <x:t xml:space="preserve">1 hour</x:t>
        </x:is>
      </x:c>
      <x:c r="I255" s="2" t="inlineStr">
        <x:is>
          <x:t xml:space="preserve">You touch a creature and end the Poisoned condition on it. For the duration, the target has Advantage on saving throws to avoid or end the Poisoned condition, and it has Resistance to Poison damage.</x:t>
        </x:is>
      </x:c>
      <x:c r="J255" s="2" t="inlineStr">
        <x:is>
          <x:t xml:space="preserve">SRD 5.2.1</x:t>
        </x:is>
      </x:c>
      <x:c r="K255" s="2" t="inlineStr">
        <x:is>
          <x:t xml:space="preserve">pp. 107-175</x:t>
        </x:is>
      </x:c>
    </x:row>
    <x:row r="256" ht="18" customHeight="1">
      <x:c r="A256" s="2" t="inlineStr">
        <x:is>
          <x:t xml:space="preserve">Purify Food and Drink</x:t>
        </x:is>
      </x:c>
      <x:c r="B256" s="2" t="inlineStr">
        <x:is>
          <x:t xml:space="preserve">1</x:t>
        </x:is>
      </x:c>
      <x:c r="C256" s="2" t="inlineStr">
        <x:is>
          <x:t xml:space="preserve">Transmutation</x:t>
        </x:is>
      </x:c>
      <x:c r="D256" s="2" t="inlineStr">
        <x:is>
          <x:t xml:space="preserve">Cleric, Druid, Paladin</x:t>
        </x:is>
      </x:c>
      <x:c r="E256" s="2" t="inlineStr">
        <x:is>
          <x:t xml:space="preserve">Action or Ritual</x:t>
        </x:is>
      </x:c>
      <x:c r="F256" s="2" t="inlineStr">
        <x:is>
          <x:t xml:space="preserve">10 feet</x:t>
        </x:is>
      </x:c>
      <x:c r="G256" s="2" t="inlineStr">
        <x:is>
          <x:t xml:space="preserve">V, S</x:t>
        </x:is>
      </x:c>
      <x:c r="H256" s="2" t="inlineStr">
        <x:is>
          <x:t xml:space="preserve">Instantaneous</x:t>
        </x:is>
      </x:c>
      <x:c r="I256" s="2" t="inlineStr">
        <x:is>
          <x:t xml:space="preserve">You remove poison and rot from nonmagical food and drink in a 5-foot-radius Sphere centered on a point within range.</x:t>
        </x:is>
      </x:c>
      <x:c r="J256" s="2" t="inlineStr">
        <x:is>
          <x:t xml:space="preserve">SRD 5.2.1</x:t>
        </x:is>
      </x:c>
      <x:c r="K256" s="2" t="inlineStr">
        <x:is>
          <x:t xml:space="preserve">pp. 107-175</x:t>
        </x:is>
      </x:c>
    </x:row>
    <x:row r="257" ht="18" customHeight="1">
      <x:c r="A257" s="2" t="inlineStr">
        <x:is>
          <x:t xml:space="preserve">Raise Dead</x:t>
        </x:is>
      </x:c>
      <x:c r="B257" s="2" t="inlineStr">
        <x:is>
          <x:t xml:space="preserve">5</x:t>
        </x:is>
      </x:c>
      <x:c r="C257" s="2" t="inlineStr">
        <x:is>
          <x:t xml:space="preserve">Necromancy</x:t>
        </x:is>
      </x:c>
      <x:c r="D257" s="2" t="inlineStr">
        <x:is>
          <x:t xml:space="preserve">Bard, Cleric, Paladin</x:t>
        </x:is>
      </x:c>
      <x:c r="E257" s="2" t="inlineStr">
        <x:is>
          <x:t xml:space="preserve">1 hour</x:t>
        </x:is>
      </x:c>
      <x:c r="F257" s="2" t="inlineStr">
        <x:is>
          <x:t xml:space="preserve">Touch</x:t>
        </x:is>
      </x:c>
      <x:c r="G257" s="2" t="inlineStr">
        <x:is>
          <x:t xml:space="preserve">V, S, M (a diamond worth 500+ GP, which</x:t>
        </x:is>
      </x:c>
      <x:c r="H257" s="2" t="inlineStr">
        <x:is>
          <x:t xml:space="preserve">Instantaneous</x:t>
        </x:is>
      </x:c>
      <x:c r="I257" s="2" t="inlineStr">
        <x:is>
          <x:t xml:space="preserve">With a touch, you revive a dead creature if it has been dead no longer than 10 days and it wasn’t Undead when it died. The creature returns to life with 1 Hit Point. This spell also neutralizes any poisons that affected the creature at the time of death. This spell closes all mortal wounds, but it doesn’t restore missing body parts. If the creature is lacking body parts or organs integral for its survival— its head, for instance—the spell automatically fails. Coming back from the dead is an ordeal. The target takes a −4 penalty to D20 Tests. Every time the target finishes a Long Rest, the penalty is reduced by 1 until it becomes 0.</x:t>
        </x:is>
      </x:c>
      <x:c r="J257" s="2" t="inlineStr">
        <x:is>
          <x:t xml:space="preserve">SRD 5.2.1</x:t>
        </x:is>
      </x:c>
      <x:c r="K257" s="2" t="inlineStr">
        <x:is>
          <x:t xml:space="preserve">pp. 107-175</x:t>
        </x:is>
      </x:c>
    </x:row>
    <x:row r="258" ht="18" customHeight="1">
      <x:c r="A258" s="2" t="inlineStr">
        <x:is>
          <x:t xml:space="preserve">Ray of Enfeeblement</x:t>
        </x:is>
      </x:c>
      <x:c r="B258" s="2" t="inlineStr">
        <x:is>
          <x:t xml:space="preserve">2</x:t>
        </x:is>
      </x:c>
      <x:c r="C258" s="2" t="inlineStr">
        <x:is>
          <x:t xml:space="preserve">Necromancy</x:t>
        </x:is>
      </x:c>
      <x:c r="D258" s="2" t="inlineStr">
        <x:is>
          <x:t xml:space="preserve">Warlock, Wizard</x:t>
        </x:is>
      </x:c>
      <x:c r="E258" s="2" t="inlineStr">
        <x:is>
          <x:t xml:space="preserve">Action</x:t>
        </x:is>
      </x:c>
      <x:c r="F258" s="2" t="inlineStr">
        <x:is>
          <x:t xml:space="preserve">60 feet</x:t>
        </x:is>
      </x:c>
      <x:c r="G258" s="2" t="inlineStr">
        <x:is>
          <x:t xml:space="preserve">V, S</x:t>
        </x:is>
      </x:c>
      <x:c r="H258" s="2" t="inlineStr">
        <x:is>
          <x:t xml:space="preserve">Concentration, up to 1 minute</x:t>
        </x:is>
      </x:c>
      <x:c r="I258" s="2" t="inlineStr">
        <x:is>
          <x:t xml:space="preserve">A beam of enervating energy shoots from you toward a creature within range. The target must make a Constitution saving throw. On a successful save, the target has Disadvantage on the next attack roll it makes until the start of your next turn. On a failed save, the target has Disadvantage on Strength-based D20 Tests for the duration. During that time, it also subtracts 1d8 from all its damage rolls. The target repeats the save at the end of each of its turns, ending the spell on a success.</x:t>
        </x:is>
      </x:c>
      <x:c r="J258" s="2" t="inlineStr">
        <x:is>
          <x:t xml:space="preserve">SRD 5.2.1</x:t>
        </x:is>
      </x:c>
      <x:c r="K258" s="2" t="inlineStr">
        <x:is>
          <x:t xml:space="preserve">pp. 107-175</x:t>
        </x:is>
      </x:c>
    </x:row>
    <x:row r="259" ht="18" customHeight="1">
      <x:c r="A259" s="2" t="inlineStr">
        <x:is>
          <x:t xml:space="preserve">Ray of Frost</x:t>
        </x:is>
      </x:c>
      <x:c r="B259" s="2" t="inlineStr">
        <x:is>
          <x:t xml:space="preserve">Cantrip</x:t>
        </x:is>
      </x:c>
      <x:c r="C259" s="2" t="inlineStr">
        <x:is>
          <x:t xml:space="preserve">Evocation</x:t>
        </x:is>
      </x:c>
      <x:c r="D259" s="2" t="inlineStr">
        <x:is>
          <x:t xml:space="preserve">Sorcerer, Wizard</x:t>
        </x:is>
      </x:c>
      <x:c r="E259" s="2" t="inlineStr">
        <x:is>
          <x:t xml:space="preserve">Action</x:t>
        </x:is>
      </x:c>
      <x:c r="F259" s="2" t="inlineStr">
        <x:is>
          <x:t xml:space="preserve">60 feet</x:t>
        </x:is>
      </x:c>
      <x:c r="G259" s="2" t="inlineStr">
        <x:is>
          <x:t xml:space="preserve">V, S</x:t>
        </x:is>
      </x:c>
      <x:c r="H259" s="2" t="inlineStr">
        <x:is>
          <x:t xml:space="preserve">Instantaneous</x:t>
        </x:is>
      </x:c>
      <x:c r="I259" s="2" t="inlineStr">
        <x:is>
          <x:t xml:space="preserve">A frigid beam of blue-white light streaks toward a creature within range. Make a ranged spell attack against the target. On a hit, it takes 1d8 Cold damage, and its Speed is reduced by 10 feet until the</x:t>
        </x:is>
      </x:c>
      <x:c r="J259" s="2" t="inlineStr">
        <x:is>
          <x:t xml:space="preserve">SRD 5.2.1</x:t>
        </x:is>
      </x:c>
      <x:c r="K259" s="2" t="inlineStr">
        <x:is>
          <x:t xml:space="preserve">pp. 107-175</x:t>
        </x:is>
      </x:c>
    </x:row>
    <x:row r="260" ht="18" customHeight="1">
      <x:c r="A260" s="2" t="inlineStr">
        <x:is>
          <x:t xml:space="preserve">start of your next turn.</x:t>
        </x:is>
      </x:c>
      <x:c r="B260" s="2" t="inlineStr">
        <x:is>
          <x:t xml:space="preserve">Cantrip</x:t>
        </x:is>
      </x:c>
      <x:c r="C260" s="2" t="inlineStr">
        <x:is>
          <x:t xml:space="preserve"/>
        </x:is>
      </x:c>
      <x:c r="D260" s="2" t="inlineStr">
        <x:is>
          <x:t xml:space="preserve"/>
        </x:is>
      </x:c>
      <x:c r="E260" s="2" t="inlineStr">
        <x:is>
          <x:t xml:space="preserve"/>
        </x:is>
      </x:c>
      <x:c r="F260" s="2" t="inlineStr">
        <x:is>
          <x:t xml:space="preserve"/>
        </x:is>
      </x:c>
      <x:c r="G260" s="2" t="inlineStr">
        <x:is>
          <x:t xml:space="preserve"/>
        </x:is>
      </x:c>
      <x:c r="H260" s="2" t="inlineStr">
        <x:is>
          <x:t xml:space="preserve"/>
        </x:is>
      </x:c>
      <x:c r="I260" s="2" t="inlineStr">
        <x:is>
          <x:t xml:space="preserve">start of your next turn. Cantrip Upgrade. The damage increases by 1d8 when you reach levels 5 (2d8), 11 (3d8), and 17 (4d8).</x:t>
        </x:is>
      </x:c>
      <x:c r="J260" s="2" t="inlineStr">
        <x:is>
          <x:t xml:space="preserve">SRD 5.2.1</x:t>
        </x:is>
      </x:c>
      <x:c r="K260" s="2" t="inlineStr">
        <x:is>
          <x:t xml:space="preserve">pp. 107-175</x:t>
        </x:is>
      </x:c>
    </x:row>
    <x:row r="261" ht="18" customHeight="1">
      <x:c r="A261" s="2" t="inlineStr">
        <x:is>
          <x:t xml:space="preserve">Regenerate</x:t>
        </x:is>
      </x:c>
      <x:c r="B261" s="2" t="inlineStr">
        <x:is>
          <x:t xml:space="preserve">7</x:t>
        </x:is>
      </x:c>
      <x:c r="C261" s="2" t="inlineStr">
        <x:is>
          <x:t xml:space="preserve">Transmutation</x:t>
        </x:is>
      </x:c>
      <x:c r="D261" s="2" t="inlineStr">
        <x:is>
          <x:t xml:space="preserve">Bard, Cleric, Druid</x:t>
        </x:is>
      </x:c>
      <x:c r="E261" s="2" t="inlineStr">
        <x:is>
          <x:t xml:space="preserve">1 minute</x:t>
        </x:is>
      </x:c>
      <x:c r="F261" s="2" t="inlineStr">
        <x:is>
          <x:t xml:space="preserve">Touch</x:t>
        </x:is>
      </x:c>
      <x:c r="G261" s="2" t="inlineStr">
        <x:is>
          <x:t xml:space="preserve">V, S, M (a prayer wheel)</x:t>
        </x:is>
      </x:c>
      <x:c r="H261" s="2" t="inlineStr">
        <x:is>
          <x:t xml:space="preserve">1 hour</x:t>
        </x:is>
      </x:c>
      <x:c r="I261" s="2" t="inlineStr">
        <x:is>
          <x:t xml:space="preserve">A creature you touch regains 4d8 + 15 Hit Points. For the duration, the target regains 1 Hit Point at the start of each of its turns, and any severed body parts regrow after 2 minutes.</x:t>
        </x:is>
      </x:c>
      <x:c r="J261" s="2" t="inlineStr">
        <x:is>
          <x:t xml:space="preserve">SRD 5.2.1</x:t>
        </x:is>
      </x:c>
      <x:c r="K261" s="2" t="inlineStr">
        <x:is>
          <x:t xml:space="preserve">pp. 107-175</x:t>
        </x:is>
      </x:c>
    </x:row>
    <x:row r="262" ht="18" customHeight="1">
      <x:c r="A262" s="2" t="inlineStr">
        <x:is>
          <x:t xml:space="preserve">Ray of Sickness</x:t>
        </x:is>
      </x:c>
      <x:c r="B262" s="2" t="inlineStr">
        <x:is>
          <x:t xml:space="preserve">1</x:t>
        </x:is>
      </x:c>
      <x:c r="C262" s="2" t="inlineStr">
        <x:is>
          <x:t xml:space="preserve">Necromancy</x:t>
        </x:is>
      </x:c>
      <x:c r="D262" s="2" t="inlineStr">
        <x:is>
          <x:t xml:space="preserve">Sorcerer, Wizard</x:t>
        </x:is>
      </x:c>
      <x:c r="E262" s="2" t="inlineStr">
        <x:is>
          <x:t xml:space="preserve">Action</x:t>
        </x:is>
      </x:c>
      <x:c r="F262" s="2" t="inlineStr">
        <x:is>
          <x:t xml:space="preserve">60 feet</x:t>
        </x:is>
      </x:c>
      <x:c r="G262" s="2" t="inlineStr">
        <x:is>
          <x:t xml:space="preserve">V, S</x:t>
        </x:is>
      </x:c>
      <x:c r="H262" s="2" t="inlineStr">
        <x:is>
          <x:t xml:space="preserve">Instantaneous</x:t>
        </x:is>
      </x:c>
      <x:c r="I262" s="2" t="inlineStr">
        <x:is>
          <x:t xml:space="preserve">You shoot a greenish ray at a creature within range. Make a ranged spell attack against the target. On a hit, the target takes 2d8 Poison damage and has the Poisoned condition until the end of your next turn. Using a Higher-Level Spell Slot. The damage increases by 1d8 for each spell slot level above 1.</x:t>
        </x:is>
      </x:c>
      <x:c r="J262" s="2" t="inlineStr">
        <x:is>
          <x:t xml:space="preserve">SRD 5.2.1</x:t>
        </x:is>
      </x:c>
      <x:c r="K262" s="2" t="inlineStr">
        <x:is>
          <x:t xml:space="preserve">pp. 107-175</x:t>
        </x:is>
      </x:c>
    </x:row>
    <x:row r="263" ht="18" customHeight="1">
      <x:c r="A263" s="2" t="inlineStr">
        <x:is>
          <x:t xml:space="preserve">Reincarnate</x:t>
        </x:is>
      </x:c>
      <x:c r="B263" s="2" t="inlineStr">
        <x:is>
          <x:t xml:space="preserve">5</x:t>
        </x:is>
      </x:c>
      <x:c r="C263" s="2" t="inlineStr">
        <x:is>
          <x:t xml:space="preserve">Necromancy</x:t>
        </x:is>
      </x:c>
      <x:c r="D263" s="2" t="inlineStr">
        <x:is>
          <x:t xml:space="preserve">Druid</x:t>
        </x:is>
      </x:c>
      <x:c r="E263" s="2" t="inlineStr">
        <x:is>
          <x:t xml:space="preserve">1 hour</x:t>
        </x:is>
      </x:c>
      <x:c r="F263" s="2" t="inlineStr">
        <x:is>
          <x:t xml:space="preserve">Touch</x:t>
        </x:is>
      </x:c>
      <x:c r="G263" s="2" t="inlineStr">
        <x:is>
          <x:t xml:space="preserve">V, S, M (rare oils worth 1,000+ GP, which</x:t>
        </x:is>
      </x:c>
      <x:c r="H263" s="2" t="inlineStr">
        <x:is>
          <x:t xml:space="preserve">Instantaneous</x:t>
        </x:is>
      </x:c>
      <x:c r="I263" s="2" t="inlineStr">
        <x:is>
          <x:t xml:space="preserve">You touch a dead Humanoid or a piece of one. If the creature has been dead no longer than 10 days, the spell forms a new body for it and calls the soul to enter that body. Roll 1d10 and consult the table below to determine the body’s species, or the GM chooses another playable species. 1d10 Species 1d10 Species 1 Roll again. 6 Goliath 2 Dragonborn 7 Halfling 3 Dwarf 8 Human 4 Elf 9 Orc 5 Gnome 10 Tiefling The reincarnated creature makes any choices that a species’ description offers, and the creature recalls its former life. It retains the capabilities it had in its original form, except it loses the traits of its previous species and gains the traits of its new one.</x:t>
        </x:is>
      </x:c>
      <x:c r="J263" s="2" t="inlineStr">
        <x:is>
          <x:t xml:space="preserve">SRD 5.2.1</x:t>
        </x:is>
      </x:c>
      <x:c r="K263" s="2" t="inlineStr">
        <x:is>
          <x:t xml:space="preserve">pp. 107-175</x:t>
        </x:is>
      </x:c>
    </x:row>
    <x:row r="264" ht="18" customHeight="1">
      <x:c r="A264" s="2" t="inlineStr">
        <x:is>
          <x:t xml:space="preserve">Remove Curse</x:t>
        </x:is>
      </x:c>
      <x:c r="B264" s="2" t="inlineStr">
        <x:is>
          <x:t xml:space="preserve">3</x:t>
        </x:is>
      </x:c>
      <x:c r="C264" s="2" t="inlineStr">
        <x:is>
          <x:t xml:space="preserve">Abjuration</x:t>
        </x:is>
      </x:c>
      <x:c r="D264" s="2" t="inlineStr">
        <x:is>
          <x:t xml:space="preserve">Cleric, Paladin, Warlock, Wizard</x:t>
        </x:is>
      </x:c>
      <x:c r="E264" s="2" t="inlineStr">
        <x:is>
          <x:t xml:space="preserve">Action</x:t>
        </x:is>
      </x:c>
      <x:c r="F264" s="2" t="inlineStr">
        <x:is>
          <x:t xml:space="preserve">Touch</x:t>
        </x:is>
      </x:c>
      <x:c r="G264" s="2" t="inlineStr">
        <x:is>
          <x:t xml:space="preserve">V, S</x:t>
        </x:is>
      </x:c>
      <x:c r="H264" s="2" t="inlineStr">
        <x:is>
          <x:t xml:space="preserve">Instantaneous</x:t>
        </x:is>
      </x:c>
      <x:c r="I264" s="2" t="inlineStr">
        <x:is>
          <x:t xml:space="preserve">At your touch, all curses affecting one creature or object end. If the object is a cursed magic item, its curse remains, but the spell breaks its owner’s Attunement to the object so it can be removed or discarded.</x:t>
        </x:is>
      </x:c>
      <x:c r="J264" s="2" t="inlineStr">
        <x:is>
          <x:t xml:space="preserve">SRD 5.2.1</x:t>
        </x:is>
      </x:c>
      <x:c r="K264" s="2" t="inlineStr">
        <x:is>
          <x:t xml:space="preserve">pp. 107-175</x:t>
        </x:is>
      </x:c>
    </x:row>
    <x:row r="265" ht="18" customHeight="1">
      <x:c r="A265" s="2" t="inlineStr">
        <x:is>
          <x:t xml:space="preserve">Resilient Sphere</x:t>
        </x:is>
      </x:c>
      <x:c r="B265" s="2" t="inlineStr">
        <x:is>
          <x:t xml:space="preserve">4</x:t>
        </x:is>
      </x:c>
      <x:c r="C265" s="2" t="inlineStr">
        <x:is>
          <x:t xml:space="preserve">Abjuration</x:t>
        </x:is>
      </x:c>
      <x:c r="D265" s="2" t="inlineStr">
        <x:is>
          <x:t xml:space="preserve">Wizard</x:t>
        </x:is>
      </x:c>
      <x:c r="E265" s="2" t="inlineStr">
        <x:is>
          <x:t xml:space="preserve">Action</x:t>
        </x:is>
      </x:c>
      <x:c r="F265" s="2" t="inlineStr">
        <x:is>
          <x:t xml:space="preserve">30 feet</x:t>
        </x:is>
      </x:c>
      <x:c r="G265" s="2" t="inlineStr">
        <x:is>
          <x:t xml:space="preserve">V, S, M (a glass sphere)</x:t>
        </x:is>
      </x:c>
      <x:c r="H265" s="2" t="inlineStr">
        <x:is>
          <x:t xml:space="preserve">Concentration, up to 1 minute</x:t>
        </x:is>
      </x:c>
      <x:c r="I265" s="2" t="inlineStr">
        <x:is>
          <x:t xml:space="preserve">A shimmering sphere encloses a Large or smaller creature or object within range. An unwilling creature must succeed on a Dexterity saving throw or be enclosed for the duration. Nothing—not physical objects, energy, or other spell effects—can pass through the barrier, in or out, though a creature in the sphere can breathe there. The sphere is immune to all damage, and a creature or object inside can’t be damaged by attacks or effects originating from outside, nor can a creature inside the sphere damage anything outside it. The sphere is weightless and just large enough to contain the creature or object inside. An enclosed creature can take an action to push against the sphere’s walls and thus roll the sphere at up to half the creature’s Speed. Similarly, the globe can be picked up and moved by other creatures. A Disintegrate spell targeting the globe destroys it without harming anything inside.</x:t>
        </x:is>
      </x:c>
      <x:c r="J265" s="2" t="inlineStr">
        <x:is>
          <x:t xml:space="preserve">SRD 5.2.1</x:t>
        </x:is>
      </x:c>
      <x:c r="K265" s="2" t="inlineStr">
        <x:is>
          <x:t xml:space="preserve">pp. 107-175</x:t>
        </x:is>
      </x:c>
    </x:row>
    <x:row r="266" ht="18" customHeight="1">
      <x:c r="A266" s="2" t="inlineStr">
        <x:is>
          <x:t xml:space="preserve">Resistance</x:t>
        </x:is>
      </x:c>
      <x:c r="B266" s="2" t="inlineStr">
        <x:is>
          <x:t xml:space="preserve">Cantrip</x:t>
        </x:is>
      </x:c>
      <x:c r="C266" s="2" t="inlineStr">
        <x:is>
          <x:t xml:space="preserve">Abjuration</x:t>
        </x:is>
      </x:c>
      <x:c r="D266" s="2" t="inlineStr">
        <x:is>
          <x:t xml:space="preserve">Cleric, Druid</x:t>
        </x:is>
      </x:c>
      <x:c r="E266" s="2" t="inlineStr">
        <x:is>
          <x:t xml:space="preserve">Action</x:t>
        </x:is>
      </x:c>
      <x:c r="F266" s="2" t="inlineStr">
        <x:is>
          <x:t xml:space="preserve">Touch</x:t>
        </x:is>
      </x:c>
      <x:c r="G266" s="2" t="inlineStr">
        <x:is>
          <x:t xml:space="preserve"/>
        </x:is>
      </x:c>
      <x:c r="H266" s="2" t="inlineStr">
        <x:is>
          <x:t xml:space="preserve">Concentration, up to 1 minute</x:t>
        </x:is>
      </x:c>
      <x:c r="I266" s="2" t="inlineStr">
        <x:is>
          <x:t xml:space="preserve">You touch a willing creature and choose a damage type: Acid, Bludgeoning, Cold, Fire, Lightning, Necrotic, Piercing, Poison, Radiant, Slashing, or Thunder. When the creature takes damage of the chosen type before the spell ends, the creature reduces the total damage taken by 1d4. A creature can benefit from this spell only once per turn.</x:t>
        </x:is>
      </x:c>
      <x:c r="J266" s="2" t="inlineStr">
        <x:is>
          <x:t xml:space="preserve">SRD 5.2.1</x:t>
        </x:is>
      </x:c>
      <x:c r="K266" s="2" t="inlineStr">
        <x:is>
          <x:t xml:space="preserve">pp. 107-175</x:t>
        </x:is>
      </x:c>
    </x:row>
    <x:row r="267" ht="18" customHeight="1">
      <x:c r="A267" s="2" t="inlineStr">
        <x:is>
          <x:t xml:space="preserve">Resurrection</x:t>
        </x:is>
      </x:c>
      <x:c r="B267" s="2" t="inlineStr">
        <x:is>
          <x:t xml:space="preserve">7</x:t>
        </x:is>
      </x:c>
      <x:c r="C267" s="2" t="inlineStr">
        <x:is>
          <x:t xml:space="preserve">Necromancy</x:t>
        </x:is>
      </x:c>
      <x:c r="D267" s="2" t="inlineStr">
        <x:is>
          <x:t xml:space="preserve">Bard, Cleric</x:t>
        </x:is>
      </x:c>
      <x:c r="E267" s="2" t="inlineStr">
        <x:is>
          <x:t xml:space="preserve">1 hour</x:t>
        </x:is>
      </x:c>
      <x:c r="F267" s="2" t="inlineStr">
        <x:is>
          <x:t xml:space="preserve">Touch</x:t>
        </x:is>
      </x:c>
      <x:c r="G267" s="2" t="inlineStr">
        <x:is>
          <x:t xml:space="preserve">V, S, M (a diamond worth 1,000+ GP,</x:t>
        </x:is>
      </x:c>
      <x:c r="H267" s="2" t="inlineStr">
        <x:is>
          <x:t xml:space="preserve">Instantaneous</x:t>
        </x:is>
      </x:c>
      <x:c r="I267" s="2" t="inlineStr">
        <x:is>
          <x:t xml:space="preserve">With a touch, you revive a dead creature that has been dead for no more than a century, didn’t die of old age, and wasn’t Undead when it died. The creature returns to life with all its Hit Points. This spell also neutralizes any poisons that affected the creature at the time of death. This spell closes all mortal wounds and restores any missing body parts. Coming back from the dead is an ordeal. The target takes a −4 penalty to D20 Tests. Every time the target finishes a Long Rest, the penalty is reduced by 1 until it becomes 0. Casting this spell to revive a creature that has been dead for 365 days or longer taxes you. Until you finish a Long Rest, you can’t cast spells again, and you have Disadvantage on D20 Tests.</x:t>
        </x:is>
      </x:c>
      <x:c r="J267" s="2" t="inlineStr">
        <x:is>
          <x:t xml:space="preserve">SRD 5.2.1</x:t>
        </x:is>
      </x:c>
      <x:c r="K267" s="2" t="inlineStr">
        <x:is>
          <x:t xml:space="preserve">pp. 107-175</x:t>
        </x:is>
      </x:c>
    </x:row>
    <x:row r="268" ht="18" customHeight="1">
      <x:c r="A268" s="2" t="inlineStr">
        <x:is>
          <x:t xml:space="preserve">Reverse Gravity</x:t>
        </x:is>
      </x:c>
      <x:c r="B268" s="2" t="inlineStr">
        <x:is>
          <x:t xml:space="preserve">7</x:t>
        </x:is>
      </x:c>
      <x:c r="C268" s="2" t="inlineStr">
        <x:is>
          <x:t xml:space="preserve">Transmutation</x:t>
        </x:is>
      </x:c>
      <x:c r="D268" s="2" t="inlineStr">
        <x:is>
          <x:t xml:space="preserve">Druid, Sorcerer, Wizard</x:t>
        </x:is>
      </x:c>
      <x:c r="E268" s="2" t="inlineStr">
        <x:is>
          <x:t xml:space="preserve">Action</x:t>
        </x:is>
      </x:c>
      <x:c r="F268" s="2" t="inlineStr">
        <x:is>
          <x:t xml:space="preserve">100 feet</x:t>
        </x:is>
      </x:c>
      <x:c r="G268" s="2" t="inlineStr">
        <x:is>
          <x:t xml:space="preserve">V, S, M (a lodestone and iron filings)</x:t>
        </x:is>
      </x:c>
      <x:c r="H268" s="2" t="inlineStr">
        <x:is>
          <x:t xml:space="preserve">Concentration, up to 1 minute</x:t>
        </x:is>
      </x:c>
      <x:c r="I268" s="2" t="inlineStr">
        <x:is>
          <x:t xml:space="preserve">This spell reverses gravity in a 50-foot-radius, 100foot high Cylinder centered on a point within range. All creatures and objects in that area that aren’t anchored to the ground fall upward and reach the top of the Cylinder. A creature can make a Dexterity saving throw to grab a fixed object it can reach, thus avoiding the fall upward. If a ceiling or an anchored object is encountered in this upward fall, creatures and objects strike it just as they would during a downward fall. If an affected creature or object reaches the Cylinder’s top without striking anything, it hovers there for the duration. When the spell ends, affected objects and creatures fall downward.</x:t>
        </x:is>
      </x:c>
      <x:c r="J268" s="2" t="inlineStr">
        <x:is>
          <x:t xml:space="preserve">SRD 5.2.1</x:t>
        </x:is>
      </x:c>
      <x:c r="K268" s="2" t="inlineStr">
        <x:is>
          <x:t xml:space="preserve">pp. 107-175</x:t>
        </x:is>
      </x:c>
    </x:row>
    <x:row r="269" ht="18" customHeight="1">
      <x:c r="A269" s="2" t="inlineStr">
        <x:is>
          <x:t xml:space="preserve">Revivify</x:t>
        </x:is>
      </x:c>
      <x:c r="B269" s="2" t="inlineStr">
        <x:is>
          <x:t xml:space="preserve">3</x:t>
        </x:is>
      </x:c>
      <x:c r="C269" s="2" t="inlineStr">
        <x:is>
          <x:t xml:space="preserve">Necromancy</x:t>
        </x:is>
      </x:c>
      <x:c r="D269" s="2" t="inlineStr">
        <x:is>
          <x:t xml:space="preserve">Cleric, Druid, Paladin, Ranger</x:t>
        </x:is>
      </x:c>
      <x:c r="E269" s="2" t="inlineStr">
        <x:is>
          <x:t xml:space="preserve">Action</x:t>
        </x:is>
      </x:c>
      <x:c r="F269" s="2" t="inlineStr">
        <x:is>
          <x:t xml:space="preserve">Touch</x:t>
        </x:is>
      </x:c>
      <x:c r="G269" s="2" t="inlineStr">
        <x:is>
          <x:t xml:space="preserve">V, S, M (a diamond worth 300+ GP, which</x:t>
        </x:is>
      </x:c>
      <x:c r="H269" s="2" t="inlineStr">
        <x:is>
          <x:t xml:space="preserve">Instantaneous</x:t>
        </x:is>
      </x:c>
      <x:c r="I269" s="2" t="inlineStr">
        <x:is>
          <x:t xml:space="preserve">You touch a creature that has died within the last minute. That creature revives with 1 Hit Point. This spell can’t revive a creature that has died of old age, nor does it restore any missing body parts.</x:t>
        </x:is>
      </x:c>
      <x:c r="J269" s="2" t="inlineStr">
        <x:is>
          <x:t xml:space="preserve">SRD 5.2.1</x:t>
        </x:is>
      </x:c>
      <x:c r="K269" s="2" t="inlineStr">
        <x:is>
          <x:t xml:space="preserve">pp. 107-175</x:t>
        </x:is>
      </x:c>
    </x:row>
    <x:row r="270" ht="18" customHeight="1">
      <x:c r="A270" s="2" t="inlineStr">
        <x:is>
          <x:t xml:space="preserve">Rope Trick</x:t>
        </x:is>
      </x:c>
      <x:c r="B270" s="2" t="inlineStr">
        <x:is>
          <x:t xml:space="preserve">2</x:t>
        </x:is>
      </x:c>
      <x:c r="C270" s="2" t="inlineStr">
        <x:is>
          <x:t xml:space="preserve">Transmutation</x:t>
        </x:is>
      </x:c>
      <x:c r="D270" s="2" t="inlineStr">
        <x:is>
          <x:t xml:space="preserve">Wizard</x:t>
        </x:is>
      </x:c>
      <x:c r="E270" s="2" t="inlineStr">
        <x:is>
          <x:t xml:space="preserve">Action</x:t>
        </x:is>
      </x:c>
      <x:c r="F270" s="2" t="inlineStr">
        <x:is>
          <x:t xml:space="preserve">Touch</x:t>
        </x:is>
      </x:c>
      <x:c r="G270" s="2" t="inlineStr">
        <x:is>
          <x:t xml:space="preserve">V, S, M (a segment of rope)</x:t>
        </x:is>
      </x:c>
      <x:c r="H270" s="2" t="inlineStr">
        <x:is>
          <x:t xml:space="preserve">1 hour</x:t>
        </x:is>
      </x:c>
      <x:c r="I270" s="2" t="inlineStr">
        <x:is>
          <x:t xml:space="preserve">You touch a rope. One end of it hovers upward until the rope hangs perpendicular to the ground or the rope reaches a ceiling. At the rope’s upper end, an Invisible 3-foot-by-5-foot portal opens to an extra dimensional space that lasts until the spell ends. That space can be reached by climbing the rope, which can be pulled into or dropped out of it. The space can hold up to eight Medium or smaller creatures. Attacks, spells, and other effects can’t pass into or out of the space, but creatures inside it can see through the portal. Anything inside the space drops out when the spell ends.</x:t>
        </x:is>
      </x:c>
      <x:c r="J270" s="2" t="inlineStr">
        <x:is>
          <x:t xml:space="preserve">SRD 5.2.1</x:t>
        </x:is>
      </x:c>
      <x:c r="K270" s="2" t="inlineStr">
        <x:is>
          <x:t xml:space="preserve">pp. 107-175</x:t>
        </x:is>
      </x:c>
    </x:row>
    <x:row r="271" ht="18" customHeight="1">
      <x:c r="A271" s="2" t="inlineStr">
        <x:is>
          <x:t xml:space="preserve">Sacred Flame</x:t>
        </x:is>
      </x:c>
      <x:c r="B271" s="2" t="inlineStr">
        <x:is>
          <x:t xml:space="preserve">Cantrip</x:t>
        </x:is>
      </x:c>
      <x:c r="C271" s="2" t="inlineStr">
        <x:is>
          <x:t xml:space="preserve">Evocation</x:t>
        </x:is>
      </x:c>
      <x:c r="D271" s="2" t="inlineStr">
        <x:is>
          <x:t xml:space="preserve">Cleric</x:t>
        </x:is>
      </x:c>
      <x:c r="E271" s="2" t="inlineStr">
        <x:is>
          <x:t xml:space="preserve">Action</x:t>
        </x:is>
      </x:c>
      <x:c r="F271" s="2" t="inlineStr">
        <x:is>
          <x:t xml:space="preserve">60 feet</x:t>
        </x:is>
      </x:c>
      <x:c r="G271" s="2" t="inlineStr">
        <x:is>
          <x:t xml:space="preserve">V, S</x:t>
        </x:is>
      </x:c>
      <x:c r="H271" s="2" t="inlineStr">
        <x:is>
          <x:t xml:space="preserve">Instantaneous</x:t>
        </x:is>
      </x:c>
      <x:c r="I271" s="2" t="inlineStr">
        <x:is>
          <x:t xml:space="preserve">Flame-like radiance descends on a creature that you can see within range. The target must succeed on a Dexterity saving throw or take 1d8 Radiant damage. The target gains no benefit from Half Cover or</x:t>
        </x:is>
      </x:c>
      <x:c r="J271" s="2" t="inlineStr">
        <x:is>
          <x:t xml:space="preserve">SRD 5.2.1</x:t>
        </x:is>
      </x:c>
      <x:c r="K271" s="2" t="inlineStr">
        <x:is>
          <x:t xml:space="preserve">pp. 107-175</x:t>
        </x:is>
      </x:c>
    </x:row>
    <x:row r="272" ht="18" customHeight="1">
      <x:c r="A272" s="2" t="inlineStr">
        <x:is>
          <x:t xml:space="preserve">Three-Quarters Cover for this save.</x:t>
        </x:is>
      </x:c>
      <x:c r="B272" s="2" t="inlineStr">
        <x:is>
          <x:t xml:space="preserve">Cantrip</x:t>
        </x:is>
      </x:c>
      <x:c r="C272" s="2" t="inlineStr">
        <x:is>
          <x:t xml:space="preserve"/>
        </x:is>
      </x:c>
      <x:c r="D272" s="2" t="inlineStr">
        <x:is>
          <x:t xml:space="preserve"/>
        </x:is>
      </x:c>
      <x:c r="E272" s="2" t="inlineStr">
        <x:is>
          <x:t xml:space="preserve"/>
        </x:is>
      </x:c>
      <x:c r="F272" s="2" t="inlineStr">
        <x:is>
          <x:t xml:space="preserve"/>
        </x:is>
      </x:c>
      <x:c r="G272" s="2" t="inlineStr">
        <x:is>
          <x:t xml:space="preserve"/>
        </x:is>
      </x:c>
      <x:c r="H272" s="2" t="inlineStr">
        <x:is>
          <x:t xml:space="preserve"/>
        </x:is>
      </x:c>
      <x:c r="I272" s="2" t="inlineStr">
        <x:is>
          <x:t xml:space="preserve">Three-Quarters Cover for this save. Cantrip Upgrade. The damage increases by 1d8 when you reach levels 5 (2d8), 11 (3d8), and 17 (4d8).</x:t>
        </x:is>
      </x:c>
      <x:c r="J272" s="2" t="inlineStr">
        <x:is>
          <x:t xml:space="preserve">SRD 5.2.1</x:t>
        </x:is>
      </x:c>
      <x:c r="K272" s="2" t="inlineStr">
        <x:is>
          <x:t xml:space="preserve">pp. 107-175</x:t>
        </x:is>
      </x:c>
    </x:row>
    <x:row r="273" ht="18" customHeight="1">
      <x:c r="A273" s="2" t="inlineStr">
        <x:is>
          <x:t xml:space="preserve">Sanctuary</x:t>
        </x:is>
      </x:c>
      <x:c r="B273" s="2" t="inlineStr">
        <x:is>
          <x:t xml:space="preserve">1</x:t>
        </x:is>
      </x:c>
      <x:c r="C273" s="2" t="inlineStr">
        <x:is>
          <x:t xml:space="preserve">Abjuration</x:t>
        </x:is>
      </x:c>
      <x:c r="D273" s="2" t="inlineStr">
        <x:is>
          <x:t xml:space="preserve">Cleric</x:t>
        </x:is>
      </x:c>
      <x:c r="E273" s="2" t="inlineStr">
        <x:is>
          <x:t xml:space="preserve">Bonus Action</x:t>
        </x:is>
      </x:c>
      <x:c r="F273" s="2" t="inlineStr">
        <x:is>
          <x:t xml:space="preserve">30 feet</x:t>
        </x:is>
      </x:c>
      <x:c r="G273" s="2" t="inlineStr">
        <x:is>
          <x:t xml:space="preserve">V, S, M (a shard of glass from a mirror)</x:t>
        </x:is>
      </x:c>
      <x:c r="H273" s="2" t="inlineStr">
        <x:is>
          <x:t xml:space="preserve">1 minute</x:t>
        </x:is>
      </x:c>
      <x:c r="I273" s="2" t="inlineStr">
        <x:is>
          <x:t xml:space="preserve">You ward a creature within range. Until the spell ends, any creature who targets the warded creature with an attack roll or a damaging spell must succeed on a Wisdom saving throw or either choose a new target or lose the attack or spell. This spell doesn’t protect the warded creature from areas of effect. The spell ends if the warded creature makes an attack roll, casts a spell, or deals damage.</x:t>
        </x:is>
      </x:c>
      <x:c r="J273" s="2" t="inlineStr">
        <x:is>
          <x:t xml:space="preserve">SRD 5.2.1</x:t>
        </x:is>
      </x:c>
      <x:c r="K273" s="2" t="inlineStr">
        <x:is>
          <x:t xml:space="preserve">pp. 107-175</x:t>
        </x:is>
      </x:c>
    </x:row>
    <x:row r="274" ht="18" customHeight="1">
      <x:c r="A274" s="2" t="inlineStr">
        <x:is>
          <x:t xml:space="preserve">Scorching Ray</x:t>
        </x:is>
      </x:c>
      <x:c r="B274" s="2" t="inlineStr">
        <x:is>
          <x:t xml:space="preserve">2</x:t>
        </x:is>
      </x:c>
      <x:c r="C274" s="2" t="inlineStr">
        <x:is>
          <x:t xml:space="preserve">Evocation</x:t>
        </x:is>
      </x:c>
      <x:c r="D274" s="2" t="inlineStr">
        <x:is>
          <x:t xml:space="preserve">Sorcerer, Wizard</x:t>
        </x:is>
      </x:c>
      <x:c r="E274" s="2" t="inlineStr">
        <x:is>
          <x:t xml:space="preserve">Action</x:t>
        </x:is>
      </x:c>
      <x:c r="F274" s="2" t="inlineStr">
        <x:is>
          <x:t xml:space="preserve">120 feet</x:t>
        </x:is>
      </x:c>
      <x:c r="G274" s="2" t="inlineStr">
        <x:is>
          <x:t xml:space="preserve">V, S</x:t>
        </x:is>
      </x:c>
      <x:c r="H274" s="2" t="inlineStr">
        <x:is>
          <x:t xml:space="preserve">Instantaneous</x:t>
        </x:is>
      </x:c>
      <x:c r="I274" s="2" t="inlineStr">
        <x:is>
          <x:t xml:space="preserve">You hurl three fiery rays. You can hurl them at one target within range or at several. Make a ranged spell attack for each ray. On a hit, the target takes 2d6 Fire damage. Using a Higher-Level Spell Slot. You create one additional ray for each spell slot level above 2.</x:t>
        </x:is>
      </x:c>
      <x:c r="J274" s="2" t="inlineStr">
        <x:is>
          <x:t xml:space="preserve">SRD 5.2.1</x:t>
        </x:is>
      </x:c>
      <x:c r="K274" s="2" t="inlineStr">
        <x:is>
          <x:t xml:space="preserve">pp. 107-175</x:t>
        </x:is>
      </x:c>
    </x:row>
    <x:row r="275" ht="18" customHeight="1">
      <x:c r="A275" s="2" t="inlineStr">
        <x:is>
          <x:t xml:space="preserve">Scrying</x:t>
        </x:is>
      </x:c>
      <x:c r="B275" s="2" t="inlineStr">
        <x:is>
          <x:t xml:space="preserve">5</x:t>
        </x:is>
      </x:c>
      <x:c r="C275" s="2" t="inlineStr">
        <x:is>
          <x:t xml:space="preserve">Divination</x:t>
        </x:is>
      </x:c>
      <x:c r="D275" s="2" t="inlineStr">
        <x:is>
          <x:t xml:space="preserve"/>
        </x:is>
      </x:c>
      <x:c r="E275" s="2" t="inlineStr">
        <x:is>
          <x:t xml:space="preserve">10 minutes</x:t>
        </x:is>
      </x:c>
      <x:c r="F275" s="2" t="inlineStr">
        <x:is>
          <x:t xml:space="preserve">Self</x:t>
        </x:is>
      </x:c>
      <x:c r="G275" s="2" t="inlineStr">
        <x:is>
          <x:t xml:space="preserve">V, S, M (a focus worth 1,000+ GP, such as</x:t>
        </x:is>
      </x:c>
      <x:c r="H275" s="2" t="inlineStr">
        <x:is>
          <x:t xml:space="preserve">Concentration, up to 10 minutes</x:t>
        </x:is>
      </x:c>
      <x:c r="I275" s="2" t="inlineStr">
        <x:is>
          <x:t xml:space="preserve">You can see and hear a creature you choose that is on the same plane of existence as you. The target makes a Wisdom saving throw, which is modified (see the tables below) by how well you know the target and the sort of physical connection you have to it. The target doesn’t know what it is making the save against, only that it feels uneasy. Your Knowledge of the Target Is … Save Modifier Secondhand (heard of the target) +5 Firsthand (met the target) +0 Extensive (know the target well) −5 You Have the Target’s … Save Modifier Picture or other likeness −2 Garment or other possession −4 Body part, lock of hair, or bit of nail −10 On a successful save, the target isn’t affected, and you can’t use this spell on it again for 24 hours. On a failed save, the spell creates an Invisible, intangible sensor within 10 feet of the target. You can see and hear through the sensor as if you were there. The sensor moves with the target, remaining within 10 feet of it for the duration. If something can see the sensor, it appears as a luminous orb about the size of your fist. Instead of targeting a creature, you can target a location you have seen. When you do so, the sensor appears at that location and doesn’t move.</x:t>
        </x:is>
      </x:c>
      <x:c r="J275" s="2" t="inlineStr">
        <x:is>
          <x:t xml:space="preserve">SRD 5.2.1</x:t>
        </x:is>
      </x:c>
      <x:c r="K275" s="2" t="inlineStr">
        <x:is>
          <x:t xml:space="preserve">pp. 107-175</x:t>
        </x:is>
      </x:c>
    </x:row>
    <x:row r="276" ht="18" customHeight="1">
      <x:c r="A276" s="2" t="inlineStr">
        <x:is>
          <x:t xml:space="preserve">Searing Smite</x:t>
        </x:is>
      </x:c>
      <x:c r="B276" s="2" t="inlineStr">
        <x:is>
          <x:t xml:space="preserve">1</x:t>
        </x:is>
      </x:c>
      <x:c r="C276" s="2" t="inlineStr">
        <x:is>
          <x:t xml:space="preserve">Evocation</x:t>
        </x:is>
      </x:c>
      <x:c r="D276" s="2" t="inlineStr">
        <x:is>
          <x:t xml:space="preserve">Paladin</x:t>
        </x:is>
      </x:c>
      <x:c r="E276" s="2" t="inlineStr">
        <x:is>
          <x:t xml:space="preserve">Bonus Action, which you take immedi-</x:t>
        </x:is>
      </x:c>
      <x:c r="F276" s="2" t="inlineStr">
        <x:is>
          <x:t xml:space="preserve">Self</x:t>
        </x:is>
      </x:c>
      <x:c r="G276" s="2" t="inlineStr">
        <x:is>
          <x:t xml:space="preserve"/>
        </x:is>
      </x:c>
      <x:c r="H276" s="2" t="inlineStr">
        <x:is>
          <x:t xml:space="preserve">1 minute</x:t>
        </x:is>
      </x:c>
      <x:c r="I276" s="2" t="inlineStr">
        <x:is>
          <x:t xml:space="preserve">As you hit the target, it takes an extra 1d6 Fire damage from the attack. At the start of each of its turns until the spell ends, the target takes 1d6 Fire damage and then makes a Constitution saving throw. On a failed save, the spell continues. On a successful save, the spell ends. Using a Higher-Level Spell Slot. All the damage increases by 1d6 for each spell slot level above 1.</x:t>
        </x:is>
      </x:c>
      <x:c r="J276" s="2" t="inlineStr">
        <x:is>
          <x:t xml:space="preserve">SRD 5.2.1</x:t>
        </x:is>
      </x:c>
      <x:c r="K276" s="2" t="inlineStr">
        <x:is>
          <x:t xml:space="preserve">pp. 107-175</x:t>
        </x:is>
      </x:c>
    </x:row>
    <x:row r="277" ht="18" customHeight="1">
      <x:c r="A277" s="2" t="inlineStr">
        <x:is>
          <x:t xml:space="preserve">Secret Chest</x:t>
        </x:is>
      </x:c>
      <x:c r="B277" s="2" t="inlineStr">
        <x:is>
          <x:t xml:space="preserve">4</x:t>
        </x:is>
      </x:c>
      <x:c r="C277" s="2" t="inlineStr">
        <x:is>
          <x:t xml:space="preserve">Conjuration</x:t>
        </x:is>
      </x:c>
      <x:c r="D277" s="2" t="inlineStr">
        <x:is>
          <x:t xml:space="preserve">Wizard</x:t>
        </x:is>
      </x:c>
      <x:c r="E277" s="2" t="inlineStr">
        <x:is>
          <x:t xml:space="preserve">Action</x:t>
        </x:is>
      </x:c>
      <x:c r="F277" s="2" t="inlineStr">
        <x:is>
          <x:t xml:space="preserve">Touch</x:t>
        </x:is>
      </x:c>
      <x:c r="G277" s="2" t="inlineStr">
        <x:is>
          <x:t xml:space="preserve">V, S, M (a chest, 3 feet by 2 feet by 2 feet,</x:t>
        </x:is>
      </x:c>
      <x:c r="H277" s="2" t="inlineStr">
        <x:is>
          <x:t xml:space="preserve">Until dispelled</x:t>
        </x:is>
      </x:c>
      <x:c r="I277" s="2" t="inlineStr">
        <x:is>
          <x:t xml:space="preserve">You hide a chest and all its contents on the Ethereal Plane. You must touch the chest and the miniature replica that serve as Material components for the spell. The chest can contain up to 12 cubic feet of nonliving material (3 feet by 2 feet by 2 feet). While the chest remains on the Ethereal Plane, you can take a Magic action and touch the replica to recall the chest. It appears in an unoccupied space on the ground within 5 feet of you. You can send the chest back to the Ethereal Plane by taking a Magic action to touch the chest and the replica. After 60 days, there is a cumulative 5 percent chance at the end of each day that the spell ends. The spell also ends if you cast this spell again or if the Tiny replica chest is destroyed. If the spell ends and the larger chest is on the Ethereal Plane, the chest remains there for you or someone else to find.</x:t>
        </x:is>
      </x:c>
      <x:c r="J277" s="2" t="inlineStr">
        <x:is>
          <x:t xml:space="preserve">SRD 5.2.1</x:t>
        </x:is>
      </x:c>
      <x:c r="K277" s="2" t="inlineStr">
        <x:is>
          <x:t xml:space="preserve">pp. 107-175</x:t>
        </x:is>
      </x:c>
    </x:row>
    <x:row r="278" ht="18" customHeight="1">
      <x:c r="A278" s="2" t="inlineStr">
        <x:is>
          <x:t xml:space="preserve">See Invisibility</x:t>
        </x:is>
      </x:c>
      <x:c r="B278" s="2" t="inlineStr">
        <x:is>
          <x:t xml:space="preserve">2</x:t>
        </x:is>
      </x:c>
      <x:c r="C278" s="2" t="inlineStr">
        <x:is>
          <x:t xml:space="preserve">Divination</x:t>
        </x:is>
      </x:c>
      <x:c r="D278" s="2" t="inlineStr">
        <x:is>
          <x:t xml:space="preserve">Bard, Sorcerer, Wizard</x:t>
        </x:is>
      </x:c>
      <x:c r="E278" s="2" t="inlineStr">
        <x:is>
          <x:t xml:space="preserve">Action</x:t>
        </x:is>
      </x:c>
      <x:c r="F278" s="2" t="inlineStr">
        <x:is>
          <x:t xml:space="preserve">Self</x:t>
        </x:is>
      </x:c>
      <x:c r="G278" s="2" t="inlineStr">
        <x:is>
          <x:t xml:space="preserve">V, S, M (a pinch of talc)</x:t>
        </x:is>
      </x:c>
      <x:c r="H278" s="2" t="inlineStr">
        <x:is>
          <x:t xml:space="preserve">1 hour</x:t>
        </x:is>
      </x:c>
      <x:c r="I278" s="2" t="inlineStr">
        <x:is>
          <x:t xml:space="preserve">For the duration, you see creatures and objects that have the Invisible condition as if they were visible, and you can see into the Ethereal Plane. Creatures and objects there appear ghostly.</x:t>
        </x:is>
      </x:c>
      <x:c r="J278" s="2" t="inlineStr">
        <x:is>
          <x:t xml:space="preserve">SRD 5.2.1</x:t>
        </x:is>
      </x:c>
      <x:c r="K278" s="2" t="inlineStr">
        <x:is>
          <x:t xml:space="preserve">pp. 107-175</x:t>
        </x:is>
      </x:c>
    </x:row>
    <x:row r="279" ht="18" customHeight="1">
      <x:c r="A279" s="2" t="inlineStr">
        <x:is>
          <x:t xml:space="preserve">Seeming</x:t>
        </x:is>
      </x:c>
      <x:c r="B279" s="2" t="inlineStr">
        <x:is>
          <x:t xml:space="preserve">5</x:t>
        </x:is>
      </x:c>
      <x:c r="C279" s="2" t="inlineStr">
        <x:is>
          <x:t xml:space="preserve">Illusion</x:t>
        </x:is>
      </x:c>
      <x:c r="D279" s="2" t="inlineStr">
        <x:is>
          <x:t xml:space="preserve">Bard, Sorcerer, Wizard</x:t>
        </x:is>
      </x:c>
      <x:c r="E279" s="2" t="inlineStr">
        <x:is>
          <x:t xml:space="preserve">Action</x:t>
        </x:is>
      </x:c>
      <x:c r="F279" s="2" t="inlineStr">
        <x:is>
          <x:t xml:space="preserve">30 feet</x:t>
        </x:is>
      </x:c>
      <x:c r="G279" s="2" t="inlineStr">
        <x:is>
          <x:t xml:space="preserve">V, S</x:t>
        </x:is>
      </x:c>
      <x:c r="H279" s="2" t="inlineStr">
        <x:is>
          <x:t xml:space="preserve">8 hours</x:t>
        </x:is>
      </x:c>
      <x:c r="I279" s="2" t="inlineStr">
        <x:is>
          <x:t xml:space="preserve">You give an illusory appearance to each creature of your choice that you can see within range. An unwilling target can make a Charisma saving throw, and if it succeeds, it is unaffected by this spell. You can give the same appearance or different ones to the targets. The spell can change the appearance of the targets’ bodies and equipment. You can make each creature seem 1 foot shorter or taller and appear heavier or lighter. A target’s new appearance must have the same basic arrangement of limbs as the target, but the extent of the illusion is otherwise up to you. The spell lasts for the duration. The changes wrought by this spell fail to hold up to physical inspection. For example, if you use this spell to add a hat to a creature’s outfit, objects pass through the hat. A creature that takes the Study action to examine a target can make an Intelligence (Investigation) check against your spell save DC. If it succeeds, it becomes aware that the target is disguised.</x:t>
        </x:is>
      </x:c>
      <x:c r="J279" s="2" t="inlineStr">
        <x:is>
          <x:t xml:space="preserve">SRD 5.2.1</x:t>
        </x:is>
      </x:c>
      <x:c r="K279" s="2" t="inlineStr">
        <x:is>
          <x:t xml:space="preserve">pp. 107-175</x:t>
        </x:is>
      </x:c>
    </x:row>
    <x:row r="280" ht="18" customHeight="1">
      <x:c r="A280" s="2" t="inlineStr">
        <x:is>
          <x:t xml:space="preserve">Sending</x:t>
        </x:is>
      </x:c>
      <x:c r="B280" s="2" t="inlineStr">
        <x:is>
          <x:t xml:space="preserve">3</x:t>
        </x:is>
      </x:c>
      <x:c r="C280" s="2" t="inlineStr">
        <x:is>
          <x:t xml:space="preserve">Divination</x:t>
        </x:is>
      </x:c>
      <x:c r="D280" s="2" t="inlineStr">
        <x:is>
          <x:t xml:space="preserve">Bard, Cleric, Wizard</x:t>
        </x:is>
      </x:c>
      <x:c r="E280" s="2" t="inlineStr">
        <x:is>
          <x:t xml:space="preserve">Action</x:t>
        </x:is>
      </x:c>
      <x:c r="F280" s="2" t="inlineStr">
        <x:is>
          <x:t xml:space="preserve">Unlimited</x:t>
        </x:is>
      </x:c>
      <x:c r="G280" s="2" t="inlineStr">
        <x:is>
          <x:t xml:space="preserve">V, S, M (a copper wire)</x:t>
        </x:is>
      </x:c>
      <x:c r="H280" s="2" t="inlineStr">
        <x:is>
          <x:t xml:space="preserve">Instantaneous</x:t>
        </x:is>
      </x:c>
      <x:c r="I280" s="2" t="inlineStr">
        <x:is>
          <x:t xml:space="preserve">You send a short message of 25 words or fewer to a creature you have met or a creature described to you by someone who has met it. The target hears the message in its mind, recognizes you as the sender if it knows you, and can answer in a like manner immediately. The spell enables targets to understand the meaning of your message. You can send the message across any distance and even to other planes of existence, but if the target is on a different plane than you, there is a 5 percent chance that the message doesn’t arrive. You know if the delivery fails. Upon receiving your message, a creature can block your ability to reach it again with this spell for 8 hours. If you try to send another message during that time, you learn that you are blocked, and the spell fails.</x:t>
        </x:is>
      </x:c>
      <x:c r="J280" s="2" t="inlineStr">
        <x:is>
          <x:t xml:space="preserve">SRD 5.2.1</x:t>
        </x:is>
      </x:c>
      <x:c r="K280" s="2" t="inlineStr">
        <x:is>
          <x:t xml:space="preserve">pp. 107-175</x:t>
        </x:is>
      </x:c>
    </x:row>
    <x:row r="281" ht="18" customHeight="1">
      <x:c r="A281" s="2" t="inlineStr">
        <x:is>
          <x:t xml:space="preserve">Sequester</x:t>
        </x:is>
      </x:c>
      <x:c r="B281" s="2" t="inlineStr">
        <x:is>
          <x:t xml:space="preserve">7</x:t>
        </x:is>
      </x:c>
      <x:c r="C281" s="2" t="inlineStr">
        <x:is>
          <x:t xml:space="preserve">Transmutation</x:t>
        </x:is>
      </x:c>
      <x:c r="D281" s="2" t="inlineStr">
        <x:is>
          <x:t xml:space="preserve">Wizard</x:t>
        </x:is>
      </x:c>
      <x:c r="E281" s="2" t="inlineStr">
        <x:is>
          <x:t xml:space="preserve">Action</x:t>
        </x:is>
      </x:c>
      <x:c r="F281" s="2" t="inlineStr">
        <x:is>
          <x:t xml:space="preserve">Touch</x:t>
        </x:is>
      </x:c>
      <x:c r="G281" s="2" t="inlineStr">
        <x:is>
          <x:t xml:space="preserve">V, S, M (gem dust worth 5,000+ GP,</x:t>
        </x:is>
      </x:c>
      <x:c r="H281" s="2" t="inlineStr">
        <x:is>
          <x:t xml:space="preserve">Until dispelled</x:t>
        </x:is>
      </x:c>
      <x:c r="I281" s="2" t="inlineStr">
        <x:is>
          <x:t xml:space="preserve">With a touch, you magically sequester an object or a willing creature. For the duration, the target has the Invisible condition and can’t be targeted by Divination spells, detected by magic, or viewed remotely with magic. If the target is a creature, it enters a state of suspended animation; it has the Unconscious condition, doesn’t age, and doesn’t need food, water, or air. You can set a condition for the spell to end early. The condition can be anything you choose, but it must occur or be visible within 1 mile of the target. Examples include “after 1,000 years” or “when the tarrasque awakens.” This spell also ends if the target takes any damage.</x:t>
        </x:is>
      </x:c>
      <x:c r="J281" s="2" t="inlineStr">
        <x:is>
          <x:t xml:space="preserve">SRD 5.2.1</x:t>
        </x:is>
      </x:c>
      <x:c r="K281" s="2" t="inlineStr">
        <x:is>
          <x:t xml:space="preserve">pp. 107-175</x:t>
        </x:is>
      </x:c>
    </x:row>
    <x:row r="282" ht="18" customHeight="1">
      <x:c r="A282" s="2" t="inlineStr">
        <x:is>
          <x:t xml:space="preserve">Shapechange</x:t>
        </x:is>
      </x:c>
      <x:c r="B282" s="2" t="inlineStr">
        <x:is>
          <x:t xml:space="preserve">9</x:t>
        </x:is>
      </x:c>
      <x:c r="C282" s="2" t="inlineStr">
        <x:is>
          <x:t xml:space="preserve">Transmutation</x:t>
        </x:is>
      </x:c>
      <x:c r="D282" s="2" t="inlineStr">
        <x:is>
          <x:t xml:space="preserve">Druid, Wizard</x:t>
        </x:is>
      </x:c>
      <x:c r="E282" s="2" t="inlineStr">
        <x:is>
          <x:t xml:space="preserve">Action</x:t>
        </x:is>
      </x:c>
      <x:c r="F282" s="2" t="inlineStr">
        <x:is>
          <x:t xml:space="preserve">Self</x:t>
        </x:is>
      </x:c>
      <x:c r="G282" s="2" t="inlineStr">
        <x:is>
          <x:t xml:space="preserve">V, S, M (a jade circlet worth 1,500+ GP)</x:t>
        </x:is>
      </x:c>
      <x:c r="H282" s="2" t="inlineStr">
        <x:is>
          <x:t xml:space="preserve">Concentration, up to 1 hour</x:t>
        </x:is>
      </x:c>
      <x:c r="I282" s="2" t="inlineStr">
        <x:is>
          <x:t xml:space="preserve">You shape-shift into another creature for the duration or until you take a Magic action to shape-shift into a different eligible form. The new form must be of a creature that has a Challenge Rating no higher than your level or Challenge Rating. You must have seen the sort of creature before, and it can’t be a Construct or an Undead. When you cast the spell, you gain a number of Temporary Hit Points equal to the Hit Points of the first form into which you shape-shift. These Temporary Hit Points vanish if any remain when the spell ends. Your game statistics are replaced by the stat block of the chosen form, but you retain your creature type; alignment; personality; Intelligence, Wisdom, and Charisma scores; Hit Points; Hit Point Dice; proficiencies; and ability to communicate. If you have the Spellcasting feature, you retain it too. Upon shape-shifting, you determine whether your equipment drops to the ground or changes in size and shape to fit the new form while you’re in it.</x:t>
        </x:is>
      </x:c>
      <x:c r="J282" s="2" t="inlineStr">
        <x:is>
          <x:t xml:space="preserve">SRD 5.2.1</x:t>
        </x:is>
      </x:c>
      <x:c r="K282" s="2" t="inlineStr">
        <x:is>
          <x:t xml:space="preserve">pp. 107-175</x:t>
        </x:is>
      </x:c>
    </x:row>
    <x:row r="283" ht="18" customHeight="1">
      <x:c r="A283" s="2" t="inlineStr">
        <x:is>
          <x:t xml:space="preserve">Shatter</x:t>
        </x:is>
      </x:c>
      <x:c r="B283" s="2" t="inlineStr">
        <x:is>
          <x:t xml:space="preserve">2</x:t>
        </x:is>
      </x:c>
      <x:c r="C283" s="2" t="inlineStr">
        <x:is>
          <x:t xml:space="preserve">Evocation</x:t>
        </x:is>
      </x:c>
      <x:c r="D283" s="2" t="inlineStr">
        <x:is>
          <x:t xml:space="preserve">Bard, Sorcerer, Wizard</x:t>
        </x:is>
      </x:c>
      <x:c r="E283" s="2" t="inlineStr">
        <x:is>
          <x:t xml:space="preserve">Action</x:t>
        </x:is>
      </x:c>
      <x:c r="F283" s="2" t="inlineStr">
        <x:is>
          <x:t xml:space="preserve">60 feet</x:t>
        </x:is>
      </x:c>
      <x:c r="G283" s="2" t="inlineStr">
        <x:is>
          <x:t xml:space="preserve">V, S, M (a chip of mica)</x:t>
        </x:is>
      </x:c>
      <x:c r="H283" s="2" t="inlineStr">
        <x:is>
          <x:t xml:space="preserve">Instantaneous</x:t>
        </x:is>
      </x:c>
      <x:c r="I283" s="2" t="inlineStr">
        <x:is>
          <x:t xml:space="preserve">A loud noise erupts from a point of your choice within range. Each creature in a 10-foot-radius Sphere centered there makes a Constitution saving throw, taking 3d8 Thunder damage on a failed save or half as much damage on a successful one. A Construct has Disadvantage on the save. A nonmagical object that isn’t being worn or carried also takes the damage if it’s in the spell’s area. Using a Higher-Level Spell Slot. The damage increases by 1d8 for each spell slot level above 2.</x:t>
        </x:is>
      </x:c>
      <x:c r="J283" s="2" t="inlineStr">
        <x:is>
          <x:t xml:space="preserve">SRD 5.2.1</x:t>
        </x:is>
      </x:c>
      <x:c r="K283" s="2" t="inlineStr">
        <x:is>
          <x:t xml:space="preserve">pp. 107-175</x:t>
        </x:is>
      </x:c>
    </x:row>
    <x:row r="284" ht="18" customHeight="1">
      <x:c r="A284" s="2" t="inlineStr">
        <x:is>
          <x:t xml:space="preserve">Shield</x:t>
        </x:is>
      </x:c>
      <x:c r="B284" s="2" t="inlineStr">
        <x:is>
          <x:t xml:space="preserve">1</x:t>
        </x:is>
      </x:c>
      <x:c r="C284" s="2" t="inlineStr">
        <x:is>
          <x:t xml:space="preserve">Abjuration</x:t>
        </x:is>
      </x:c>
      <x:c r="D284" s="2" t="inlineStr">
        <x:is>
          <x:t xml:space="preserve">Sorcerer, Wizard</x:t>
        </x:is>
      </x:c>
      <x:c r="E284" s="2" t="inlineStr">
        <x:is>
          <x:t xml:space="preserve">Reaction, which you take when you are</x:t>
        </x:is>
      </x:c>
      <x:c r="F284" s="2" t="inlineStr">
        <x:is>
          <x:t xml:space="preserve">Self</x:t>
        </x:is>
      </x:c>
      <x:c r="G284" s="2" t="inlineStr">
        <x:is>
          <x:t xml:space="preserve">V, S</x:t>
        </x:is>
      </x:c>
      <x:c r="H284" s="2" t="inlineStr">
        <x:is>
          <x:t xml:space="preserve">1 round</x:t>
        </x:is>
      </x:c>
      <x:c r="I284" s="2" t="inlineStr">
        <x:is>
          <x:t xml:space="preserve">An imperceptible barrier of magical force protects you. Until the start of your next turn, you have a +5 bonus to AC, including against the triggering attack, and you take no damage from Magic Missile.</x:t>
        </x:is>
      </x:c>
      <x:c r="J284" s="2" t="inlineStr">
        <x:is>
          <x:t xml:space="preserve">SRD 5.2.1</x:t>
        </x:is>
      </x:c>
      <x:c r="K284" s="2" t="inlineStr">
        <x:is>
          <x:t xml:space="preserve">pp. 107-175</x:t>
        </x:is>
      </x:c>
    </x:row>
    <x:row r="285" ht="18" customHeight="1">
      <x:c r="A285" s="2" t="inlineStr">
        <x:is>
          <x:t xml:space="preserve">Shield of Faith</x:t>
        </x:is>
      </x:c>
      <x:c r="B285" s="2" t="inlineStr">
        <x:is>
          <x:t xml:space="preserve">1</x:t>
        </x:is>
      </x:c>
      <x:c r="C285" s="2" t="inlineStr">
        <x:is>
          <x:t xml:space="preserve">Abjuration</x:t>
        </x:is>
      </x:c>
      <x:c r="D285" s="2" t="inlineStr">
        <x:is>
          <x:t xml:space="preserve">Cleric, Paladin</x:t>
        </x:is>
      </x:c>
      <x:c r="E285" s="2" t="inlineStr">
        <x:is>
          <x:t xml:space="preserve">Bonus Action</x:t>
        </x:is>
      </x:c>
      <x:c r="F285" s="2" t="inlineStr">
        <x:is>
          <x:t xml:space="preserve">60 feet</x:t>
        </x:is>
      </x:c>
      <x:c r="G285" s="2" t="inlineStr">
        <x:is>
          <x:t xml:space="preserve">V, S, M (a prayer scroll)</x:t>
        </x:is>
      </x:c>
      <x:c r="H285" s="2" t="inlineStr">
        <x:is>
          <x:t xml:space="preserve">Concentration, up to 10 minutes</x:t>
        </x:is>
      </x:c>
      <x:c r="I285" s="2" t="inlineStr">
        <x:is>
          <x:t xml:space="preserve">A shimmering field surrounds a creature of your choice within range, granting it a +2 bonus to AC for the duration.</x:t>
        </x:is>
      </x:c>
      <x:c r="J285" s="2" t="inlineStr">
        <x:is>
          <x:t xml:space="preserve">SRD 5.2.1</x:t>
        </x:is>
      </x:c>
      <x:c r="K285" s="2" t="inlineStr">
        <x:is>
          <x:t xml:space="preserve">pp. 107-175</x:t>
        </x:is>
      </x:c>
    </x:row>
    <x:row r="286" ht="18" customHeight="1">
      <x:c r="A286" s="2" t="inlineStr">
        <x:is>
          <x:t xml:space="preserve">Shillelagh</x:t>
        </x:is>
      </x:c>
      <x:c r="B286" s="2" t="inlineStr">
        <x:is>
          <x:t xml:space="preserve">Cantrip</x:t>
        </x:is>
      </x:c>
      <x:c r="C286" s="2" t="inlineStr">
        <x:is>
          <x:t xml:space="preserve">Transmutation</x:t>
        </x:is>
      </x:c>
      <x:c r="D286" s="2" t="inlineStr">
        <x:is>
          <x:t xml:space="preserve">Druid</x:t>
        </x:is>
      </x:c>
      <x:c r="E286" s="2" t="inlineStr">
        <x:is>
          <x:t xml:space="preserve">Bonus Action</x:t>
        </x:is>
      </x:c>
      <x:c r="F286" s="2" t="inlineStr">
        <x:is>
          <x:t xml:space="preserve">Self</x:t>
        </x:is>
      </x:c>
      <x:c r="G286" s="2" t="inlineStr">
        <x:is>
          <x:t xml:space="preserve">V, S, M (mistletoe)</x:t>
        </x:is>
      </x:c>
      <x:c r="H286" s="2" t="inlineStr">
        <x:is>
          <x:t xml:space="preserve">1 minute</x:t>
        </x:is>
      </x:c>
      <x:c r="I286" s="2" t="inlineStr">
        <x:is>
          <x:t xml:space="preserve">A Club or Quarterstaff you are holding is imbued with nature’s power. For the duration, you can use your spellcasting ability instead of Strength for the attack and damage rolls of melee attacks using that weapon, and the weapon’s damage die becomes a d8. If the attack deals damage, it can be Force damage or the weapon’s normal damage type (your choice). The spell ends early if you cast it again or if you let</x:t>
        </x:is>
      </x:c>
      <x:c r="J286" s="2" t="inlineStr">
        <x:is>
          <x:t xml:space="preserve">SRD 5.2.1</x:t>
        </x:is>
      </x:c>
      <x:c r="K286" s="2" t="inlineStr">
        <x:is>
          <x:t xml:space="preserve">pp. 107-175</x:t>
        </x:is>
      </x:c>
    </x:row>
    <x:row r="287" ht="18" customHeight="1">
      <x:c r="A287" s="2" t="inlineStr">
        <x:is>
          <x:t xml:space="preserve">go of the weapon.</x:t>
        </x:is>
      </x:c>
      <x:c r="B287" s="2" t="inlineStr">
        <x:is>
          <x:t xml:space="preserve">Cantrip</x:t>
        </x:is>
      </x:c>
      <x:c r="C287" s="2" t="inlineStr">
        <x:is>
          <x:t xml:space="preserve"/>
        </x:is>
      </x:c>
      <x:c r="D287" s="2" t="inlineStr">
        <x:is>
          <x:t xml:space="preserve"/>
        </x:is>
      </x:c>
      <x:c r="E287" s="2" t="inlineStr">
        <x:is>
          <x:t xml:space="preserve"/>
        </x:is>
      </x:c>
      <x:c r="F287" s="2" t="inlineStr">
        <x:is>
          <x:t xml:space="preserve"/>
        </x:is>
      </x:c>
      <x:c r="G287" s="2" t="inlineStr">
        <x:is>
          <x:t xml:space="preserve"/>
        </x:is>
      </x:c>
      <x:c r="H287" s="2" t="inlineStr">
        <x:is>
          <x:t xml:space="preserve"/>
        </x:is>
      </x:c>
      <x:c r="I287" s="2" t="inlineStr">
        <x:is>
          <x:t xml:space="preserve">go of the weapon. Cantrip Upgrade. The damage die changes when you reach levels 5 (d10), 11 (d12), and 17 (2d6).</x:t>
        </x:is>
      </x:c>
      <x:c r="J287" s="2" t="inlineStr">
        <x:is>
          <x:t xml:space="preserve">SRD 5.2.1</x:t>
        </x:is>
      </x:c>
      <x:c r="K287" s="2" t="inlineStr">
        <x:is>
          <x:t xml:space="preserve">pp. 107-175</x:t>
        </x:is>
      </x:c>
    </x:row>
    <x:row r="288" ht="18" customHeight="1">
      <x:c r="A288" s="2" t="inlineStr">
        <x:is>
          <x:t xml:space="preserve">Shining Smite</x:t>
        </x:is>
      </x:c>
      <x:c r="B288" s="2" t="inlineStr">
        <x:is>
          <x:t xml:space="preserve">2</x:t>
        </x:is>
      </x:c>
      <x:c r="C288" s="2" t="inlineStr">
        <x:is>
          <x:t xml:space="preserve">Transmutation</x:t>
        </x:is>
      </x:c>
      <x:c r="D288" s="2" t="inlineStr">
        <x:is>
          <x:t xml:space="preserve">Paladin</x:t>
        </x:is>
      </x:c>
      <x:c r="E288" s="2" t="inlineStr">
        <x:is>
          <x:t xml:space="preserve">Bonus Action, which you take immedi-</x:t>
        </x:is>
      </x:c>
      <x:c r="F288" s="2" t="inlineStr">
        <x:is>
          <x:t xml:space="preserve">Self</x:t>
        </x:is>
      </x:c>
      <x:c r="G288" s="2" t="inlineStr">
        <x:is>
          <x:t xml:space="preserve"/>
        </x:is>
      </x:c>
      <x:c r="H288" s="2" t="inlineStr">
        <x:is>
          <x:t xml:space="preserve">Concentration, up to 1 minute</x:t>
        </x:is>
      </x:c>
      <x:c r="I288" s="2" t="inlineStr">
        <x:is>
          <x:t xml:space="preserve">The target hit by the strike takes an extra 2d6 Radiant damage from the attack. Until the spell ends, the target sheds Bright Light in a 5-foot radius, attack rolls against it have Advantage, and it can’t benefit from the Invisible condition. Using a Higher-Level Spell Slot. The damage increases by 1d6 for each spell slot level above 2.</x:t>
        </x:is>
      </x:c>
      <x:c r="J288" s="2" t="inlineStr">
        <x:is>
          <x:t xml:space="preserve">SRD 5.2.1</x:t>
        </x:is>
      </x:c>
      <x:c r="K288" s="2" t="inlineStr">
        <x:is>
          <x:t xml:space="preserve">pp. 107-175</x:t>
        </x:is>
      </x:c>
    </x:row>
    <x:row r="289" ht="18" customHeight="1">
      <x:c r="A289" s="2" t="inlineStr">
        <x:is>
          <x:t xml:space="preserve">Shocking Grasp</x:t>
        </x:is>
      </x:c>
      <x:c r="B289" s="2" t="inlineStr">
        <x:is>
          <x:t xml:space="preserve">Cantrip</x:t>
        </x:is>
      </x:c>
      <x:c r="C289" s="2" t="inlineStr">
        <x:is>
          <x:t xml:space="preserve">Evocation</x:t>
        </x:is>
      </x:c>
      <x:c r="D289" s="2" t="inlineStr">
        <x:is>
          <x:t xml:space="preserve">Sorcerer, Wizard</x:t>
        </x:is>
      </x:c>
      <x:c r="E289" s="2" t="inlineStr">
        <x:is>
          <x:t xml:space="preserve">Action</x:t>
        </x:is>
      </x:c>
      <x:c r="F289" s="2" t="inlineStr">
        <x:is>
          <x:t xml:space="preserve">Touch</x:t>
        </x:is>
      </x:c>
      <x:c r="G289" s="2" t="inlineStr">
        <x:is>
          <x:t xml:space="preserve">V, S</x:t>
        </x:is>
      </x:c>
      <x:c r="H289" s="2" t="inlineStr">
        <x:is>
          <x:t xml:space="preserve">Instantaneous</x:t>
        </x:is>
      </x:c>
      <x:c r="I289" s="2" t="inlineStr">
        <x:is>
          <x:t xml:space="preserve">Lightning springs from you to a creature that you try to touch. Make a melee spell attack against the target. On a hit, the target takes 1d8 Lightning damage, and it can’t make Opportunity Attacks until the</x:t>
        </x:is>
      </x:c>
      <x:c r="J289" s="2" t="inlineStr">
        <x:is>
          <x:t xml:space="preserve">SRD 5.2.1</x:t>
        </x:is>
      </x:c>
      <x:c r="K289" s="2" t="inlineStr">
        <x:is>
          <x:t xml:space="preserve">pp. 107-175</x:t>
        </x:is>
      </x:c>
    </x:row>
    <x:row r="290" ht="18" customHeight="1">
      <x:c r="A290" s="2" t="inlineStr">
        <x:is>
          <x:t xml:space="preserve">start of its next turn.</x:t>
        </x:is>
      </x:c>
      <x:c r="B290" s="2" t="inlineStr">
        <x:is>
          <x:t xml:space="preserve">Cantrip</x:t>
        </x:is>
      </x:c>
      <x:c r="C290" s="2" t="inlineStr">
        <x:is>
          <x:t xml:space="preserve"/>
        </x:is>
      </x:c>
      <x:c r="D290" s="2" t="inlineStr">
        <x:is>
          <x:t xml:space="preserve"/>
        </x:is>
      </x:c>
      <x:c r="E290" s="2" t="inlineStr">
        <x:is>
          <x:t xml:space="preserve"/>
        </x:is>
      </x:c>
      <x:c r="F290" s="2" t="inlineStr">
        <x:is>
          <x:t xml:space="preserve"/>
        </x:is>
      </x:c>
      <x:c r="G290" s="2" t="inlineStr">
        <x:is>
          <x:t xml:space="preserve"/>
        </x:is>
      </x:c>
      <x:c r="H290" s="2" t="inlineStr">
        <x:is>
          <x:t xml:space="preserve"/>
        </x:is>
      </x:c>
      <x:c r="I290" s="2" t="inlineStr">
        <x:is>
          <x:t xml:space="preserve">start of its next turn. Cantrip Upgrade. The damage increases by 1d8 when you reach levels 5 (2d8), 11 (3d8), and 17 (4d8).</x:t>
        </x:is>
      </x:c>
      <x:c r="J290" s="2" t="inlineStr">
        <x:is>
          <x:t xml:space="preserve">SRD 5.2.1</x:t>
        </x:is>
      </x:c>
      <x:c r="K290" s="2" t="inlineStr">
        <x:is>
          <x:t xml:space="preserve">pp. 107-175</x:t>
        </x:is>
      </x:c>
    </x:row>
    <x:row r="291" ht="18" customHeight="1">
      <x:c r="A291" s="2" t="inlineStr">
        <x:is>
          <x:t xml:space="preserve">Silence</x:t>
        </x:is>
      </x:c>
      <x:c r="B291" s="2" t="inlineStr">
        <x:is>
          <x:t xml:space="preserve">2</x:t>
        </x:is>
      </x:c>
      <x:c r="C291" s="2" t="inlineStr">
        <x:is>
          <x:t xml:space="preserve">Illusion</x:t>
        </x:is>
      </x:c>
      <x:c r="D291" s="2" t="inlineStr">
        <x:is>
          <x:t xml:space="preserve">Bard, Cleric, Ranger</x:t>
        </x:is>
      </x:c>
      <x:c r="E291" s="2" t="inlineStr">
        <x:is>
          <x:t xml:space="preserve">Action or Ritual</x:t>
        </x:is>
      </x:c>
      <x:c r="F291" s="2" t="inlineStr">
        <x:is>
          <x:t xml:space="preserve">120 feet</x:t>
        </x:is>
      </x:c>
      <x:c r="G291" s="2" t="inlineStr">
        <x:is>
          <x:t xml:space="preserve">V, S</x:t>
        </x:is>
      </x:c>
      <x:c r="H291" s="2" t="inlineStr">
        <x:is>
          <x:t xml:space="preserve">Concentration, up to 10 minutes</x:t>
        </x:is>
      </x:c>
      <x:c r="I291" s="2" t="inlineStr">
        <x:is>
          <x:t xml:space="preserve">For the duration, no sound can be created within or pass through a 20-foot-radius Sphere centered on a point you choose within range. Any creature or object entirely inside the Sphere has Immunity to Thunder damage, and creatures have the Deafened condition while entirely inside it. Casting a spell that includes a Verbal component is impossible there.</x:t>
        </x:is>
      </x:c>
      <x:c r="J291" s="2" t="inlineStr">
        <x:is>
          <x:t xml:space="preserve">SRD 5.2.1</x:t>
        </x:is>
      </x:c>
      <x:c r="K291" s="2" t="inlineStr">
        <x:is>
          <x:t xml:space="preserve">pp. 107-175</x:t>
        </x:is>
      </x:c>
    </x:row>
    <x:row r="292" ht="18" customHeight="1">
      <x:c r="A292" s="2" t="inlineStr">
        <x:is>
          <x:t xml:space="preserve">Silent Image</x:t>
        </x:is>
      </x:c>
      <x:c r="B292" s="2" t="inlineStr">
        <x:is>
          <x:t xml:space="preserve">1</x:t>
        </x:is>
      </x:c>
      <x:c r="C292" s="2" t="inlineStr">
        <x:is>
          <x:t xml:space="preserve">Illusion</x:t>
        </x:is>
      </x:c>
      <x:c r="D292" s="2" t="inlineStr">
        <x:is>
          <x:t xml:space="preserve">Bard, Sorcerer, Wizard</x:t>
        </x:is>
      </x:c>
      <x:c r="E292" s="2" t="inlineStr">
        <x:is>
          <x:t xml:space="preserve">Action</x:t>
        </x:is>
      </x:c>
      <x:c r="F292" s="2" t="inlineStr">
        <x:is>
          <x:t xml:space="preserve">60 feet</x:t>
        </x:is>
      </x:c>
      <x:c r="G292" s="2" t="inlineStr">
        <x:is>
          <x:t xml:space="preserve">V, S, M (a bit of fleece)</x:t>
        </x:is>
      </x:c>
      <x:c r="H292" s="2" t="inlineStr">
        <x:is>
          <x:t xml:space="preserve">Concentration, up to 10 minutes</x:t>
        </x:is>
      </x:c>
      <x:c r="I292" s="2" t="inlineStr">
        <x:is>
          <x:t xml:space="preserve">You create the image of an object, a creature, or some other visible phenomenon that is no larger than a 15-foot Cube. The image appears at a spot within range and lasts for the duration. The image is purely visual; it isn’t accompanied by sound, smell, or other sensory effects. As a Magic action, you can cause the image to move to any spot within range. As the image changes location, you can alter its appearance so that its movements appear natural for the image. For example, if you create an image of a creature and move it, you can alter the image so that it appears to be walking. Physical interaction with the image reveals it to be an illusion, since things can pass through it. A creature that takes a Study action to examine the image can determine that it is an illusion with a successful Intelligence (Investigation) check against your spell save DC. If a creature discerns the illusion for what it is, the creature can see through the image.</x:t>
        </x:is>
      </x:c>
      <x:c r="J292" s="2" t="inlineStr">
        <x:is>
          <x:t xml:space="preserve">SRD 5.2.1</x:t>
        </x:is>
      </x:c>
      <x:c r="K292" s="2" t="inlineStr">
        <x:is>
          <x:t xml:space="preserve">pp. 107-175</x:t>
        </x:is>
      </x:c>
    </x:row>
    <x:row r="293" ht="18" customHeight="1">
      <x:c r="A293" s="2" t="inlineStr">
        <x:is>
          <x:t xml:space="preserve">Simulacrum</x:t>
        </x:is>
      </x:c>
      <x:c r="B293" s="2" t="inlineStr">
        <x:is>
          <x:t xml:space="preserve">7</x:t>
        </x:is>
      </x:c>
      <x:c r="C293" s="2" t="inlineStr">
        <x:is>
          <x:t xml:space="preserve">Illusion</x:t>
        </x:is>
      </x:c>
      <x:c r="D293" s="2" t="inlineStr">
        <x:is>
          <x:t xml:space="preserve">Wizard</x:t>
        </x:is>
      </x:c>
      <x:c r="E293" s="2" t="inlineStr">
        <x:is>
          <x:t xml:space="preserve">12 hours</x:t>
        </x:is>
      </x:c>
      <x:c r="F293" s="2" t="inlineStr">
        <x:is>
          <x:t xml:space="preserve">Touch</x:t>
        </x:is>
      </x:c>
      <x:c r="G293" s="2" t="inlineStr">
        <x:is>
          <x:t xml:space="preserve">V, S, M (powdered ruby worth 1,500+ GP,</x:t>
        </x:is>
      </x:c>
      <x:c r="H293" s="2" t="inlineStr">
        <x:is>
          <x:t xml:space="preserve">Until dispelled</x:t>
        </x:is>
      </x:c>
      <x:c r="I293" s="2" t="inlineStr">
        <x:is>
          <x:t xml:space="preserve">You create a simulacrum of one Beast or Humanoid that is within 10 feet of you for the entire casting of the spell. You finish the casting by touching both the creature and a pile of ice or snow that is the same size as that creature, and the pile turns into the simulacrum, which is a creature. It uses the game statistics of the original creature at the time of casting, except it is a Construct, its Hit Point maximum is half as much, and it can’t cast this spell. The simulacrum is Friendly to you and creatures you designate. It obeys your commands and acts on your turn in combat. The simulacrum can’t gain levels, and it can’t take Short or Long Rests. If the simulacrum takes damage, the only way to restore its Hit Points is to repair it as you take a Long Rest, during which you expend components worth 100 GP per Hit Point restored. The simulacrum must stay within 5 feet of you for the repair. The simulacrum lasts until it drops to 0 Hit Points, at which point it reverts to snow and melts away. If you cast this spell again, any simulacrum you created with this spell is instantly destroyed.</x:t>
        </x:is>
      </x:c>
      <x:c r="J293" s="2" t="inlineStr">
        <x:is>
          <x:t xml:space="preserve">SRD 5.2.1</x:t>
        </x:is>
      </x:c>
      <x:c r="K293" s="2" t="inlineStr">
        <x:is>
          <x:t xml:space="preserve">pp. 107-175</x:t>
        </x:is>
      </x:c>
    </x:row>
    <x:row r="294" ht="18" customHeight="1">
      <x:c r="A294" s="2" t="inlineStr">
        <x:is>
          <x:t xml:space="preserve">Sleep</x:t>
        </x:is>
      </x:c>
      <x:c r="B294" s="2" t="inlineStr">
        <x:is>
          <x:t xml:space="preserve">1</x:t>
        </x:is>
      </x:c>
      <x:c r="C294" s="2" t="inlineStr">
        <x:is>
          <x:t xml:space="preserve">Enchantment</x:t>
        </x:is>
      </x:c>
      <x:c r="D294" s="2" t="inlineStr">
        <x:is>
          <x:t xml:space="preserve">Bard, Sorcerer, Wizard</x:t>
        </x:is>
      </x:c>
      <x:c r="E294" s="2" t="inlineStr">
        <x:is>
          <x:t xml:space="preserve">Action</x:t>
        </x:is>
      </x:c>
      <x:c r="F294" s="2" t="inlineStr">
        <x:is>
          <x:t xml:space="preserve">60 feet</x:t>
        </x:is>
      </x:c>
      <x:c r="G294" s="2" t="inlineStr">
        <x:is>
          <x:t xml:space="preserve">V, S, M (a pinch of sand or rose petals)</x:t>
        </x:is>
      </x:c>
      <x:c r="H294" s="2" t="inlineStr">
        <x:is>
          <x:t xml:space="preserve">Concentration, up to 1 minute</x:t>
        </x:is>
      </x:c>
      <x:c r="I294" s="2" t="inlineStr">
        <x:is>
          <x:t xml:space="preserve">Each creature of your choice in a 5-foot-radius Sphere centered on a point within range must succeed on a Wisdom saving throw or have the Incapacitated condition until the end of its next turn, at which point it must repeat the save. If the target fails the second save, the target has the Unconscious condition for the duration. The spell ends on a target if it takes damage or someone within 5 feet of it takes an action to shake it out of the spell’s effect. Creatures that don’t sleep, such as elves, or that have Immunity to the Exhaustion condition automatically succeed on saves against this spell.</x:t>
        </x:is>
      </x:c>
      <x:c r="J294" s="2" t="inlineStr">
        <x:is>
          <x:t xml:space="preserve">SRD 5.2.1</x:t>
        </x:is>
      </x:c>
      <x:c r="K294" s="2" t="inlineStr">
        <x:is>
          <x:t xml:space="preserve">pp. 107-175</x:t>
        </x:is>
      </x:c>
    </x:row>
    <x:row r="295" ht="18" customHeight="1">
      <x:c r="A295" s="2" t="inlineStr">
        <x:is>
          <x:t xml:space="preserve">Sleet Storm</x:t>
        </x:is>
      </x:c>
      <x:c r="B295" s="2" t="inlineStr">
        <x:is>
          <x:t xml:space="preserve">3</x:t>
        </x:is>
      </x:c>
      <x:c r="C295" s="2" t="inlineStr">
        <x:is>
          <x:t xml:space="preserve">Conjuration</x:t>
        </x:is>
      </x:c>
      <x:c r="D295" s="2" t="inlineStr">
        <x:is>
          <x:t xml:space="preserve">Druid, Sorcerer, Wizard</x:t>
        </x:is>
      </x:c>
      <x:c r="E295" s="2" t="inlineStr">
        <x:is>
          <x:t xml:space="preserve">Action</x:t>
        </x:is>
      </x:c>
      <x:c r="F295" s="2" t="inlineStr">
        <x:is>
          <x:t xml:space="preserve">150 feet</x:t>
        </x:is>
      </x:c>
      <x:c r="G295" s="2" t="inlineStr">
        <x:is>
          <x:t xml:space="preserve">V, S, M (a miniature umbrella)</x:t>
        </x:is>
      </x:c>
      <x:c r="H295" s="2" t="inlineStr">
        <x:is>
          <x:t xml:space="preserve">Concentration, up to 1 minute</x:t>
        </x:is>
      </x:c>
      <x:c r="I295" s="2" t="inlineStr">
        <x:is>
          <x:t xml:space="preserve">Until the spell ends, sleet falls in a 40-foot-tall, 20-foot-radius Cylinder centered on a point you choose within range. The area is Heavily Obscured, and exposed flames in the area are doused. Ground in the Cylinder is Difficult Terrain. When a creature enters the Cylinder for the first time on a turn or starts its turn there, it must succeed on a Dexterity saving throw or have the Prone condition and lose Concentration.</x:t>
        </x:is>
      </x:c>
      <x:c r="J295" s="2" t="inlineStr">
        <x:is>
          <x:t xml:space="preserve">SRD 5.2.1</x:t>
        </x:is>
      </x:c>
      <x:c r="K295" s="2" t="inlineStr">
        <x:is>
          <x:t xml:space="preserve">pp. 107-175</x:t>
        </x:is>
      </x:c>
    </x:row>
    <x:row r="296" ht="18" customHeight="1">
      <x:c r="A296" s="2" t="inlineStr">
        <x:is>
          <x:t xml:space="preserve">Slow</x:t>
        </x:is>
      </x:c>
      <x:c r="B296" s="2" t="inlineStr">
        <x:is>
          <x:t xml:space="preserve">3</x:t>
        </x:is>
      </x:c>
      <x:c r="C296" s="2" t="inlineStr">
        <x:is>
          <x:t xml:space="preserve">Transmutation</x:t>
        </x:is>
      </x:c>
      <x:c r="D296" s="2" t="inlineStr">
        <x:is>
          <x:t xml:space="preserve">Bard, Sorcerer, Wizard</x:t>
        </x:is>
      </x:c>
      <x:c r="E296" s="2" t="inlineStr">
        <x:is>
          <x:t xml:space="preserve">Action</x:t>
        </x:is>
      </x:c>
      <x:c r="F296" s="2" t="inlineStr">
        <x:is>
          <x:t xml:space="preserve">120 feet</x:t>
        </x:is>
      </x:c>
      <x:c r="G296" s="2" t="inlineStr">
        <x:is>
          <x:t xml:space="preserve">V, S, M (a drop of molasses)</x:t>
        </x:is>
      </x:c>
      <x:c r="H296" s="2" t="inlineStr">
        <x:is>
          <x:t xml:space="preserve">Concentration, up to 1 minute</x:t>
        </x:is>
      </x:c>
      <x:c r="I296" s="2" t="inlineStr">
        <x:is>
          <x:t xml:space="preserve">You alter time around up to six creatures of your choice in a 40-foot Cube within range. Each target must succeed on a Wisdom saving throw or be affected by this spell for the duration. An affected target’s Speed is halved, it takes a −2 penalty to AC and Dexterity saving throws, and it can’t take Reactions. On its turns, it can take either an action or a Bonus Action, not both, and it can make only one attack if it takes the Attack action. If it casts a spell with a Somatic component, there is a 25 percent chance the spell fails as a result of the target making the spell’s gestures too slowly. An affected target repeats the save at the end of each of its turns, ending the spell on itself on a success.</x:t>
        </x:is>
      </x:c>
      <x:c r="J296" s="2" t="inlineStr">
        <x:is>
          <x:t xml:space="preserve">SRD 5.2.1</x:t>
        </x:is>
      </x:c>
      <x:c r="K296" s="2" t="inlineStr">
        <x:is>
          <x:t xml:space="preserve">pp. 107-175</x:t>
        </x:is>
      </x:c>
    </x:row>
    <x:row r="297" ht="18" customHeight="1">
      <x:c r="A297" s="2" t="inlineStr">
        <x:is>
          <x:t xml:space="preserve">Sorcerous Burst</x:t>
        </x:is>
      </x:c>
      <x:c r="B297" s="2" t="inlineStr">
        <x:is>
          <x:t xml:space="preserve">Cantrip</x:t>
        </x:is>
      </x:c>
      <x:c r="C297" s="2" t="inlineStr">
        <x:is>
          <x:t xml:space="preserve">Evocation</x:t>
        </x:is>
      </x:c>
      <x:c r="D297" s="2" t="inlineStr">
        <x:is>
          <x:t xml:space="preserve">Sorcerer</x:t>
        </x:is>
      </x:c>
      <x:c r="E297" s="2" t="inlineStr">
        <x:is>
          <x:t xml:space="preserve">Action</x:t>
        </x:is>
      </x:c>
      <x:c r="F297" s="2" t="inlineStr">
        <x:is>
          <x:t xml:space="preserve">120 feet</x:t>
        </x:is>
      </x:c>
      <x:c r="G297" s="2" t="inlineStr">
        <x:is>
          <x:t xml:space="preserve"/>
        </x:is>
      </x:c>
      <x:c r="H297" s="2" t="inlineStr">
        <x:is>
          <x:t xml:space="preserve">Instantaneous</x:t>
        </x:is>
      </x:c>
      <x:c r="I297" s="2" t="inlineStr">
        <x:is>
          <x:t xml:space="preserve">You cast sorcerous energy at one creature or object within range. Make a ranged spell attack against the target. On a hit, the target takes 1d8 damage of a type you choose: Acid, Cold, Fire, Lightning, Poison, Psychic, or Thunder. If you roll an 8 on a d8 for this spell, you can roll another d8, and add it to the damage. When you cast this spell, the maximum number of these d8s you can add to the spell’s damage equals your spellcast-</x:t>
        </x:is>
      </x:c>
      <x:c r="J297" s="2" t="inlineStr">
        <x:is>
          <x:t xml:space="preserve">SRD 5.2.1</x:t>
        </x:is>
      </x:c>
      <x:c r="K297" s="2" t="inlineStr">
        <x:is>
          <x:t xml:space="preserve">pp. 107-175</x:t>
        </x:is>
      </x:c>
    </x:row>
    <x:row r="298" ht="18" customHeight="1">
      <x:c r="A298" s="2" t="inlineStr">
        <x:is>
          <x:t xml:space="preserve">ing ability modifier.</x:t>
        </x:is>
      </x:c>
      <x:c r="B298" s="2" t="inlineStr">
        <x:is>
          <x:t xml:space="preserve">Cantrip</x:t>
        </x:is>
      </x:c>
      <x:c r="C298" s="2" t="inlineStr">
        <x:is>
          <x:t xml:space="preserve"/>
        </x:is>
      </x:c>
      <x:c r="D298" s="2" t="inlineStr">
        <x:is>
          <x:t xml:space="preserve"/>
        </x:is>
      </x:c>
      <x:c r="E298" s="2" t="inlineStr">
        <x:is>
          <x:t xml:space="preserve"/>
        </x:is>
      </x:c>
      <x:c r="F298" s="2" t="inlineStr">
        <x:is>
          <x:t xml:space="preserve"/>
        </x:is>
      </x:c>
      <x:c r="G298" s="2" t="inlineStr">
        <x:is>
          <x:t xml:space="preserve"/>
        </x:is>
      </x:c>
      <x:c r="H298" s="2" t="inlineStr">
        <x:is>
          <x:t xml:space="preserve"/>
        </x:is>
      </x:c>
      <x:c r="I298" s="2" t="inlineStr">
        <x:is>
          <x:t xml:space="preserve">ing ability modifier. Cantrip Upgrade. The damage increases by 1d8 when you reach levels 5 (2d8), 11 (3d8), and 17 (4d8).</x:t>
        </x:is>
      </x:c>
      <x:c r="J298" s="2" t="inlineStr">
        <x:is>
          <x:t xml:space="preserve">SRD 5.2.1</x:t>
        </x:is>
      </x:c>
      <x:c r="K298" s="2" t="inlineStr">
        <x:is>
          <x:t xml:space="preserve">pp. 107-175</x:t>
        </x:is>
      </x:c>
    </x:row>
    <x:row r="299" ht="18" customHeight="1">
      <x:c r="A299" s="2" t="inlineStr">
        <x:is>
          <x:t xml:space="preserve">Spare the Dying</x:t>
        </x:is>
      </x:c>
      <x:c r="B299" s="2" t="inlineStr">
        <x:is>
          <x:t xml:space="preserve">Cantrip</x:t>
        </x:is>
      </x:c>
      <x:c r="C299" s="2" t="inlineStr">
        <x:is>
          <x:t xml:space="preserve">Necromancy</x:t>
        </x:is>
      </x:c>
      <x:c r="D299" s="2" t="inlineStr">
        <x:is>
          <x:t xml:space="preserve">Cleric, Druid</x:t>
        </x:is>
      </x:c>
      <x:c r="E299" s="2" t="inlineStr">
        <x:is>
          <x:t xml:space="preserve">Action</x:t>
        </x:is>
      </x:c>
      <x:c r="F299" s="2" t="inlineStr">
        <x:is>
          <x:t xml:space="preserve">15 feet</x:t>
        </x:is>
      </x:c>
      <x:c r="G299" s="2" t="inlineStr">
        <x:is>
          <x:t xml:space="preserve">V, S</x:t>
        </x:is>
      </x:c>
      <x:c r="H299" s="2" t="inlineStr">
        <x:is>
          <x:t xml:space="preserve">Instantaneous</x:t>
        </x:is>
      </x:c>
      <x:c r="I299" s="2" t="inlineStr">
        <x:is>
          <x:t xml:space="preserve">Choose a creature within range that has 0 Hit Points</x:t>
        </x:is>
      </x:c>
      <x:c r="J299" s="2" t="inlineStr">
        <x:is>
          <x:t xml:space="preserve">SRD 5.2.1</x:t>
        </x:is>
      </x:c>
      <x:c r="K299" s="2" t="inlineStr">
        <x:is>
          <x:t xml:space="preserve">pp. 107-175</x:t>
        </x:is>
      </x:c>
    </x:row>
    <x:row r="300" ht="18" customHeight="1">
      <x:c r="A300" s="2" t="inlineStr">
        <x:is>
          <x:t xml:space="preserve">and isn’t dead. The creature becomes Stable.</x:t>
        </x:is>
      </x:c>
      <x:c r="B300" s="2" t="inlineStr">
        <x:is>
          <x:t xml:space="preserve">Cantrip</x:t>
        </x:is>
      </x:c>
      <x:c r="C300" s="2" t="inlineStr">
        <x:is>
          <x:t xml:space="preserve"/>
        </x:is>
      </x:c>
      <x:c r="D300" s="2" t="inlineStr">
        <x:is>
          <x:t xml:space="preserve"/>
        </x:is>
      </x:c>
      <x:c r="E300" s="2" t="inlineStr">
        <x:is>
          <x:t xml:space="preserve"/>
        </x:is>
      </x:c>
      <x:c r="F300" s="2" t="inlineStr">
        <x:is>
          <x:t xml:space="preserve"/>
        </x:is>
      </x:c>
      <x:c r="G300" s="2" t="inlineStr">
        <x:is>
          <x:t xml:space="preserve"/>
        </x:is>
      </x:c>
      <x:c r="H300" s="2" t="inlineStr">
        <x:is>
          <x:t xml:space="preserve"/>
        </x:is>
      </x:c>
      <x:c r="I300" s="2" t="inlineStr">
        <x:is>
          <x:t xml:space="preserve">and isn’t dead. The creature becomes Stable. Cantrip Upgrade. The range doubles when you reach levels 5 (30 feet), 11 (60 feet), and 17 (120 feet).</x:t>
        </x:is>
      </x:c>
      <x:c r="J300" s="2" t="inlineStr">
        <x:is>
          <x:t xml:space="preserve">SRD 5.2.1</x:t>
        </x:is>
      </x:c>
      <x:c r="K300" s="2" t="inlineStr">
        <x:is>
          <x:t xml:space="preserve">pp. 107-175</x:t>
        </x:is>
      </x:c>
    </x:row>
    <x:row r="301" ht="18" customHeight="1">
      <x:c r="A301" s="2" t="inlineStr">
        <x:is>
          <x:t xml:space="preserve">Speak with Animals</x:t>
        </x:is>
      </x:c>
      <x:c r="B301" s="2" t="inlineStr">
        <x:is>
          <x:t xml:space="preserve">1</x:t>
        </x:is>
      </x:c>
      <x:c r="C301" s="2" t="inlineStr">
        <x:is>
          <x:t xml:space="preserve">Divination</x:t>
        </x:is>
      </x:c>
      <x:c r="D301" s="2" t="inlineStr">
        <x:is>
          <x:t xml:space="preserve">Bard, Druid, Ranger, Warlock</x:t>
        </x:is>
      </x:c>
      <x:c r="E301" s="2" t="inlineStr">
        <x:is>
          <x:t xml:space="preserve">Action or Ritual</x:t>
        </x:is>
      </x:c>
      <x:c r="F301" s="2" t="inlineStr">
        <x:is>
          <x:t xml:space="preserve">Self</x:t>
        </x:is>
      </x:c>
      <x:c r="G301" s="2" t="inlineStr">
        <x:is>
          <x:t xml:space="preserve">V, S</x:t>
        </x:is>
      </x:c>
      <x:c r="H301" s="2" t="inlineStr">
        <x:is>
          <x:t xml:space="preserve">10 minutes</x:t>
        </x:is>
      </x:c>
      <x:c r="I301" s="2" t="inlineStr">
        <x:is>
          <x:t xml:space="preserve">For the duration, you can comprehend and verbally communicate with Beasts, and you can use any of the Influence action’s skill options with them. Most Beasts have little to say about topics that don’t pertain to survival or companionship, but at minimum, a Beast can give you information about nearby locations and monsters, including whatever it has perceived within the past day.</x:t>
        </x:is>
      </x:c>
      <x:c r="J301" s="2" t="inlineStr">
        <x:is>
          <x:t xml:space="preserve">SRD 5.2.1</x:t>
        </x:is>
      </x:c>
      <x:c r="K301" s="2" t="inlineStr">
        <x:is>
          <x:t xml:space="preserve">pp. 107-175</x:t>
        </x:is>
      </x:c>
    </x:row>
    <x:row r="302" ht="18" customHeight="1">
      <x:c r="A302" s="2" t="inlineStr">
        <x:is>
          <x:t xml:space="preserve">Speak with Dead</x:t>
        </x:is>
      </x:c>
      <x:c r="B302" s="2" t="inlineStr">
        <x:is>
          <x:t xml:space="preserve">3</x:t>
        </x:is>
      </x:c>
      <x:c r="C302" s="2" t="inlineStr">
        <x:is>
          <x:t xml:space="preserve">Necromancy</x:t>
        </x:is>
      </x:c>
      <x:c r="D302" s="2" t="inlineStr">
        <x:is>
          <x:t xml:space="preserve">Bard, Cleric, Wizard</x:t>
        </x:is>
      </x:c>
      <x:c r="E302" s="2" t="inlineStr">
        <x:is>
          <x:t xml:space="preserve">Action</x:t>
        </x:is>
      </x:c>
      <x:c r="F302" s="2" t="inlineStr">
        <x:is>
          <x:t xml:space="preserve">10 feet</x:t>
        </x:is>
      </x:c>
      <x:c r="G302" s="2" t="inlineStr">
        <x:is>
          <x:t xml:space="preserve">V, S, M (burning incense)</x:t>
        </x:is>
      </x:c>
      <x:c r="H302" s="2" t="inlineStr">
        <x:is>
          <x:t xml:space="preserve">10 minutes</x:t>
        </x:is>
      </x:c>
      <x:c r="I302" s="2" t="inlineStr">
        <x:is>
          <x:t xml:space="preserve">You grant the semblance of life to a corpse of your choice within range, allowing it to answer questions you pose. The corpse must have a mouth, and this spell fails if the deceased creature was Undead when it died. The spell also fails if the corpse was the target of this spell within the past 10 days. Until the spell ends, you can ask the corpse up to five questions. The corpse knows only what it knew in life, including the languages it knew. Answers are usually brief, cryptic, or repetitive, and the corpse is under no compulsion to offer a truthful answer if you are antagonistic toward it or it recognizes you as an enemy. This spell doesn’t return the creature’s soul to its body, only its animating spirit. Thus, the corpse can’t learn new information, doesn’t comprehend anything that has happened since it died, and can’t speculate about future events.</x:t>
        </x:is>
      </x:c>
      <x:c r="J302" s="2" t="inlineStr">
        <x:is>
          <x:t xml:space="preserve">SRD 5.2.1</x:t>
        </x:is>
      </x:c>
      <x:c r="K302" s="2" t="inlineStr">
        <x:is>
          <x:t xml:space="preserve">pp. 107-175</x:t>
        </x:is>
      </x:c>
    </x:row>
    <x:row r="303" ht="18" customHeight="1">
      <x:c r="A303" s="2" t="inlineStr">
        <x:is>
          <x:t xml:space="preserve">Speak with Plants</x:t>
        </x:is>
      </x:c>
      <x:c r="B303" s="2" t="inlineStr">
        <x:is>
          <x:t xml:space="preserve">3</x:t>
        </x:is>
      </x:c>
      <x:c r="C303" s="2" t="inlineStr">
        <x:is>
          <x:t xml:space="preserve">Transmutation</x:t>
        </x:is>
      </x:c>
      <x:c r="D303" s="2" t="inlineStr">
        <x:is>
          <x:t xml:space="preserve">Bard, Druid, Ranger</x:t>
        </x:is>
      </x:c>
      <x:c r="E303" s="2" t="inlineStr">
        <x:is>
          <x:t xml:space="preserve">Action</x:t>
        </x:is>
      </x:c>
      <x:c r="F303" s="2" t="inlineStr">
        <x:is>
          <x:t xml:space="preserve">Self</x:t>
        </x:is>
      </x:c>
      <x:c r="G303" s="2" t="inlineStr">
        <x:is>
          <x:t xml:space="preserve">V, S</x:t>
        </x:is>
      </x:c>
      <x:c r="H303" s="2" t="inlineStr">
        <x:is>
          <x:t xml:space="preserve">10 minutes</x:t>
        </x:is>
      </x:c>
      <x:c r="I303" s="2" t="inlineStr">
        <x:is>
          <x:t xml:space="preserve">You imbue plants in an immobile 30-foot Emanation with limited sentience and animation, giving them the ability to communicate with you and follow your simple commands. You can question plants about events in the spell’s area within the past day, gaining information about creatures that have passed, weather, and other circumstances. You can also turn Difficult Terrain caused by plant growth (such as thickets and undergrowth) into ordinary terrain that lasts for the duration. Or you can turn ordinary terrain where plants are present into Difficult Terrain that lasts for the duration. The spell doesn’t enable plants to uproot themselves and move about, but they can move their branches, tendrils, and stalks for you. If a Plant creature is in the area, you can communicate with it as if you shared a common language.</x:t>
        </x:is>
      </x:c>
      <x:c r="J303" s="2" t="inlineStr">
        <x:is>
          <x:t xml:space="preserve">SRD 5.2.1</x:t>
        </x:is>
      </x:c>
      <x:c r="K303" s="2" t="inlineStr">
        <x:is>
          <x:t xml:space="preserve">pp. 107-175</x:t>
        </x:is>
      </x:c>
    </x:row>
    <x:row r="304" ht="18" customHeight="1">
      <x:c r="A304" s="2" t="inlineStr">
        <x:is>
          <x:t xml:space="preserve">Spider Climb</x:t>
        </x:is>
      </x:c>
      <x:c r="B304" s="2" t="inlineStr">
        <x:is>
          <x:t xml:space="preserve">2</x:t>
        </x:is>
      </x:c>
      <x:c r="C304" s="2" t="inlineStr">
        <x:is>
          <x:t xml:space="preserve">Transmutation</x:t>
        </x:is>
      </x:c>
      <x:c r="D304" s="2" t="inlineStr">
        <x:is>
          <x:t xml:space="preserve">Sorcerer, Warlock, Wizard</x:t>
        </x:is>
      </x:c>
      <x:c r="E304" s="2" t="inlineStr">
        <x:is>
          <x:t xml:space="preserve">Action</x:t>
        </x:is>
      </x:c>
      <x:c r="F304" s="2" t="inlineStr">
        <x:is>
          <x:t xml:space="preserve">Touch</x:t>
        </x:is>
      </x:c>
      <x:c r="G304" s="2" t="inlineStr">
        <x:is>
          <x:t xml:space="preserve">V, S, M (a drop of bitumen and a spider)</x:t>
        </x:is>
      </x:c>
      <x:c r="H304" s="2" t="inlineStr">
        <x:is>
          <x:t xml:space="preserve">Concentration, up to 1 hour</x:t>
        </x:is>
      </x:c>
      <x:c r="I304" s="2" t="inlineStr">
        <x:is>
          <x:t xml:space="preserve">Until the spell ends, one willing creature you touch gains the ability to move up, down, and across vertical surfaces and along ceilings, while leaving its hands free. The target also gains a Climb Speed equal to its Speed. Using a Higher-Level Spell Slot. You can target one additional creature for each spell slot level above 2.</x:t>
        </x:is>
      </x:c>
      <x:c r="J304" s="2" t="inlineStr">
        <x:is>
          <x:t xml:space="preserve">SRD 5.2.1</x:t>
        </x:is>
      </x:c>
      <x:c r="K304" s="2" t="inlineStr">
        <x:is>
          <x:t xml:space="preserve">pp. 107-175</x:t>
        </x:is>
      </x:c>
    </x:row>
    <x:row r="305" ht="18" customHeight="1">
      <x:c r="A305" s="2" t="inlineStr">
        <x:is>
          <x:t xml:space="preserve">Spike Growth</x:t>
        </x:is>
      </x:c>
      <x:c r="B305" s="2" t="inlineStr">
        <x:is>
          <x:t xml:space="preserve">2</x:t>
        </x:is>
      </x:c>
      <x:c r="C305" s="2" t="inlineStr">
        <x:is>
          <x:t xml:space="preserve">Transmutation</x:t>
        </x:is>
      </x:c>
      <x:c r="D305" s="2" t="inlineStr">
        <x:is>
          <x:t xml:space="preserve">Druid, Ranger</x:t>
        </x:is>
      </x:c>
      <x:c r="E305" s="2" t="inlineStr">
        <x:is>
          <x:t xml:space="preserve">Action</x:t>
        </x:is>
      </x:c>
      <x:c r="F305" s="2" t="inlineStr">
        <x:is>
          <x:t xml:space="preserve">150 feet</x:t>
        </x:is>
      </x:c>
      <x:c r="G305" s="2" t="inlineStr">
        <x:is>
          <x:t xml:space="preserve">V, S, M (seven thorns)</x:t>
        </x:is>
      </x:c>
      <x:c r="H305" s="2" t="inlineStr">
        <x:is>
          <x:t xml:space="preserve">Concentration, up to 10 minutes</x:t>
        </x:is>
      </x:c>
      <x:c r="I305" s="2" t="inlineStr">
        <x:is>
          <x:t xml:space="preserve">The ground in a 20-foot-radius Sphere centered on a point within range sprouts hard spikes and thorns. The area becomes Difficult Terrain for the duration. When a creature moves into or within the area, it takes 2d4 Piercing damage for every 5 feet it travels. The transformation of the ground is camouflaged to look natural. Any creature that can’t see the area when the spell is cast must take a Search action and succeed on a Wisdom (Perception or Survival) check against your spell save DC to recognize the terrain as hazardous before entering it.</x:t>
        </x:is>
      </x:c>
      <x:c r="J305" s="2" t="inlineStr">
        <x:is>
          <x:t xml:space="preserve">SRD 5.2.1</x:t>
        </x:is>
      </x:c>
      <x:c r="K305" s="2" t="inlineStr">
        <x:is>
          <x:t xml:space="preserve">pp. 107-175</x:t>
        </x:is>
      </x:c>
    </x:row>
    <x:row r="306" ht="18" customHeight="1">
      <x:c r="A306" s="2" t="inlineStr">
        <x:is>
          <x:t xml:space="preserve">Spirit Guardians</x:t>
        </x:is>
      </x:c>
      <x:c r="B306" s="2" t="inlineStr">
        <x:is>
          <x:t xml:space="preserve">3</x:t>
        </x:is>
      </x:c>
      <x:c r="C306" s="2" t="inlineStr">
        <x:is>
          <x:t xml:space="preserve">Conjuration</x:t>
        </x:is>
      </x:c>
      <x:c r="D306" s="2" t="inlineStr">
        <x:is>
          <x:t xml:space="preserve">Cleric</x:t>
        </x:is>
      </x:c>
      <x:c r="E306" s="2" t="inlineStr">
        <x:is>
          <x:t xml:space="preserve">Action</x:t>
        </x:is>
      </x:c>
      <x:c r="F306" s="2" t="inlineStr">
        <x:is>
          <x:t xml:space="preserve">Self</x:t>
        </x:is>
      </x:c>
      <x:c r="G306" s="2" t="inlineStr">
        <x:is>
          <x:t xml:space="preserve">V, S, M (a prayer scroll)</x:t>
        </x:is>
      </x:c>
      <x:c r="H306" s="2" t="inlineStr">
        <x:is>
          <x:t xml:space="preserve">Concentration, up to 10 minutes</x:t>
        </x:is>
      </x:c>
      <x:c r="I306" s="2" t="inlineStr">
        <x:is>
          <x:t xml:space="preserve">Protective spirits flit around you in a 15-foot Emanation for the duration. If you are good or neutral, their spectral form appears angelic or fey (your choice). If you are evil, they appear fiendish. When you cast this spell, you can designate creatures to be unaffected by it. Any other creature’s Speed is halved in the Emanation, and whenever the Emanation enters a creature’s space and whenever a creature enters the Emanation or ends its turn there, the creature must make a Wisdom saving throw. On a failed save, the creature takes 3d8 Radiant damage (if you are good or neutral) or 3d8 Necrotic damage (if you are evil). On a successful save, the creature takes half as much damage. A creature makes this save only once per turn. Using a Higher-Level Spell Slot. The damage increases by 1d8 for each spell slot level above 3.</x:t>
        </x:is>
      </x:c>
      <x:c r="J306" s="2" t="inlineStr">
        <x:is>
          <x:t xml:space="preserve">SRD 5.2.1</x:t>
        </x:is>
      </x:c>
      <x:c r="K306" s="2" t="inlineStr">
        <x:is>
          <x:t xml:space="preserve">pp. 107-175</x:t>
        </x:is>
      </x:c>
    </x:row>
    <x:row r="307" ht="18" customHeight="1">
      <x:c r="A307" s="2" t="inlineStr">
        <x:is>
          <x:t xml:space="preserve">Spiritual Weapon</x:t>
        </x:is>
      </x:c>
      <x:c r="B307" s="2" t="inlineStr">
        <x:is>
          <x:t xml:space="preserve">2</x:t>
        </x:is>
      </x:c>
      <x:c r="C307" s="2" t="inlineStr">
        <x:is>
          <x:t xml:space="preserve">Evocation</x:t>
        </x:is>
      </x:c>
      <x:c r="D307" s="2" t="inlineStr">
        <x:is>
          <x:t xml:space="preserve">Cleric</x:t>
        </x:is>
      </x:c>
      <x:c r="E307" s="2" t="inlineStr">
        <x:is>
          <x:t xml:space="preserve">Bonus Action</x:t>
        </x:is>
      </x:c>
      <x:c r="F307" s="2" t="inlineStr">
        <x:is>
          <x:t xml:space="preserve">60 feet</x:t>
        </x:is>
      </x:c>
      <x:c r="G307" s="2" t="inlineStr">
        <x:is>
          <x:t xml:space="preserve">V, S</x:t>
        </x:is>
      </x:c>
      <x:c r="H307" s="2" t="inlineStr">
        <x:is>
          <x:t xml:space="preserve">Concentration, up to 1 minute</x:t>
        </x:is>
      </x:c>
      <x:c r="I307" s="2" t="inlineStr">
        <x:is>
          <x:t xml:space="preserve">You create a floating, spectral force that resembles a weapon of your choice and lasts for the duration. The force appears within range in a space of your choice, and you can immediately make one melee spell attack against one creature within 5 feet of the force. On a hit, the target takes Force damage equal to 1d8 plus your spellcasting ability modifier. As a Bonus Action on your later turns, you can move the force up to 20 feet and repeat the attack against a creature within 5 feet of it. Using a Higher-Level Spell Slot. The damage increases by 1d8 for every slot level above 2.</x:t>
        </x:is>
      </x:c>
      <x:c r="J307" s="2" t="inlineStr">
        <x:is>
          <x:t xml:space="preserve">SRD 5.2.1</x:t>
        </x:is>
      </x:c>
      <x:c r="K307" s="2" t="inlineStr">
        <x:is>
          <x:t xml:space="preserve">pp. 107-175</x:t>
        </x:is>
      </x:c>
    </x:row>
    <x:row r="308" ht="18" customHeight="1">
      <x:c r="A308" s="2" t="inlineStr">
        <x:is>
          <x:t xml:space="preserve">Starry Wisp</x:t>
        </x:is>
      </x:c>
      <x:c r="B308" s="2" t="inlineStr">
        <x:is>
          <x:t xml:space="preserve">Cantrip</x:t>
        </x:is>
      </x:c>
      <x:c r="C308" s="2" t="inlineStr">
        <x:is>
          <x:t xml:space="preserve">Evocation</x:t>
        </x:is>
      </x:c>
      <x:c r="D308" s="2" t="inlineStr">
        <x:is>
          <x:t xml:space="preserve">Bard, Druid</x:t>
        </x:is>
      </x:c>
      <x:c r="E308" s="2" t="inlineStr">
        <x:is>
          <x:t xml:space="preserve">Action</x:t>
        </x:is>
      </x:c>
      <x:c r="F308" s="2" t="inlineStr">
        <x:is>
          <x:t xml:space="preserve">60 feet</x:t>
        </x:is>
      </x:c>
      <x:c r="G308" s="2" t="inlineStr">
        <x:is>
          <x:t xml:space="preserve">V, S</x:t>
        </x:is>
      </x:c>
      <x:c r="H308" s="2" t="inlineStr">
        <x:is>
          <x:t xml:space="preserve">Instantaneous</x:t>
        </x:is>
      </x:c>
      <x:c r="I308" s="2" t="inlineStr">
        <x:is>
          <x:t xml:space="preserve">You launch a mote of light at one creature or object within range. Make a ranged spell attack against the target. On a hit, the target takes 1d8 Radiant damage, and until the end of your next turn, it emits Dim Light in a 10-foot radius and can’t benefit from the</x:t>
        </x:is>
      </x:c>
      <x:c r="J308" s="2" t="inlineStr">
        <x:is>
          <x:t xml:space="preserve">SRD 5.2.1</x:t>
        </x:is>
      </x:c>
      <x:c r="K308" s="2" t="inlineStr">
        <x:is>
          <x:t xml:space="preserve">pp. 107-175</x:t>
        </x:is>
      </x:c>
    </x:row>
    <x:row r="309" ht="18" customHeight="1">
      <x:c r="A309" s="2" t="inlineStr">
        <x:is>
          <x:t xml:space="preserve">Invisible condition.</x:t>
        </x:is>
      </x:c>
      <x:c r="B309" s="2" t="inlineStr">
        <x:is>
          <x:t xml:space="preserve">Cantrip</x:t>
        </x:is>
      </x:c>
      <x:c r="C309" s="2" t="inlineStr">
        <x:is>
          <x:t xml:space="preserve"/>
        </x:is>
      </x:c>
      <x:c r="D309" s="2" t="inlineStr">
        <x:is>
          <x:t xml:space="preserve"/>
        </x:is>
      </x:c>
      <x:c r="E309" s="2" t="inlineStr">
        <x:is>
          <x:t xml:space="preserve"/>
        </x:is>
      </x:c>
      <x:c r="F309" s="2" t="inlineStr">
        <x:is>
          <x:t xml:space="preserve"/>
        </x:is>
      </x:c>
      <x:c r="G309" s="2" t="inlineStr">
        <x:is>
          <x:t xml:space="preserve"/>
        </x:is>
      </x:c>
      <x:c r="H309" s="2" t="inlineStr">
        <x:is>
          <x:t xml:space="preserve"/>
        </x:is>
      </x:c>
      <x:c r="I309" s="2" t="inlineStr">
        <x:is>
          <x:t xml:space="preserve">Invisible condition. Cantrip Upgrade. The damage increases by 1d8 when you reach levels 5 (2d8), 11 (3d8), and 17 (4d8).</x:t>
        </x:is>
      </x:c>
      <x:c r="J309" s="2" t="inlineStr">
        <x:is>
          <x:t xml:space="preserve">SRD 5.2.1</x:t>
        </x:is>
      </x:c>
      <x:c r="K309" s="2" t="inlineStr">
        <x:is>
          <x:t xml:space="preserve">pp. 107-175</x:t>
        </x:is>
      </x:c>
    </x:row>
    <x:row r="310" ht="18" customHeight="1">
      <x:c r="A310" s="2" t="inlineStr">
        <x:is>
          <x:t xml:space="preserve">Stinking Cloud</x:t>
        </x:is>
      </x:c>
      <x:c r="B310" s="2" t="inlineStr">
        <x:is>
          <x:t xml:space="preserve">3</x:t>
        </x:is>
      </x:c>
      <x:c r="C310" s="2" t="inlineStr">
        <x:is>
          <x:t xml:space="preserve">Conjuration</x:t>
        </x:is>
      </x:c>
      <x:c r="D310" s="2" t="inlineStr">
        <x:is>
          <x:t xml:space="preserve">Bard, Sorcerer, Wizard</x:t>
        </x:is>
      </x:c>
      <x:c r="E310" s="2" t="inlineStr">
        <x:is>
          <x:t xml:space="preserve">Action</x:t>
        </x:is>
      </x:c>
      <x:c r="F310" s="2" t="inlineStr">
        <x:is>
          <x:t xml:space="preserve">90 feet</x:t>
        </x:is>
      </x:c>
      <x:c r="G310" s="2" t="inlineStr">
        <x:is>
          <x:t xml:space="preserve">V, S, M (a rotten egg)</x:t>
        </x:is>
      </x:c>
      <x:c r="H310" s="2" t="inlineStr">
        <x:is>
          <x:t xml:space="preserve">Concentration, up to 1 minute</x:t>
        </x:is>
      </x:c>
      <x:c r="I310" s="2" t="inlineStr">
        <x:is>
          <x:t xml:space="preserve">You create a 20-foot-radius Sphere of yellow, nauseating gas centered on a point within range. The cloud is Heavily Obscured. The cloud lingers in the air for the duration or until a strong wind (such as the one created by Gust of Wind) disperses it. Each creature that starts its turn in the Sphere must succeed on a Constitution saving throw or have the Poisoned condition until the end of the current turn. While Poisoned in this way, the creature can’t take an action or a Bonus Action.</x:t>
        </x:is>
      </x:c>
      <x:c r="J310" s="2" t="inlineStr">
        <x:is>
          <x:t xml:space="preserve">SRD 5.2.1</x:t>
        </x:is>
      </x:c>
      <x:c r="K310" s="2" t="inlineStr">
        <x:is>
          <x:t xml:space="preserve">pp. 107-175</x:t>
        </x:is>
      </x:c>
    </x:row>
    <x:row r="311" ht="18" customHeight="1">
      <x:c r="A311" s="2" t="inlineStr">
        <x:is>
          <x:t xml:space="preserve">Stone Shape</x:t>
        </x:is>
      </x:c>
      <x:c r="B311" s="2" t="inlineStr">
        <x:is>
          <x:t xml:space="preserve">4</x:t>
        </x:is>
      </x:c>
      <x:c r="C311" s="2" t="inlineStr">
        <x:is>
          <x:t xml:space="preserve">Transmutation</x:t>
        </x:is>
      </x:c>
      <x:c r="D311" s="2" t="inlineStr">
        <x:is>
          <x:t xml:space="preserve">Cleric, Druid, Wizard</x:t>
        </x:is>
      </x:c>
      <x:c r="E311" s="2" t="inlineStr">
        <x:is>
          <x:t xml:space="preserve">Action</x:t>
        </x:is>
      </x:c>
      <x:c r="F311" s="2" t="inlineStr">
        <x:is>
          <x:t xml:space="preserve">Touch</x:t>
        </x:is>
      </x:c>
      <x:c r="G311" s="2" t="inlineStr">
        <x:is>
          <x:t xml:space="preserve">V, S, M (soft clay)</x:t>
        </x:is>
      </x:c>
      <x:c r="H311" s="2" t="inlineStr">
        <x:is>
          <x:t xml:space="preserve">Instantaneous</x:t>
        </x:is>
      </x:c>
      <x:c r="I311" s="2" t="inlineStr">
        <x:is>
          <x:t xml:space="preserve">You touch a stone object of Medium size or smaller or a section of stone no more than 5 feet in any dimension and form it into any shape you like. For example, you could shape a large rock into a weapon, statue, or coffer, or you could make a small passage through a wall that is 5 feet thick. You could also shape a stone door or its frame to seal the door shut. The object you create can have up to two hinges and a latch, but finer mechanical detail isn’t possible.</x:t>
        </x:is>
      </x:c>
      <x:c r="J311" s="2" t="inlineStr">
        <x:is>
          <x:t xml:space="preserve">SRD 5.2.1</x:t>
        </x:is>
      </x:c>
      <x:c r="K311" s="2" t="inlineStr">
        <x:is>
          <x:t xml:space="preserve">pp. 107-175</x:t>
        </x:is>
      </x:c>
    </x:row>
    <x:row r="312" ht="18" customHeight="1">
      <x:c r="A312" s="2" t="inlineStr">
        <x:is>
          <x:t xml:space="preserve">Stoneskin</x:t>
        </x:is>
      </x:c>
      <x:c r="B312" s="2" t="inlineStr">
        <x:is>
          <x:t xml:space="preserve">4</x:t>
        </x:is>
      </x:c>
      <x:c r="C312" s="2" t="inlineStr">
        <x:is>
          <x:t xml:space="preserve">Transmutation</x:t>
        </x:is>
      </x:c>
      <x:c r="D312" s="2" t="inlineStr">
        <x:is>
          <x:t xml:space="preserve"/>
        </x:is>
      </x:c>
      <x:c r="E312" s="2" t="inlineStr">
        <x:is>
          <x:t xml:space="preserve">Action</x:t>
        </x:is>
      </x:c>
      <x:c r="F312" s="2" t="inlineStr">
        <x:is>
          <x:t xml:space="preserve">Touch</x:t>
        </x:is>
      </x:c>
      <x:c r="G312" s="2" t="inlineStr">
        <x:is>
          <x:t xml:space="preserve">V, S, M (diamond dust worth 100+ GP,</x:t>
        </x:is>
      </x:c>
      <x:c r="H312" s="2" t="inlineStr">
        <x:is>
          <x:t xml:space="preserve">Concentration, up to 1 hour</x:t>
        </x:is>
      </x:c>
      <x:c r="I312" s="2" t="inlineStr">
        <x:is>
          <x:t xml:space="preserve">Until the spell ends, one willing creature you touch has Resistance to Bludgeoning, Piercing, and Slashing damage.</x:t>
        </x:is>
      </x:c>
      <x:c r="J312" s="2" t="inlineStr">
        <x:is>
          <x:t xml:space="preserve">SRD 5.2.1</x:t>
        </x:is>
      </x:c>
      <x:c r="K312" s="2" t="inlineStr">
        <x:is>
          <x:t xml:space="preserve">pp. 107-175</x:t>
        </x:is>
      </x:c>
    </x:row>
    <x:row r="313" ht="18" customHeight="1">
      <x:c r="A313" s="2" t="inlineStr">
        <x:is>
          <x:t xml:space="preserve">Storm of Vengeance</x:t>
        </x:is>
      </x:c>
      <x:c r="B313" s="2" t="inlineStr">
        <x:is>
          <x:t xml:space="preserve">9</x:t>
        </x:is>
      </x:c>
      <x:c r="C313" s="2" t="inlineStr">
        <x:is>
          <x:t xml:space="preserve">Conjuration</x:t>
        </x:is>
      </x:c>
      <x:c r="D313" s="2" t="inlineStr">
        <x:is>
          <x:t xml:space="preserve">Druid</x:t>
        </x:is>
      </x:c>
      <x:c r="E313" s="2" t="inlineStr">
        <x:is>
          <x:t xml:space="preserve">Action</x:t>
        </x:is>
      </x:c>
      <x:c r="F313" s="2" t="inlineStr">
        <x:is>
          <x:t xml:space="preserve">1 mile</x:t>
        </x:is>
      </x:c>
      <x:c r="G313" s="2" t="inlineStr">
        <x:is>
          <x:t xml:space="preserve">V, S</x:t>
        </x:is>
      </x:c>
      <x:c r="H313" s="2" t="inlineStr">
        <x:is>
          <x:t xml:space="preserve">Concentration, up to 1 minute</x:t>
        </x:is>
      </x:c>
      <x:c r="I313" s="2" t="inlineStr">
        <x:is>
          <x:t xml:space="preserve">A churning storm cloud forms for the duration, centered on a point within range and spreading to a radius of 300 feet. Each creature under the cloud when it appears must succeed on a Constitution saving throw or take 2d6 Thunder damage and have the Deafened condition for the duration. At the start of each of your later turns, the storm produces different effects, as detailed below. Turn 2. Acidic rain falls. Each creature and object under the cloud takes 4d6 Acid damage. Turn 3. You call six bolts of lightning from the cloud to strike six different creatures or objects beneath it. Each target makes a Dexterity saving throw, taking 10d6 Lightning damage on a failed save or half as much damage on a successful one. Turn 4. Hailstones rain down. Each creature under the cloud takes 2d6 Bludgeoning damage. Turns 5–10. Gusts and freezing rain assail the area under the cloud. Each creature there takes 1d6 Cold damage. Until the spell ends, the area is Difficult Terrain and Heavily Obscured, ranged attacks with weapons are impossible there, and strong wind blows through the area.</x:t>
        </x:is>
      </x:c>
      <x:c r="J313" s="2" t="inlineStr">
        <x:is>
          <x:t xml:space="preserve">SRD 5.2.1</x:t>
        </x:is>
      </x:c>
      <x:c r="K313" s="2" t="inlineStr">
        <x:is>
          <x:t xml:space="preserve">pp. 107-175</x:t>
        </x:is>
      </x:c>
    </x:row>
    <x:row r="314" ht="18" customHeight="1">
      <x:c r="A314" s="2" t="inlineStr">
        <x:is>
          <x:t xml:space="preserve">Suggestion</x:t>
        </x:is>
      </x:c>
      <x:c r="B314" s="2" t="inlineStr">
        <x:is>
          <x:t xml:space="preserve">2</x:t>
        </x:is>
      </x:c>
      <x:c r="C314" s="2" t="inlineStr">
        <x:is>
          <x:t xml:space="preserve">Enchantment</x:t>
        </x:is>
      </x:c>
      <x:c r="D314" s="2" t="inlineStr">
        <x:is>
          <x:t xml:space="preserve"/>
        </x:is>
      </x:c>
      <x:c r="E314" s="2" t="inlineStr">
        <x:is>
          <x:t xml:space="preserve">Action</x:t>
        </x:is>
      </x:c>
      <x:c r="F314" s="2" t="inlineStr">
        <x:is>
          <x:t xml:space="preserve">30 feet</x:t>
        </x:is>
      </x:c>
      <x:c r="G314" s="2" t="inlineStr">
        <x:is>
          <x:t xml:space="preserve">V, M (a drop of honey)</x:t>
        </x:is>
      </x:c>
      <x:c r="H314" s="2" t="inlineStr">
        <x:is>
          <x:t xml:space="preserve">Concentration, up to 8 hours</x:t>
        </x:is>
      </x:c>
      <x:c r="I314" s="2" t="inlineStr">
        <x:is>
          <x:t xml:space="preserve">You suggest a course of activity—described in no more than 25 words—to one creature you can see within range that can hear and understand you. The suggestion must sound achievable and not involve anything that would obviously deal damage to the target or its allies. For example, you could say, “Fetch the key to the cult’s treasure vault, and give the key to me.” Or you could say, “Stop fighting, leave this library peacefully, and don’t return.” The target must succeed on a Wisdom saving throw or have the Charmed condition for the duration or until you or your allies deal damage to the target. The Charmed target pursues the suggestion to the best of its ability. The suggested activity can continue for the entire duration, but if the suggested activity can be completed in a shorter time, the spell ends for the target upon completing it.</x:t>
        </x:is>
      </x:c>
      <x:c r="J314" s="2" t="inlineStr">
        <x:is>
          <x:t xml:space="preserve">SRD 5.2.1</x:t>
        </x:is>
      </x:c>
      <x:c r="K314" s="2" t="inlineStr">
        <x:is>
          <x:t xml:space="preserve">pp. 107-175</x:t>
        </x:is>
      </x:c>
    </x:row>
    <x:row r="315" ht="18" customHeight="1">
      <x:c r="A315" s="2" t="inlineStr">
        <x:is>
          <x:t xml:space="preserve">Summon Dragon</x:t>
        </x:is>
      </x:c>
      <x:c r="B315" s="2" t="inlineStr">
        <x:is>
          <x:t xml:space="preserve">5</x:t>
        </x:is>
      </x:c>
      <x:c r="C315" s="2" t="inlineStr">
        <x:is>
          <x:t xml:space="preserve">Conjuration</x:t>
        </x:is>
      </x:c>
      <x:c r="D315" s="2" t="inlineStr">
        <x:is>
          <x:t xml:space="preserve">Wizard</x:t>
        </x:is>
      </x:c>
      <x:c r="E315" s="2" t="inlineStr">
        <x:is>
          <x:t xml:space="preserve">Action</x:t>
        </x:is>
      </x:c>
      <x:c r="F315" s="2" t="inlineStr">
        <x:is>
          <x:t xml:space="preserve">60 feet</x:t>
        </x:is>
      </x:c>
      <x:c r="G315" s="2" t="inlineStr">
        <x:is>
          <x:t xml:space="preserve">V, S, M (an object with the image of a</x:t>
        </x:is>
      </x:c>
      <x:c r="H315" s="2" t="inlineStr">
        <x:is>
          <x:t xml:space="preserve">Concentration, up to 1 hour</x:t>
        </x:is>
      </x:c>
      <x:c r="I315" s="2" t="inlineStr">
        <x:is>
          <x:t xml:space="preserve">You call forth a Dragon spirit. It manifests in an unoccupied space that you can see within range and uses the Draconic Spirit stat block. The creature disappears when it drops to 0 Hit Points or when the spell ends. The creature is an ally to you and your allies. In combat, the creature shares your Initiative count, but it takes its turn immediately after yours. It obeys your verbal commands (no action required by you). If you don’t issue any, it takes the Dodge action and uses its movement to avoid danger. Using a Higher-Level Spell Slot. Use the spell slot’s level for the spell’s level in the stat block. Draconic Spirit Large Dragon, Neutral AC 14 + the spell’s level HP 50 + 10 for each spell level above 5 Speed 30 ft., Fly 60 ft., Swim 30 ft. MOD SAVE MOD SAVE MOD SAVE Str 19 +4 +4 Dex 14 +2 +2 Con 17 +3 +3 Int 10 +0 +0 Wis 14 +2 +2 Cha 14 +2 +2 Resistances Acid, Cold, Fire, Lightning, Poison Immunities Charmed, Frightened, Poisoned Senses Blindsight 30 ft., Darkvision 60 ft.; Passive Perception 12 Languages Draconic, understands the languages you know CR None (XP 0; PB equals your Proficiency Bonus) Traits Shared Resistances. When you summon the spirit, choose one of its Resistances. You have Resistance to the chosen damage type until the spell ends. Actions Multiattack. The spirit makes a number of Rend attacks equal to half the spell’s level (round down), and it uses Breath Weapon. Rend. Melee Attack Roll: Bonus equals your spell attack modifier, reach 10 feet. Hit: 1d6 + 4 + the spell’s level Piercing damage. Breath Weapon. Dexterity Saving Throw: DC equals your spell save DC, each creature in a 30-foot Cone. Failure: 2d6 damage of a type this spirit has Resistance to (your choice when you cast the spell). Success: Half damage.</x:t>
        </x:is>
      </x:c>
      <x:c r="J315" s="2" t="inlineStr">
        <x:is>
          <x:t xml:space="preserve">SRD 5.2.1</x:t>
        </x:is>
      </x:c>
      <x:c r="K315" s="2" t="inlineStr">
        <x:is>
          <x:t xml:space="preserve">pp. 107-175</x:t>
        </x:is>
      </x:c>
    </x:row>
    <x:row r="316" ht="18" customHeight="1">
      <x:c r="A316" s="2" t="inlineStr">
        <x:is>
          <x:t xml:space="preserve">Sunbeam</x:t>
        </x:is>
      </x:c>
      <x:c r="B316" s="2" t="inlineStr">
        <x:is>
          <x:t xml:space="preserve">6</x:t>
        </x:is>
      </x:c>
      <x:c r="C316" s="2" t="inlineStr">
        <x:is>
          <x:t xml:space="preserve">Evocation</x:t>
        </x:is>
      </x:c>
      <x:c r="D316" s="2" t="inlineStr">
        <x:is>
          <x:t xml:space="preserve">Cleric, Druid, Sorcerer, Wizard</x:t>
        </x:is>
      </x:c>
      <x:c r="E316" s="2" t="inlineStr">
        <x:is>
          <x:t xml:space="preserve">Action</x:t>
        </x:is>
      </x:c>
      <x:c r="F316" s="2" t="inlineStr">
        <x:is>
          <x:t xml:space="preserve">Self</x:t>
        </x:is>
      </x:c>
      <x:c r="G316" s="2" t="inlineStr">
        <x:is>
          <x:t xml:space="preserve">V, S, M (a magnifying glass)</x:t>
        </x:is>
      </x:c>
      <x:c r="H316" s="2" t="inlineStr">
        <x:is>
          <x:t xml:space="preserve">Concentration, up to 1 minute</x:t>
        </x:is>
      </x:c>
      <x:c r="I316" s="2" t="inlineStr">
        <x:is>
          <x:t xml:space="preserve">You launch a sunbeam in a 5-foot-wide, 60-foot-long Line. Each creature in the Line makes a Constitution saving throw. On a failed save, a creature takes 6d8 Radiant damage and has the Blinded condition until the start of your next turn. On a successful save, it takes half as much damage only. Until the spell ends, you can take a Magic action to create a new Line of radiance. For the duration, a mote of brilliant radiance shines above you. It sheds Bright Light in a 30-foot radius and Dim Light for an additional 30 feet. This light is sunlight.</x:t>
        </x:is>
      </x:c>
      <x:c r="J316" s="2" t="inlineStr">
        <x:is>
          <x:t xml:space="preserve">SRD 5.2.1</x:t>
        </x:is>
      </x:c>
      <x:c r="K316" s="2" t="inlineStr">
        <x:is>
          <x:t xml:space="preserve">pp. 107-175</x:t>
        </x:is>
      </x:c>
    </x:row>
    <x:row r="317" ht="18" customHeight="1">
      <x:c r="A317" s="2" t="inlineStr">
        <x:is>
          <x:t xml:space="preserve">Sunburst</x:t>
        </x:is>
      </x:c>
      <x:c r="B317" s="2" t="inlineStr">
        <x:is>
          <x:t xml:space="preserve">8</x:t>
        </x:is>
      </x:c>
      <x:c r="C317" s="2" t="inlineStr">
        <x:is>
          <x:t xml:space="preserve">Evocation</x:t>
        </x:is>
      </x:c>
      <x:c r="D317" s="2" t="inlineStr">
        <x:is>
          <x:t xml:space="preserve">Cleric, Druid, Sorcerer, Wizard</x:t>
        </x:is>
      </x:c>
      <x:c r="E317" s="2" t="inlineStr">
        <x:is>
          <x:t xml:space="preserve">Action</x:t>
        </x:is>
      </x:c>
      <x:c r="F317" s="2" t="inlineStr">
        <x:is>
          <x:t xml:space="preserve">150 feet</x:t>
        </x:is>
      </x:c>
      <x:c r="G317" s="2" t="inlineStr">
        <x:is>
          <x:t xml:space="preserve">V, S, M (a piece of sunstone)</x:t>
        </x:is>
      </x:c>
      <x:c r="H317" s="2" t="inlineStr">
        <x:is>
          <x:t xml:space="preserve">Instantaneous</x:t>
        </x:is>
      </x:c>
      <x:c r="I317" s="2" t="inlineStr">
        <x:is>
          <x:t xml:space="preserve">Brilliant sunlight flashes in a 60-foot-radius Sphere centered on a point you choose within range. Each creature in the Sphere makes a Constitution saving throw. On a failed save, a creature takes 12d6 Radiant damage and has the Blinded condition for 1 minute. On a successful save, it takes half as much damage only. A creature Blinded by this spell makes another Constitution saving throw at the end of each of its turns, ending the effect on itself on a success. This spell dispels Darkness in its area that was created by any spell.</x:t>
        </x:is>
      </x:c>
      <x:c r="J317" s="2" t="inlineStr">
        <x:is>
          <x:t xml:space="preserve">SRD 5.2.1</x:t>
        </x:is>
      </x:c>
      <x:c r="K317" s="2" t="inlineStr">
        <x:is>
          <x:t xml:space="preserve">pp. 107-175</x:t>
        </x:is>
      </x:c>
    </x:row>
    <x:row r="318" ht="18" customHeight="1">
      <x:c r="A318" s="2" t="inlineStr">
        <x:is>
          <x:t xml:space="preserve">Symbol</x:t>
        </x:is>
      </x:c>
      <x:c r="B318" s="2" t="inlineStr">
        <x:is>
          <x:t xml:space="preserve">7</x:t>
        </x:is>
      </x:c>
      <x:c r="C318" s="2" t="inlineStr">
        <x:is>
          <x:t xml:space="preserve">Abjuration</x:t>
        </x:is>
      </x:c>
      <x:c r="D318" s="2" t="inlineStr">
        <x:is>
          <x:t xml:space="preserve">Bard, Cleric, Druid, Wizard</x:t>
        </x:is>
      </x:c>
      <x:c r="E318" s="2" t="inlineStr">
        <x:is>
          <x:t xml:space="preserve">1 minute</x:t>
        </x:is>
      </x:c>
      <x:c r="F318" s="2" t="inlineStr">
        <x:is>
          <x:t xml:space="preserve">Touch</x:t>
        </x:is>
      </x:c>
      <x:c r="G318" s="2" t="inlineStr">
        <x:is>
          <x:t xml:space="preserve">V, S, M (powdered diamond worth 1,000+</x:t>
        </x:is>
      </x:c>
      <x:c r="H318" s="2" t="inlineStr">
        <x:is>
          <x:t xml:space="preserve">Until dispelled or triggered</x:t>
        </x:is>
      </x:c>
      <x:c r="I318" s="2" t="inlineStr">
        <x:is>
          <x:t xml:space="preserve">You inscribe a harmful glyph either on a surface (such as a section of floor or wall) or within an object that can be closed (such as a book or chest). The glyph can cover an area no larger than 10 feet in diameter. If you choose an object, it must remain in place; if it is moved more than 10 feet from where you cast this spell, the glyph is broken, and the spell ends without being triggered. The glyph is nearly imperceptible and requires a successful Wisdom (Perception) check against your spell save DC to notice. When you inscribe the glyph, you set its trigger and choose which effect the symbol bears: Death, Discord, Fear, Pain, Sleep, or Stunning. Each one is explained below. Set the Trigger. You decide what triggers the glyph when you cast the spell. For glyphs inscribed on a surface, common triggers include touching or stepping on the glyph, removing another object covering it, or approaching within a certain distance of it. For glyphs inscribed within an object, common triggers include opening that object or seeing the glyph. You can refine the trigger so that only creatures of certain types activate it (for example, the glyph could be set to affect Aberrations). You can also set conditions for creatures that don’t trigger the glyph, such as those who say a certain password. Once triggered, the glyph glows, filling a 60-foot-radius Sphere with Dim Light for 10 minutes, after which time the spell ends. Each creature in the Sphere when the glyph activates is targeted by its effect, as is a creature that enters the Sphere for the first time on a turn or ends its turn there. A creature is targeted only once per turn. Death. Each target makes a Constitution saving throw, taking 10d10 Necrotic damage on a failed save or half as much damage on a successful save. Discord. Each target makes a Wisdom saving throw. On a failed save, a target argues with other creatures for 1 minute. During this time, it is incapable of meaningful communication and has Disadvantage on attack rolls and ability checks. Fear. Each target must succeed on a Wisdom saving throw or have the Frightened condition for 1 minute. While Frightened, the target must move at least 30 feet away from the glyph on each of its turns, if able. Pain. Each target must succeed on a Constitution saving throw or have the Incapacitated condition for 1 minute. Sleep. Each target must succeed on a Wisdom saving throw or have the Unconscious condition for 10 minutes. A creature awakens if it takes damage or </x:t>
        </x:is>
      </x:c>
      <x:c r="J318" s="2" t="inlineStr">
        <x:is>
          <x:t xml:space="preserve">SRD 5.2.1</x:t>
        </x:is>
      </x:c>
      <x:c r="K318" s="2" t="inlineStr">
        <x:is>
          <x:t xml:space="preserve">pp. 107-175</x:t>
        </x:is>
      </x:c>
    </x:row>
    <x:row r="319" ht="18" customHeight="1">
      <x:c r="A319" s="2" t="inlineStr">
        <x:is>
          <x:t xml:space="preserve">Telekinesis</x:t>
        </x:is>
      </x:c>
      <x:c r="B319" s="2" t="inlineStr">
        <x:is>
          <x:t xml:space="preserve">5</x:t>
        </x:is>
      </x:c>
      <x:c r="C319" s="2" t="inlineStr">
        <x:is>
          <x:t xml:space="preserve">Transmutation</x:t>
        </x:is>
      </x:c>
      <x:c r="D319" s="2" t="inlineStr">
        <x:is>
          <x:t xml:space="preserve">Sorcerer, Wizard</x:t>
        </x:is>
      </x:c>
      <x:c r="E319" s="2" t="inlineStr">
        <x:is>
          <x:t xml:space="preserve">Action</x:t>
        </x:is>
      </x:c>
      <x:c r="F319" s="2" t="inlineStr">
        <x:is>
          <x:t xml:space="preserve">60 feet</x:t>
        </x:is>
      </x:c>
      <x:c r="G319" s="2" t="inlineStr">
        <x:is>
          <x:t xml:space="preserve">V, S</x:t>
        </x:is>
      </x:c>
      <x:c r="H319" s="2" t="inlineStr">
        <x:is>
          <x:t xml:space="preserve">Concentration, up to 10 minutes</x:t>
        </x:is>
      </x:c>
      <x:c r="I319" s="2" t="inlineStr">
        <x:is>
          <x:t xml:space="preserve">You gain the ability to move or manipulate creatures or objects by thought. When you cast the spell and as a Magic action on your later turns before the spell ends, you can exert your will on one creature or object that you can see within range, causing the appropriate effect below. You can affect the same target round after round or choose a new one at any time. If you switch targets, the prior target is no longer affected by the spell. Creature. You can try to move a Huge or smaller creature. The target must succeed on a Strength saving throw, or you move it up to 30 feet in any direction within the spell’s range. Until the end of your next turn, the creature has the Restrained condition, and if you lift it into the air, it is suspended there. It falls at the end of your next turn unless you use this option on it again and it fails the save. Object. You can try to move a Huge or smaller object. If the object isn’t being worn or carried, you automatically move it up to 30 feet in any direction within the spell’s range. If the object is worn or carried by a creature, that creature must succeed on a Strength saving throw, or you pull the object away and move it up to 30 feet in any direction within the spell’s range. You can exert fine control on objects with your telekinetic grip, such as manipulating a simple tool,</x:t>
        </x:is>
      </x:c>
      <x:c r="J319" s="2" t="inlineStr">
        <x:is>
          <x:t xml:space="preserve">SRD 5.2.1</x:t>
        </x:is>
      </x:c>
      <x:c r="K319" s="2" t="inlineStr">
        <x:is>
          <x:t xml:space="preserve">pp. 107-175</x:t>
        </x:is>
      </x:c>
    </x:row>
    <x:row r="320" ht="18" customHeight="1">
      <x:c r="A320" s="2" t="inlineStr">
        <x:is>
          <x:t xml:space="preserve">Telepathic Bond</x:t>
        </x:is>
      </x:c>
      <x:c r="B320" s="2" t="inlineStr">
        <x:is>
          <x:t xml:space="preserve">5</x:t>
        </x:is>
      </x:c>
      <x:c r="C320" s="2" t="inlineStr">
        <x:is>
          <x:t xml:space="preserve">Divination</x:t>
        </x:is>
      </x:c>
      <x:c r="D320" s="2" t="inlineStr">
        <x:is>
          <x:t xml:space="preserve">Bard, Wizard</x:t>
        </x:is>
      </x:c>
      <x:c r="E320" s="2" t="inlineStr">
        <x:is>
          <x:t xml:space="preserve">Action or Ritual</x:t>
        </x:is>
      </x:c>
      <x:c r="F320" s="2" t="inlineStr">
        <x:is>
          <x:t xml:space="preserve">30 feet</x:t>
        </x:is>
      </x:c>
      <x:c r="G320" s="2" t="inlineStr">
        <x:is>
          <x:t xml:space="preserve">V, S, M (two eggs)</x:t>
        </x:is>
      </x:c>
      <x:c r="H320" s="2" t="inlineStr">
        <x:is>
          <x:t xml:space="preserve">1 hour</x:t>
        </x:is>
      </x:c>
      <x:c r="I320" s="2" t="inlineStr">
        <x:is>
          <x:t xml:space="preserve">You forge a telepathic link among up to eight willing creatures of your choice within range, psychically linking each creature to all the others for the duration. Creatures that can’t communicate in any languages aren’t affected by this spell. Until the spell ends, the targets can communicate telepathically through the bond whether or not they share a language. The communication is possible over any distance, though it can’t extend to other planes of existence.</x:t>
        </x:is>
      </x:c>
      <x:c r="J320" s="2" t="inlineStr">
        <x:is>
          <x:t xml:space="preserve">SRD 5.2.1</x:t>
        </x:is>
      </x:c>
      <x:c r="K320" s="2" t="inlineStr">
        <x:is>
          <x:t xml:space="preserve">pp. 107-175</x:t>
        </x:is>
      </x:c>
    </x:row>
    <x:row r="321" ht="18" customHeight="1">
      <x:c r="A321" s="2" t="inlineStr">
        <x:is>
          <x:t xml:space="preserve">Teleport</x:t>
        </x:is>
      </x:c>
      <x:c r="B321" s="2" t="inlineStr">
        <x:is>
          <x:t xml:space="preserve">7</x:t>
        </x:is>
      </x:c>
      <x:c r="C321" s="2" t="inlineStr">
        <x:is>
          <x:t xml:space="preserve">Conjuration</x:t>
        </x:is>
      </x:c>
      <x:c r="D321" s="2" t="inlineStr">
        <x:is>
          <x:t xml:space="preserve">Bard, Sorcerer, Wizard</x:t>
        </x:is>
      </x:c>
      <x:c r="E321" s="2" t="inlineStr">
        <x:is>
          <x:t xml:space="preserve">Action</x:t>
        </x:is>
      </x:c>
      <x:c r="F321" s="2" t="inlineStr">
        <x:is>
          <x:t xml:space="preserve">10 feet</x:t>
        </x:is>
      </x:c>
      <x:c r="G321" s="2" t="inlineStr">
        <x:is>
          <x:t xml:space="preserve">V</x:t>
        </x:is>
      </x:c>
      <x:c r="H321" s="2" t="inlineStr">
        <x:is>
          <x:t xml:space="preserve">Instantaneous</x:t>
        </x:is>
      </x:c>
      <x:c r="I321" s="2" t="inlineStr">
        <x:is>
          <x:t xml:space="preserve">This spell instantly transports you and up to eight willing creatures that you can see within range, or a single object that you can see within range, to a destination you select. If you target an object, it must be Large or smaller, and it can’t be held or carried by an unwilling creature. The destination you choose must be known to you, and it must be on the same plane of existence as you. Your familiarity with the destination determines whether you arrive there successfully. The GM rolls 1d100 and consults the Teleportation Outcome table and the explanations after it. Teleportation Outcome Familiarity Mishap Similar Area Off Target On Target Permanent circle — — — 01–00 Linked object — — — 01–00 Very familiar 01–05 06–13 14–24 25–00 Seen casually 01–33 34–43 44–53 54–00 Viewed once or described 01–43 44–53 54–73 74–00 False destination 01–50 51–00 — — Familiarity. Here are the meanings of the terms in the table’s Familiarity column: • “Permanent circle” means a permanent teleportation circle whose sigil sequence you know. • “Linked object” means you possess an object taken from the desired destination within the last six months, such as a book from a wizard’s library. • “Very familiar” is a place you have visited often, a place you have carefully studied, or a place you can see when you cast the spell. • “Seen casually” is a place you have seen more than once but with which you aren’t very familiar. • “Viewed once or described” is a place you have seen once, possibly using magic, or a place you know through someone else’s description, perhaps from a map. • “False destination” is a place that doesn’t exist. Perhaps you tried to scry an enemy’s sanctum but instead viewed an illusion, or you are attempting to teleport to a location that no longer exists. Mishap. The spell’s unpredictable magic results in a difficult journey. Each teleporting creature (or the target object) takes 3d10 Force damage, and the GM rerolls on the table to see where you wind up (multiple mishaps can occur, dealing damage each time). Similar Area. You and your group (or the target object) appear in a different area that’s visually or thematically similar to the target area. You appear in the closest similar place. If you are heading for your home laboratory, for example, you might appear in another person’s laboratory in the same city. Off Target. You and your group (or the target object) appear 2d12 miles away from the destination in a random direction. Roll 1d8 for the direction:</x:t>
        </x:is>
      </x:c>
      <x:c r="J321" s="2" t="inlineStr">
        <x:is>
          <x:t xml:space="preserve">SRD 5.2.1</x:t>
        </x:is>
      </x:c>
      <x:c r="K321" s="2" t="inlineStr">
        <x:is>
          <x:t xml:space="preserve">pp. 107-175</x:t>
        </x:is>
      </x:c>
    </x:row>
    <x:row r="322" ht="18" customHeight="1">
      <x:c r="A322" s="2" t="inlineStr">
        <x:is>
          <x:t xml:space="preserve">Teleportation Circle</x:t>
        </x:is>
      </x:c>
      <x:c r="B322" s="2" t="inlineStr">
        <x:is>
          <x:t xml:space="preserve">5</x:t>
        </x:is>
      </x:c>
      <x:c r="C322" s="2" t="inlineStr">
        <x:is>
          <x:t xml:space="preserve">Conjuration</x:t>
        </x:is>
      </x:c>
      <x:c r="D322" s="2" t="inlineStr">
        <x:is>
          <x:t xml:space="preserve">Bard, Sorcerer, Warlock, Wizard</x:t>
        </x:is>
      </x:c>
      <x:c r="E322" s="2" t="inlineStr">
        <x:is>
          <x:t xml:space="preserve">1 minute</x:t>
        </x:is>
      </x:c>
      <x:c r="F322" s="2" t="inlineStr">
        <x:is>
          <x:t xml:space="preserve">10 feet</x:t>
        </x:is>
      </x:c>
      <x:c r="G322" s="2" t="inlineStr">
        <x:is>
          <x:t xml:space="preserve">V, M (rare inks worth 50+ GP, which the</x:t>
        </x:is>
      </x:c>
      <x:c r="H322" s="2" t="inlineStr">
        <x:is>
          <x:t xml:space="preserve">1 round</x:t>
        </x:is>
      </x:c>
      <x:c r="I322" s="2" t="inlineStr">
        <x:is>
          <x:t xml:space="preserve">As you cast the spell, you draw a 5-foot-radius circle on the ground inscribed with sigils that link your location to a permanent teleportation circle of your choice whose sigil sequence you know and that is on the same plane of existence as you. A shimmering portal opens within the circle you drew and remains open until the end of your next turn. Any creature that enters the portal instantly appears within 5 feet of the destination circle or in the nearest unoccupied space if that space is occupied. Many major temples, guildhalls, and other important places have permanent teleportation circles. Each circle includes a unique sigil sequence—a string of runes arranged in a particular pattern. When you first gain the ability to cast this spell, you learn the sigil sequences for two destinations on the Material Plane, determined by the GM. You might learn additional sigil sequences during your adventures. You can commit a new sigil sequence to memory after studying it for 1 minute. You can create a permanent teleportation circle by casting this spell in the same location every day for 365 days.</x:t>
        </x:is>
      </x:c>
      <x:c r="J322" s="2" t="inlineStr">
        <x:is>
          <x:t xml:space="preserve">SRD 5.2.1</x:t>
        </x:is>
      </x:c>
      <x:c r="K322" s="2" t="inlineStr">
        <x:is>
          <x:t xml:space="preserve">pp. 107-175</x:t>
        </x:is>
      </x:c>
    </x:row>
    <x:row r="323" ht="18" customHeight="1">
      <x:c r="A323" s="2" t="inlineStr">
        <x:is>
          <x:t xml:space="preserve">Thaumaturgy</x:t>
        </x:is>
      </x:c>
      <x:c r="B323" s="2" t="inlineStr">
        <x:is>
          <x:t xml:space="preserve">Cantrip</x:t>
        </x:is>
      </x:c>
      <x:c r="C323" s="2" t="inlineStr">
        <x:is>
          <x:t xml:space="preserve">Transmutation</x:t>
        </x:is>
      </x:c>
      <x:c r="D323" s="2" t="inlineStr">
        <x:is>
          <x:t xml:space="preserve">Cleric</x:t>
        </x:is>
      </x:c>
      <x:c r="E323" s="2" t="inlineStr">
        <x:is>
          <x:t xml:space="preserve">Action</x:t>
        </x:is>
      </x:c>
      <x:c r="F323" s="2" t="inlineStr">
        <x:is>
          <x:t xml:space="preserve">30 feet</x:t>
        </x:is>
      </x:c>
      <x:c r="G323" s="2" t="inlineStr">
        <x:is>
          <x:t xml:space="preserve">V</x:t>
        </x:is>
      </x:c>
      <x:c r="H323" s="2" t="inlineStr">
        <x:is>
          <x:t xml:space="preserve">Up to 1 minute</x:t>
        </x:is>
      </x:c>
      <x:c r="I323" s="2" t="inlineStr">
        <x:is>
          <x:t xml:space="preserve">You manifest a minor wonder within range. You create one of the effects below within range. If you cast this spell multiple times, you can have up to three of its 1-minute effects active at a time. Altered Eyes. You alter the appearance of your eyes for 1 minute. Booming Voice. Your voice booms up to three times as loud as normal for 1 minute. For the duration, you have Advantage on Charisma (Intimidation) checks. Fire Play. You cause flames to flicker, brighten, dim, or change color for 1 minute. Invisible Hand. You instantaneously cause an unlocked door or window to fly open or slam shut. Phantom Sound. You create an instantaneous sound that originates from a point of your choice within range, such as a rumble of thunder, the cry of a raven, or ominous whispers. Tremors. You cause harmless tremors in the ground for 1 minute.</x:t>
        </x:is>
      </x:c>
      <x:c r="J323" s="2" t="inlineStr">
        <x:is>
          <x:t xml:space="preserve">SRD 5.2.1</x:t>
        </x:is>
      </x:c>
      <x:c r="K323" s="2" t="inlineStr">
        <x:is>
          <x:t xml:space="preserve">pp. 107-175</x:t>
        </x:is>
      </x:c>
    </x:row>
    <x:row r="324" ht="18" customHeight="1">
      <x:c r="A324" s="2" t="inlineStr">
        <x:is>
          <x:t xml:space="preserve">Thunderwave</x:t>
        </x:is>
      </x:c>
      <x:c r="B324" s="2" t="inlineStr">
        <x:is>
          <x:t xml:space="preserve">1</x:t>
        </x:is>
      </x:c>
      <x:c r="C324" s="2" t="inlineStr">
        <x:is>
          <x:t xml:space="preserve">Evocation</x:t>
        </x:is>
      </x:c>
      <x:c r="D324" s="2" t="inlineStr">
        <x:is>
          <x:t xml:space="preserve">Bard, Druid, Sorcerer, Wizard</x:t>
        </x:is>
      </x:c>
      <x:c r="E324" s="2" t="inlineStr">
        <x:is>
          <x:t xml:space="preserve">Action</x:t>
        </x:is>
      </x:c>
      <x:c r="F324" s="2" t="inlineStr">
        <x:is>
          <x:t xml:space="preserve">Self</x:t>
        </x:is>
      </x:c>
      <x:c r="G324" s="2" t="inlineStr">
        <x:is>
          <x:t xml:space="preserve">V, S</x:t>
        </x:is>
      </x:c>
      <x:c r="H324" s="2" t="inlineStr">
        <x:is>
          <x:t xml:space="preserve">Instantaneous</x:t>
        </x:is>
      </x:c>
      <x:c r="I324" s="2" t="inlineStr">
        <x:is>
          <x:t xml:space="preserve">You unleash a wave of thunderous energy. Each creature in a 15-foot Cube originating from you makes a Constitution saving throw. On a failed save, a creature takes 2d8 Thunder damage and is pushed 10 feet away from you. On a successful save, a creature takes half as much damage only. In addition, unsecured objects that are entirely within the Cube are pushed 10 feet away from you, and a thunderous boom is audible within 300 feet. Using a Higher-Level Spell Slot. The damage increases by 1d8 for each spell slot level above 1.</x:t>
        </x:is>
      </x:c>
      <x:c r="J324" s="2" t="inlineStr">
        <x:is>
          <x:t xml:space="preserve">SRD 5.2.1</x:t>
        </x:is>
      </x:c>
      <x:c r="K324" s="2" t="inlineStr">
        <x:is>
          <x:t xml:space="preserve">pp. 107-175</x:t>
        </x:is>
      </x:c>
    </x:row>
    <x:row r="325" ht="18" customHeight="1">
      <x:c r="A325" s="2" t="inlineStr">
        <x:is>
          <x:t xml:space="preserve">Time Stop</x:t>
        </x:is>
      </x:c>
      <x:c r="B325" s="2" t="inlineStr">
        <x:is>
          <x:t xml:space="preserve">9</x:t>
        </x:is>
      </x:c>
      <x:c r="C325" s="2" t="inlineStr">
        <x:is>
          <x:t xml:space="preserve">Transmutation</x:t>
        </x:is>
      </x:c>
      <x:c r="D325" s="2" t="inlineStr">
        <x:is>
          <x:t xml:space="preserve">Sorcerer, Wizard</x:t>
        </x:is>
      </x:c>
      <x:c r="E325" s="2" t="inlineStr">
        <x:is>
          <x:t xml:space="preserve">Action</x:t>
        </x:is>
      </x:c>
      <x:c r="F325" s="2" t="inlineStr">
        <x:is>
          <x:t xml:space="preserve">Self</x:t>
        </x:is>
      </x:c>
      <x:c r="G325" s="2" t="inlineStr">
        <x:is>
          <x:t xml:space="preserve">V</x:t>
        </x:is>
      </x:c>
      <x:c r="H325" s="2" t="inlineStr">
        <x:is>
          <x:t xml:space="preserve">Instantaneous</x:t>
        </x:is>
      </x:c>
      <x:c r="I325" s="2" t="inlineStr">
        <x:is>
          <x:t xml:space="preserve">You briefly stop the flow of time for everyone but yourself. No time passes for other creatures, while you take 1d4 + 1 turns in a row, during which you can use actions and move as normal. This spell ends if one of the actions you use during this period, or any effects that you create during it, affects a creature other than you or an object being worn or carried by someone other than you. In addition, the spell ends if you move to a place more than 1,000 feet from the location where you cast it.</x:t>
        </x:is>
      </x:c>
      <x:c r="J325" s="2" t="inlineStr">
        <x:is>
          <x:t xml:space="preserve">SRD 5.2.1</x:t>
        </x:is>
      </x:c>
      <x:c r="K325" s="2" t="inlineStr">
        <x:is>
          <x:t xml:space="preserve">pp. 107-175</x:t>
        </x:is>
      </x:c>
    </x:row>
    <x:row r="326" ht="18" customHeight="1">
      <x:c r="A326" s="2" t="inlineStr">
        <x:is>
          <x:t xml:space="preserve">Tiny Hut</x:t>
        </x:is>
      </x:c>
      <x:c r="B326" s="2" t="inlineStr">
        <x:is>
          <x:t xml:space="preserve">3</x:t>
        </x:is>
      </x:c>
      <x:c r="C326" s="2" t="inlineStr">
        <x:is>
          <x:t xml:space="preserve">Evocation</x:t>
        </x:is>
      </x:c>
      <x:c r="D326" s="2" t="inlineStr">
        <x:is>
          <x:t xml:space="preserve">Bard, Wizard</x:t>
        </x:is>
      </x:c>
      <x:c r="E326" s="2" t="inlineStr">
        <x:is>
          <x:t xml:space="preserve">1 minute or Ritual</x:t>
        </x:is>
      </x:c>
      <x:c r="F326" s="2" t="inlineStr">
        <x:is>
          <x:t xml:space="preserve">Self</x:t>
        </x:is>
      </x:c>
      <x:c r="G326" s="2" t="inlineStr">
        <x:is>
          <x:t xml:space="preserve">V, S, M (a crystal bead)</x:t>
        </x:is>
      </x:c>
      <x:c r="H326" s="2" t="inlineStr">
        <x:is>
          <x:t xml:space="preserve">8 hours</x:t>
        </x:is>
      </x:c>
      <x:c r="I326" s="2" t="inlineStr">
        <x:is>
          <x:t xml:space="preserve">A 10-foot Emanation springs into existence around you and remains stationary for the duration. The spell fails when you cast it if the Emanation isn’t big enough to fully encapsulate all creatures in its area. Creatures and objects within the Emanation when you cast the spell can move through it freely. All other creatures and objects are barred from passing through it. Spells of level 3 or lower can’t be cast through it, and the effects of such spells can’t extend into it. The atmosphere inside the Emanation is comfortable and dry, regardless of the weather outside. Until the spell ends, you can command the interior to have Dim Light or Darkness (no action required). The Emanation is opaque from the outside and of any color you choose, but it’s transparent from the inside. The spell ends early if you leave the Emanation or if you cast it again.</x:t>
        </x:is>
      </x:c>
      <x:c r="J326" s="2" t="inlineStr">
        <x:is>
          <x:t xml:space="preserve">SRD 5.2.1</x:t>
        </x:is>
      </x:c>
      <x:c r="K326" s="2" t="inlineStr">
        <x:is>
          <x:t xml:space="preserve">pp. 107-175</x:t>
        </x:is>
      </x:c>
    </x:row>
    <x:row r="327" ht="18" customHeight="1">
      <x:c r="A327" s="2" t="inlineStr">
        <x:is>
          <x:t xml:space="preserve">Tongues</x:t>
        </x:is>
      </x:c>
      <x:c r="B327" s="2" t="inlineStr">
        <x:is>
          <x:t xml:space="preserve">3</x:t>
        </x:is>
      </x:c>
      <x:c r="C327" s="2" t="inlineStr">
        <x:is>
          <x:t xml:space="preserve">Divination</x:t>
        </x:is>
      </x:c>
      <x:c r="D327" s="2" t="inlineStr">
        <x:is>
          <x:t xml:space="preserve"/>
        </x:is>
      </x:c>
      <x:c r="E327" s="2" t="inlineStr">
        <x:is>
          <x:t xml:space="preserve">Action</x:t>
        </x:is>
      </x:c>
      <x:c r="F327" s="2" t="inlineStr">
        <x:is>
          <x:t xml:space="preserve">Touch</x:t>
        </x:is>
      </x:c>
      <x:c r="G327" s="2" t="inlineStr">
        <x:is>
          <x:t xml:space="preserve">V, M (a miniature ziggurat)</x:t>
        </x:is>
      </x:c>
      <x:c r="H327" s="2" t="inlineStr">
        <x:is>
          <x:t xml:space="preserve">1 hour</x:t>
        </x:is>
      </x:c>
      <x:c r="I327" s="2" t="inlineStr">
        <x:is>
          <x:t xml:space="preserve">This spell grants the creature you touch the ability to understand any spoken or signed language that it hears or sees. Moreover, when the target communicates by speaking or signing, any creature that knows at least one language can understand it if that creature can hear the speech or see the signing.</x:t>
        </x:is>
      </x:c>
      <x:c r="J327" s="2" t="inlineStr">
        <x:is>
          <x:t xml:space="preserve">SRD 5.2.1</x:t>
        </x:is>
      </x:c>
      <x:c r="K327" s="2" t="inlineStr">
        <x:is>
          <x:t xml:space="preserve">pp. 107-175</x:t>
        </x:is>
      </x:c>
    </x:row>
    <x:row r="328" ht="18" customHeight="1">
      <x:c r="A328" s="2" t="inlineStr">
        <x:is>
          <x:t xml:space="preserve">Transport via Plants</x:t>
        </x:is>
      </x:c>
      <x:c r="B328" s="2" t="inlineStr">
        <x:is>
          <x:t xml:space="preserve">6</x:t>
        </x:is>
      </x:c>
      <x:c r="C328" s="2" t="inlineStr">
        <x:is>
          <x:t xml:space="preserve">Conjuration</x:t>
        </x:is>
      </x:c>
      <x:c r="D328" s="2" t="inlineStr">
        <x:is>
          <x:t xml:space="preserve">Druid</x:t>
        </x:is>
      </x:c>
      <x:c r="E328" s="2" t="inlineStr">
        <x:is>
          <x:t xml:space="preserve">Action</x:t>
        </x:is>
      </x:c>
      <x:c r="F328" s="2" t="inlineStr">
        <x:is>
          <x:t xml:space="preserve">10 feet</x:t>
        </x:is>
      </x:c>
      <x:c r="G328" s="2" t="inlineStr">
        <x:is>
          <x:t xml:space="preserve">V, S</x:t>
        </x:is>
      </x:c>
      <x:c r="H328" s="2" t="inlineStr">
        <x:is>
          <x:t xml:space="preserve">1 minute</x:t>
        </x:is>
      </x:c>
      <x:c r="I328" s="2" t="inlineStr">
        <x:is>
          <x:t xml:space="preserve">This spell creates a magical link between a Large or larger inanimate plant within range and another plant, at any distance, on the same plane of existence. You must have seen or touched the destination plant at least once before. For the duration, any creature can step into the target plant and exit from the destination plant by using 5 feet of movement.</x:t>
        </x:is>
      </x:c>
      <x:c r="J328" s="2" t="inlineStr">
        <x:is>
          <x:t xml:space="preserve">SRD 5.2.1</x:t>
        </x:is>
      </x:c>
      <x:c r="K328" s="2" t="inlineStr">
        <x:is>
          <x:t xml:space="preserve">pp. 107-175</x:t>
        </x:is>
      </x:c>
    </x:row>
    <x:row r="329" ht="18" customHeight="1">
      <x:c r="A329" s="2" t="inlineStr">
        <x:is>
          <x:t xml:space="preserve">Tree Stride</x:t>
        </x:is>
      </x:c>
      <x:c r="B329" s="2" t="inlineStr">
        <x:is>
          <x:t xml:space="preserve">5</x:t>
        </x:is>
      </x:c>
      <x:c r="C329" s="2" t="inlineStr">
        <x:is>
          <x:t xml:space="preserve">Conjuration</x:t>
        </x:is>
      </x:c>
      <x:c r="D329" s="2" t="inlineStr">
        <x:is>
          <x:t xml:space="preserve">Druid, Ranger</x:t>
        </x:is>
      </x:c>
      <x:c r="E329" s="2" t="inlineStr">
        <x:is>
          <x:t xml:space="preserve">Action</x:t>
        </x:is>
      </x:c>
      <x:c r="F329" s="2" t="inlineStr">
        <x:is>
          <x:t xml:space="preserve">Self</x:t>
        </x:is>
      </x:c>
      <x:c r="G329" s="2" t="inlineStr">
        <x:is>
          <x:t xml:space="preserve">V, S</x:t>
        </x:is>
      </x:c>
      <x:c r="H329" s="2" t="inlineStr">
        <x:is>
          <x:t xml:space="preserve">Concentration, up to 1 minute</x:t>
        </x:is>
      </x:c>
      <x:c r="I329" s="2" t="inlineStr">
        <x:is>
          <x:t xml:space="preserve">You gain the ability to enter a tree and move from inside it to inside another tree of the same kind within 500 feet. Both trees must be living and at least the same size as you. You must use 5 feet of movement to enter a tree. You instantly know the location of all other trees of the same kind within 500 feet and, as part of the move used to enter the tree, can either pass into one of those trees or step out of the tree you’re in. You appear in a spot of your choice within 5 feet of the destination tree, using another 5 feet of movement. If you have no movement left, you appear within 5 feet of the tree you entered. You can use this transportation ability only once on each of your turns. You must end each turn outside a tree.</x:t>
        </x:is>
      </x:c>
      <x:c r="J329" s="2" t="inlineStr">
        <x:is>
          <x:t xml:space="preserve">SRD 5.2.1</x:t>
        </x:is>
      </x:c>
      <x:c r="K329" s="2" t="inlineStr">
        <x:is>
          <x:t xml:space="preserve">pp. 107-175</x:t>
        </x:is>
      </x:c>
    </x:row>
    <x:row r="330" ht="18" customHeight="1">
      <x:c r="A330" s="2" t="inlineStr">
        <x:is>
          <x:t xml:space="preserve">True Polymorph</x:t>
        </x:is>
      </x:c>
      <x:c r="B330" s="2" t="inlineStr">
        <x:is>
          <x:t xml:space="preserve">9</x:t>
        </x:is>
      </x:c>
      <x:c r="C330" s="2" t="inlineStr">
        <x:is>
          <x:t xml:space="preserve">Transmutation</x:t>
        </x:is>
      </x:c>
      <x:c r="D330" s="2" t="inlineStr">
        <x:is>
          <x:t xml:space="preserve">Bard, Warlock, Wizard</x:t>
        </x:is>
      </x:c>
      <x:c r="E330" s="2" t="inlineStr">
        <x:is>
          <x:t xml:space="preserve">Action</x:t>
        </x:is>
      </x:c>
      <x:c r="F330" s="2" t="inlineStr">
        <x:is>
          <x:t xml:space="preserve">30 feet</x:t>
        </x:is>
      </x:c>
      <x:c r="G330" s="2" t="inlineStr">
        <x:is>
          <x:t xml:space="preserve">V, S, M (a drop of mercury, a dollop of</x:t>
        </x:is>
      </x:c>
      <x:c r="H330" s="2" t="inlineStr">
        <x:is>
          <x:t xml:space="preserve">Concentration, up to 1 hour</x:t>
        </x:is>
      </x:c>
      <x:c r="I330" s="2" t="inlineStr">
        <x:is>
          <x:t xml:space="preserve">Choose one creature or nonmagical object that you can see within range. The creature shape-shifts into a different creature or a nonmagical object, or the object shape-shifts into a creature (the object must be neither worn nor carried). The transformation lasts for the duration or until the target dies or is destroyed, but if you maintain Concentration on this spell for the full duration, the spell lasts until dispelled. An unwilling creature can make a Wisdom saving throw, and if it succeeds, it isn’t affected by this spell. Creature into Creature. If you turn a creature into another kind of creature, the new form can be any kind you choose that has a Challenge Rating equal to or less than the target’s Challenge Rating or level. The target’s game statistics are replaced by the stat block of the new form, but it retains its Hit Points, Hit Point Dice, alignment, and personality. The target gains a number of Temporary Hit Points equal to the Hit Points of the new form. These Temporary Hit Points vanish if any remain when the spell ends. The target is limited in the actions it can perform by the anatomy of its new form, and it can’t speak or cast spells. The target’s gear melds into the new form. The creature can’t use or otherwise benefit from any of that equipment. Object into Creature. You can turn an object into any kind of creature, as long as the creature’s size is no larger than the object’s size and the creature has a Challenge Rating of 9 or lower. The creature is Friendly to you and your allies. In combat, it takes its turns immediately after yours, and it obeys your commands. If the spell lasts more than an hour, you no longer control the creature. It might remain Friendly to you, depending on how you have treated it. Creature into Object. If you turn a creature into an object, it transforms along with whatever it is wearing and carrying into that form, as long as the object’s size is no larger than the creature’s size. The creature’s statistics become those of the object, and the creature has no memory of time spent in this form after the spell ends and it returns to normal.</x:t>
        </x:is>
      </x:c>
      <x:c r="J330" s="2" t="inlineStr">
        <x:is>
          <x:t xml:space="preserve">SRD 5.2.1</x:t>
        </x:is>
      </x:c>
      <x:c r="K330" s="2" t="inlineStr">
        <x:is>
          <x:t xml:space="preserve">pp. 107-175</x:t>
        </x:is>
      </x:c>
    </x:row>
    <x:row r="331" ht="18" customHeight="1">
      <x:c r="A331" s="2" t="inlineStr">
        <x:is>
          <x:t xml:space="preserve">True Resurrection</x:t>
        </x:is>
      </x:c>
      <x:c r="B331" s="2" t="inlineStr">
        <x:is>
          <x:t xml:space="preserve">9</x:t>
        </x:is>
      </x:c>
      <x:c r="C331" s="2" t="inlineStr">
        <x:is>
          <x:t xml:space="preserve">Necromancy</x:t>
        </x:is>
      </x:c>
      <x:c r="D331" s="2" t="inlineStr">
        <x:is>
          <x:t xml:space="preserve">Cleric, Druid</x:t>
        </x:is>
      </x:c>
      <x:c r="E331" s="2" t="inlineStr">
        <x:is>
          <x:t xml:space="preserve">1 hour</x:t>
        </x:is>
      </x:c>
      <x:c r="F331" s="2" t="inlineStr">
        <x:is>
          <x:t xml:space="preserve">Touch</x:t>
        </x:is>
      </x:c>
      <x:c r="G331" s="2" t="inlineStr">
        <x:is>
          <x:t xml:space="preserve">V, S, M (diamonds worth 25,000+ GP,</x:t>
        </x:is>
      </x:c>
      <x:c r="H331" s="2" t="inlineStr">
        <x:is>
          <x:t xml:space="preserve">Instantaneous</x:t>
        </x:is>
      </x:c>
      <x:c r="I331" s="2" t="inlineStr">
        <x:is>
          <x:t xml:space="preserve">You touch a creature that has been dead for no longer than 200 years and that died for any reason except old age. The creature is revived with all its Hit Points. This spell closes all wounds, neutralizes any poison, cures all magical contagions, and lifts any curses affecting the creature when it died. The spell replaces damaged or missing organs and limbs. If the creature was Undead, it is restored to its non-Undead form. The spell can provide a new body if the original no longer exists, in which case you must speak the creature’s name. The creature then appears in an unoccupied space you choose within 10 feet of you.</x:t>
        </x:is>
      </x:c>
      <x:c r="J331" s="2" t="inlineStr">
        <x:is>
          <x:t xml:space="preserve">SRD 5.2.1</x:t>
        </x:is>
      </x:c>
      <x:c r="K331" s="2" t="inlineStr">
        <x:is>
          <x:t xml:space="preserve">pp. 107-175</x:t>
        </x:is>
      </x:c>
    </x:row>
    <x:row r="332" ht="18" customHeight="1">
      <x:c r="A332" s="2" t="inlineStr">
        <x:is>
          <x:t xml:space="preserve">True Seeing</x:t>
        </x:is>
      </x:c>
      <x:c r="B332" s="2" t="inlineStr">
        <x:is>
          <x:t xml:space="preserve">6</x:t>
        </x:is>
      </x:c>
      <x:c r="C332" s="2" t="inlineStr">
        <x:is>
          <x:t xml:space="preserve">Divination</x:t>
        </x:is>
      </x:c>
      <x:c r="D332" s="2" t="inlineStr">
        <x:is>
          <x:t xml:space="preserve"/>
        </x:is>
      </x:c>
      <x:c r="E332" s="2" t="inlineStr">
        <x:is>
          <x:t xml:space="preserve">Action</x:t>
        </x:is>
      </x:c>
      <x:c r="F332" s="2" t="inlineStr">
        <x:is>
          <x:t xml:space="preserve">Touch</x:t>
        </x:is>
      </x:c>
      <x:c r="G332" s="2" t="inlineStr">
        <x:is>
          <x:t xml:space="preserve">V, S, M (mushroom powder worth 25+</x:t>
        </x:is>
      </x:c>
      <x:c r="H332" s="2" t="inlineStr">
        <x:is>
          <x:t xml:space="preserve">1 hour</x:t>
        </x:is>
      </x:c>
      <x:c r="I332" s="2" t="inlineStr">
        <x:is>
          <x:t xml:space="preserve">For the duration, the willing creature you touch has Truesight with a range of 120 feet.</x:t>
        </x:is>
      </x:c>
      <x:c r="J332" s="2" t="inlineStr">
        <x:is>
          <x:t xml:space="preserve">SRD 5.2.1</x:t>
        </x:is>
      </x:c>
      <x:c r="K332" s="2" t="inlineStr">
        <x:is>
          <x:t xml:space="preserve">pp. 107-175</x:t>
        </x:is>
      </x:c>
    </x:row>
    <x:row r="333" ht="18" customHeight="1">
      <x:c r="A333" s="2" t="inlineStr">
        <x:is>
          <x:t xml:space="preserve">True Strike</x:t>
        </x:is>
      </x:c>
      <x:c r="B333" s="2" t="inlineStr">
        <x:is>
          <x:t xml:space="preserve">Cantrip</x:t>
        </x:is>
      </x:c>
      <x:c r="C333" s="2" t="inlineStr">
        <x:is>
          <x:t xml:space="preserve">Divination</x:t>
        </x:is>
      </x:c>
      <x:c r="D333" s="2" t="inlineStr">
        <x:is>
          <x:t xml:space="preserve">Bard, Sorcerer, Warlock, Wizard</x:t>
        </x:is>
      </x:c>
      <x:c r="E333" s="2" t="inlineStr">
        <x:is>
          <x:t xml:space="preserve">Action</x:t>
        </x:is>
      </x:c>
      <x:c r="F333" s="2" t="inlineStr">
        <x:is>
          <x:t xml:space="preserve">Self</x:t>
        </x:is>
      </x:c>
      <x:c r="G333" s="2" t="inlineStr">
        <x:is>
          <x:t xml:space="preserve">S, M (a weapon with which you have profi-</x:t>
        </x:is>
      </x:c>
      <x:c r="H333" s="2" t="inlineStr">
        <x:is>
          <x:t xml:space="preserve">Instantaneous</x:t>
        </x:is>
      </x:c>
      <x:c r="I333" s="2" t="inlineStr">
        <x:is>
          <x:t xml:space="preserve">Guided by a flash of magical insight, you make one attack with the weapon used in the spell’s casting. The attack uses your spellcasting ability for the attack and damage rolls instead of using Strength or Dexterity. If the attack deals damage, it can be Radiant damage or the weapon’s normal damage type</x:t>
        </x:is>
      </x:c>
      <x:c r="J333" s="2" t="inlineStr">
        <x:is>
          <x:t xml:space="preserve">SRD 5.2.1</x:t>
        </x:is>
      </x:c>
      <x:c r="K333" s="2" t="inlineStr">
        <x:is>
          <x:t xml:space="preserve">pp. 107-175</x:t>
        </x:is>
      </x:c>
    </x:row>
    <x:row r="334" ht="18" customHeight="1">
      <x:c r="A334" s="2" t="inlineStr">
        <x:is>
          <x:t xml:space="preserve">(your choice).</x:t>
        </x:is>
      </x:c>
      <x:c r="B334" s="2" t="inlineStr">
        <x:is>
          <x:t xml:space="preserve">Cantrip</x:t>
        </x:is>
      </x:c>
      <x:c r="C334" s="2" t="inlineStr">
        <x:is>
          <x:t xml:space="preserve"/>
        </x:is>
      </x:c>
      <x:c r="D334" s="2" t="inlineStr">
        <x:is>
          <x:t xml:space="preserve"/>
        </x:is>
      </x:c>
      <x:c r="E334" s="2" t="inlineStr">
        <x:is>
          <x:t xml:space="preserve"/>
        </x:is>
      </x:c>
      <x:c r="F334" s="2" t="inlineStr">
        <x:is>
          <x:t xml:space="preserve"/>
        </x:is>
      </x:c>
      <x:c r="G334" s="2" t="inlineStr">
        <x:is>
          <x:t xml:space="preserve"/>
        </x:is>
      </x:c>
      <x:c r="H334" s="2" t="inlineStr">
        <x:is>
          <x:t xml:space="preserve"/>
        </x:is>
      </x:c>
      <x:c r="I334" s="2" t="inlineStr">
        <x:is>
          <x:t xml:space="preserve">(your choice). Cantrip Upgrade. Whether you deal Radiant damage or the weapon’s normal damage type, the attack deals extra Radiant damage when you reach levels 5 (1d6), 11 (2d6), and 17 (3d6).</x:t>
        </x:is>
      </x:c>
      <x:c r="J334" s="2" t="inlineStr">
        <x:is>
          <x:t xml:space="preserve">SRD 5.2.1</x:t>
        </x:is>
      </x:c>
      <x:c r="K334" s="2" t="inlineStr">
        <x:is>
          <x:t xml:space="preserve">pp. 107-175</x:t>
        </x:is>
      </x:c>
    </x:row>
    <x:row r="335" ht="18" customHeight="1">
      <x:c r="A335" s="2" t="inlineStr">
        <x:is>
          <x:t xml:space="preserve">Tsunami</x:t>
        </x:is>
      </x:c>
      <x:c r="B335" s="2" t="inlineStr">
        <x:is>
          <x:t xml:space="preserve">8</x:t>
        </x:is>
      </x:c>
      <x:c r="C335" s="2" t="inlineStr">
        <x:is>
          <x:t xml:space="preserve">Conjuration</x:t>
        </x:is>
      </x:c>
      <x:c r="D335" s="2" t="inlineStr">
        <x:is>
          <x:t xml:space="preserve">Druid</x:t>
        </x:is>
      </x:c>
      <x:c r="E335" s="2" t="inlineStr">
        <x:is>
          <x:t xml:space="preserve">1 minute</x:t>
        </x:is>
      </x:c>
      <x:c r="F335" s="2" t="inlineStr">
        <x:is>
          <x:t xml:space="preserve">1 mile</x:t>
        </x:is>
      </x:c>
      <x:c r="G335" s="2" t="inlineStr">
        <x:is>
          <x:t xml:space="preserve">V, S</x:t>
        </x:is>
      </x:c>
      <x:c r="H335" s="2" t="inlineStr">
        <x:is>
          <x:t xml:space="preserve">Concentration, up to 6 rounds</x:t>
        </x:is>
      </x:c>
      <x:c r="I335" s="2" t="inlineStr">
        <x:is>
          <x:t xml:space="preserve">A wall of water springs into existence at a point you choose within range. You can make the wall up to 300 feet long, 300 feet high, and 50 feet thick. The wall lasts for the duration. When the wall appears, each creature in its area makes a Strength saving throw, taking 6d10 Bludgeoning damage on a failed save or half as much damage on a successful one. At the start of each of your turns after the wall appears, the wall, along with any creatures in it, moves 50 feet away from you. Any Huge or smaller creature inside the wall or whose space the wall enters when it moves must succeed on a Strength saving throw or take 5d10 Bludgeoning damage. A creature can take this damage only once per round. At the end of the turn, the wall’s height is reduced by 50 feet, and the damage the wall deals on later rounds is reduced by 1d10. When the wall reaches 0 feet in height, the spell ends. A creature caught in the wall can move by swimming. Because of the wave’s force, though, the creature must succeed on a Strength (Athletics) check against your spell save DC to move at all. If it fails the check, it can’t move. A creature that moves out of the wall falls to the ground.</x:t>
        </x:is>
      </x:c>
      <x:c r="J335" s="2" t="inlineStr">
        <x:is>
          <x:t xml:space="preserve">SRD 5.2.1</x:t>
        </x:is>
      </x:c>
      <x:c r="K335" s="2" t="inlineStr">
        <x:is>
          <x:t xml:space="preserve">pp. 107-175</x:t>
        </x:is>
      </x:c>
    </x:row>
    <x:row r="336" ht="18" customHeight="1">
      <x:c r="A336" s="2" t="inlineStr">
        <x:is>
          <x:t xml:space="preserve">Unseen Servant</x:t>
        </x:is>
      </x:c>
      <x:c r="B336" s="2" t="inlineStr">
        <x:is>
          <x:t xml:space="preserve">1</x:t>
        </x:is>
      </x:c>
      <x:c r="C336" s="2" t="inlineStr">
        <x:is>
          <x:t xml:space="preserve">Conjuration</x:t>
        </x:is>
      </x:c>
      <x:c r="D336" s="2" t="inlineStr">
        <x:is>
          <x:t xml:space="preserve">Bard, Warlock, Wizard</x:t>
        </x:is>
      </x:c>
      <x:c r="E336" s="2" t="inlineStr">
        <x:is>
          <x:t xml:space="preserve">Action or Ritual</x:t>
        </x:is>
      </x:c>
      <x:c r="F336" s="2" t="inlineStr">
        <x:is>
          <x:t xml:space="preserve">60 feet</x:t>
        </x:is>
      </x:c>
      <x:c r="G336" s="2" t="inlineStr">
        <x:is>
          <x:t xml:space="preserve">V, S, M (a bit of string and of wood)</x:t>
        </x:is>
      </x:c>
      <x:c r="H336" s="2" t="inlineStr">
        <x:is>
          <x:t xml:space="preserve">1 hour</x:t>
        </x:is>
      </x:c>
      <x:c r="I336" s="2" t="inlineStr">
        <x:is>
          <x:t xml:space="preserve">This spell creates an Invisible, mindless, shapeless, Medium force that performs simple tasks at your command until the spell ends. The servant springs into existence in an unoccupied space on the ground within range. It has AC 10, 1 Hit Point, and a Strength of 2, and it can’t attack. If it drops to 0 Hit Points, the spell ends. Once on each of your turns as a Bonus Action, you can mentally command the servant to move up to 15 feet and interact with an object. The servant can perform simple tasks that a human could do, such as fetching things, cleaning, mending, folding clothes, lighting fires, serving food, and pouring drinks. Once you give the command, the servant performs the task to the best of its ability until it completes the task, then waits for your next command. If you command the servant to perform a task that would move it more than 60 feet away from you, the spell ends.</x:t>
        </x:is>
      </x:c>
      <x:c r="J336" s="2" t="inlineStr">
        <x:is>
          <x:t xml:space="preserve">SRD 5.2.1</x:t>
        </x:is>
      </x:c>
      <x:c r="K336" s="2" t="inlineStr">
        <x:is>
          <x:t xml:space="preserve">pp. 107-175</x:t>
        </x:is>
      </x:c>
    </x:row>
    <x:row r="337" ht="18" customHeight="1">
      <x:c r="A337" s="2" t="inlineStr">
        <x:is>
          <x:t xml:space="preserve">Vampiric Touch</x:t>
        </x:is>
      </x:c>
      <x:c r="B337" s="2" t="inlineStr">
        <x:is>
          <x:t xml:space="preserve">3</x:t>
        </x:is>
      </x:c>
      <x:c r="C337" s="2" t="inlineStr">
        <x:is>
          <x:t xml:space="preserve">Necromancy</x:t>
        </x:is>
      </x:c>
      <x:c r="D337" s="2" t="inlineStr">
        <x:is>
          <x:t xml:space="preserve">Sorcerer, Warlock, Wizard</x:t>
        </x:is>
      </x:c>
      <x:c r="E337" s="2" t="inlineStr">
        <x:is>
          <x:t xml:space="preserve">Action</x:t>
        </x:is>
      </x:c>
      <x:c r="F337" s="2" t="inlineStr">
        <x:is>
          <x:t xml:space="preserve">Self</x:t>
        </x:is>
      </x:c>
      <x:c r="G337" s="2" t="inlineStr">
        <x:is>
          <x:t xml:space="preserve">V, S</x:t>
        </x:is>
      </x:c>
      <x:c r="H337" s="2" t="inlineStr">
        <x:is>
          <x:t xml:space="preserve">Concentration, up to 1 minute</x:t>
        </x:is>
      </x:c>
      <x:c r="I337" s="2" t="inlineStr">
        <x:is>
          <x:t xml:space="preserve">The touch of your shadow-wreathed hand can siphon life force from others to heal your wounds. Make a melee spell attack against one creature within reach. On a hit, the target takes 3d6 Necrotic damage, and you regain Hit Points equal to half the amount of Necrotic damage dealt. Until the spell ends, you can make the attack again on each of your turns as a Magic action, targeting the same creature or a different one. Using a Higher-Level Spell Slot. The damage increases by 1d6 for each spell slot level above 3.</x:t>
        </x:is>
      </x:c>
      <x:c r="J337" s="2" t="inlineStr">
        <x:is>
          <x:t xml:space="preserve">SRD 5.2.1</x:t>
        </x:is>
      </x:c>
      <x:c r="K337" s="2" t="inlineStr">
        <x:is>
          <x:t xml:space="preserve">pp. 107-175</x:t>
        </x:is>
      </x:c>
    </x:row>
    <x:row r="338" ht="18" customHeight="1">
      <x:c r="A338" s="2" t="inlineStr">
        <x:is>
          <x:t xml:space="preserve">Vicious Mockery</x:t>
        </x:is>
      </x:c>
      <x:c r="B338" s="2" t="inlineStr">
        <x:is>
          <x:t xml:space="preserve">Cantrip</x:t>
        </x:is>
      </x:c>
      <x:c r="C338" s="2" t="inlineStr">
        <x:is>
          <x:t xml:space="preserve">Enchantment</x:t>
        </x:is>
      </x:c>
      <x:c r="D338" s="2" t="inlineStr">
        <x:is>
          <x:t xml:space="preserve">Bard</x:t>
        </x:is>
      </x:c>
      <x:c r="E338" s="2" t="inlineStr">
        <x:is>
          <x:t xml:space="preserve">Action</x:t>
        </x:is>
      </x:c>
      <x:c r="F338" s="2" t="inlineStr">
        <x:is>
          <x:t xml:space="preserve">60 feet</x:t>
        </x:is>
      </x:c>
      <x:c r="G338" s="2" t="inlineStr">
        <x:is>
          <x:t xml:space="preserve">V</x:t>
        </x:is>
      </x:c>
      <x:c r="H338" s="2" t="inlineStr">
        <x:is>
          <x:t xml:space="preserve">Instantaneous</x:t>
        </x:is>
      </x:c>
      <x:c r="I338" s="2" t="inlineStr">
        <x:is>
          <x:t xml:space="preserve">You unleash a string of insults laced with subtle enchantments at one creature you can see or hear within range. The target must succeed on a Wisdom saving throw or take 1d6 Psychic damage and have Disadvantage on the next attack roll it makes before</x:t>
        </x:is>
      </x:c>
      <x:c r="J338" s="2" t="inlineStr">
        <x:is>
          <x:t xml:space="preserve">SRD 5.2.1</x:t>
        </x:is>
      </x:c>
      <x:c r="K338" s="2" t="inlineStr">
        <x:is>
          <x:t xml:space="preserve">pp. 107-175</x:t>
        </x:is>
      </x:c>
    </x:row>
    <x:row r="339" ht="18" customHeight="1">
      <x:c r="A339" s="2" t="inlineStr">
        <x:is>
          <x:t xml:space="preserve">the end of its next turn.</x:t>
        </x:is>
      </x:c>
      <x:c r="B339" s="2" t="inlineStr">
        <x:is>
          <x:t xml:space="preserve">Cantrip</x:t>
        </x:is>
      </x:c>
      <x:c r="C339" s="2" t="inlineStr">
        <x:is>
          <x:t xml:space="preserve"/>
        </x:is>
      </x:c>
      <x:c r="D339" s="2" t="inlineStr">
        <x:is>
          <x:t xml:space="preserve"/>
        </x:is>
      </x:c>
      <x:c r="E339" s="2" t="inlineStr">
        <x:is>
          <x:t xml:space="preserve"/>
        </x:is>
      </x:c>
      <x:c r="F339" s="2" t="inlineStr">
        <x:is>
          <x:t xml:space="preserve"/>
        </x:is>
      </x:c>
      <x:c r="G339" s="2" t="inlineStr">
        <x:is>
          <x:t xml:space="preserve"/>
        </x:is>
      </x:c>
      <x:c r="H339" s="2" t="inlineStr">
        <x:is>
          <x:t xml:space="preserve"/>
        </x:is>
      </x:c>
      <x:c r="I339" s="2" t="inlineStr">
        <x:is>
          <x:t xml:space="preserve">the end of its next turn. Cantrip Upgrade. The damage increases by 1d6 when you reach levels 5 (2d6), 11 (3d6), and 17 (4d6).</x:t>
        </x:is>
      </x:c>
      <x:c r="J339" s="2" t="inlineStr">
        <x:is>
          <x:t xml:space="preserve">SRD 5.2.1</x:t>
        </x:is>
      </x:c>
      <x:c r="K339" s="2" t="inlineStr">
        <x:is>
          <x:t xml:space="preserve">pp. 107-175</x:t>
        </x:is>
      </x:c>
    </x:row>
    <x:row r="340" ht="18" customHeight="1">
      <x:c r="A340" s="2" t="inlineStr">
        <x:is>
          <x:t xml:space="preserve">Vitriolic Sphere</x:t>
        </x:is>
      </x:c>
      <x:c r="B340" s="2" t="inlineStr">
        <x:is>
          <x:t xml:space="preserve">4</x:t>
        </x:is>
      </x:c>
      <x:c r="C340" s="2" t="inlineStr">
        <x:is>
          <x:t xml:space="preserve">Evocation</x:t>
        </x:is>
      </x:c>
      <x:c r="D340" s="2" t="inlineStr">
        <x:is>
          <x:t xml:space="preserve">Sorcerer, Wizard</x:t>
        </x:is>
      </x:c>
      <x:c r="E340" s="2" t="inlineStr">
        <x:is>
          <x:t xml:space="preserve">Action</x:t>
        </x:is>
      </x:c>
      <x:c r="F340" s="2" t="inlineStr">
        <x:is>
          <x:t xml:space="preserve">150 feet</x:t>
        </x:is>
      </x:c>
      <x:c r="G340" s="2" t="inlineStr">
        <x:is>
          <x:t xml:space="preserve">V, S, M (a drop of bile)</x:t>
        </x:is>
      </x:c>
      <x:c r="H340" s="2" t="inlineStr">
        <x:is>
          <x:t xml:space="preserve">Instantaneous</x:t>
        </x:is>
      </x:c>
      <x:c r="I340" s="2" t="inlineStr">
        <x:is>
          <x:t xml:space="preserve">You point at a location within range, and a glowing, 1-foot-diameter ball of acid streaks there and explodes in a 20-foot-radius Sphere. Each creature in that area makes a Dexterity saving throw. On a failed save, a creature takes 10d4 Acid damage and another 5d4 Acid damage at the end of its next turn. On a successful save, a creature takes half the initial damage only. Using a Higher-Level Spell Slot. The initial damage increases by 2d4 for each spell slot level above 4.</x:t>
        </x:is>
      </x:c>
      <x:c r="J340" s="2" t="inlineStr">
        <x:is>
          <x:t xml:space="preserve">SRD 5.2.1</x:t>
        </x:is>
      </x:c>
      <x:c r="K340" s="2" t="inlineStr">
        <x:is>
          <x:t xml:space="preserve">pp. 107-175</x:t>
        </x:is>
      </x:c>
    </x:row>
    <x:row r="341" ht="18" customHeight="1">
      <x:c r="A341" s="2" t="inlineStr">
        <x:is>
          <x:t xml:space="preserve">Wall of Fire</x:t>
        </x:is>
      </x:c>
      <x:c r="B341" s="2" t="inlineStr">
        <x:is>
          <x:t xml:space="preserve">4</x:t>
        </x:is>
      </x:c>
      <x:c r="C341" s="2" t="inlineStr">
        <x:is>
          <x:t xml:space="preserve">Evocation</x:t>
        </x:is>
      </x:c>
      <x:c r="D341" s="2" t="inlineStr">
        <x:is>
          <x:t xml:space="preserve">Druid, Sorcerer, Wizard</x:t>
        </x:is>
      </x:c>
      <x:c r="E341" s="2" t="inlineStr">
        <x:is>
          <x:t xml:space="preserve">Action</x:t>
        </x:is>
      </x:c>
      <x:c r="F341" s="2" t="inlineStr">
        <x:is>
          <x:t xml:space="preserve">120 feet</x:t>
        </x:is>
      </x:c>
      <x:c r="G341" s="2" t="inlineStr">
        <x:is>
          <x:t xml:space="preserve">V, S, M (a piece of charcoal)</x:t>
        </x:is>
      </x:c>
      <x:c r="H341" s="2" t="inlineStr">
        <x:is>
          <x:t xml:space="preserve">Concentration, up to 1 minute</x:t>
        </x:is>
      </x:c>
      <x:c r="I341" s="2" t="inlineStr">
        <x:is>
          <x:t xml:space="preserve">You create a wall of fire on a solid surface within range. You can make the wall up to 60 feet long, 20 feet high, and 1 foot thick, or a ringed wall up to 20 feet in diameter, 20 feet high, and 1 foot thick. The wall is opaque and lasts for the duration. When the wall appears, each creature in its area makes a Dexterity saving throw, taking 5d8 Fire damage on a failed save or half as much damage on a successful one. One side of the wall, selected by you when you cast this spell, deals 5d8 Fire damage to each creature that ends its turn within 10 feet of that side or inside the wall. A creature takes the same damage when it enters the wall for the first time on a turn or ends its turn there. The other side of the wall deals no damage. Using a Higher-Level Spell Slot. The damage increases by 1d8 for each spell slot level above 4.</x:t>
        </x:is>
      </x:c>
      <x:c r="J341" s="2" t="inlineStr">
        <x:is>
          <x:t xml:space="preserve">SRD 5.2.1</x:t>
        </x:is>
      </x:c>
      <x:c r="K341" s="2" t="inlineStr">
        <x:is>
          <x:t xml:space="preserve">pp. 107-175</x:t>
        </x:is>
      </x:c>
    </x:row>
    <x:row r="342" ht="18" customHeight="1">
      <x:c r="A342" s="2" t="inlineStr">
        <x:is>
          <x:t xml:space="preserve">Wall of Force</x:t>
        </x:is>
      </x:c>
      <x:c r="B342" s="2" t="inlineStr">
        <x:is>
          <x:t xml:space="preserve">5</x:t>
        </x:is>
      </x:c>
      <x:c r="C342" s="2" t="inlineStr">
        <x:is>
          <x:t xml:space="preserve">Evocation</x:t>
        </x:is>
      </x:c>
      <x:c r="D342" s="2" t="inlineStr">
        <x:is>
          <x:t xml:space="preserve">Wizard</x:t>
        </x:is>
      </x:c>
      <x:c r="E342" s="2" t="inlineStr">
        <x:is>
          <x:t xml:space="preserve">Action</x:t>
        </x:is>
      </x:c>
      <x:c r="F342" s="2" t="inlineStr">
        <x:is>
          <x:t xml:space="preserve">120 feet</x:t>
        </x:is>
      </x:c>
      <x:c r="G342" s="2" t="inlineStr">
        <x:is>
          <x:t xml:space="preserve">V, S, M (a shard of glass)</x:t>
        </x:is>
      </x:c>
      <x:c r="H342" s="2" t="inlineStr">
        <x:is>
          <x:t xml:space="preserve">Concentration, up to 10 minutes</x:t>
        </x:is>
      </x:c>
      <x:c r="I342" s="2" t="inlineStr">
        <x:is>
          <x:t xml:space="preserve">An Invisible wall of force springs into existence at a point you choose within range. The wall appears in any orientation you choose, as a horizontal or vertical barrier or at an angle. It can be free floating or resting on a solid surface. You can form it into a hemispherical dome or a globe with a radius of up to 10 feet, or you can shape a flat surface made up of ten 10-foot-by-10-foot panels. Each panel must be contiguous with another panel. In any form, the wall is 1/4 inch thick and lasts for the duration. If the wall cuts through a creature’s space when it appears, the creature is pushed to one side of the wall (you choose which side). Nothing can physically pass through the wall. It is immune to all damage and can’t be dispelled by Dispel Magic. A Disintegrate spell destroys the wall instantly, however. The wall also extends into the Ethereal Plane and blocks ethereal travel through the wall.</x:t>
        </x:is>
      </x:c>
      <x:c r="J342" s="2" t="inlineStr">
        <x:is>
          <x:t xml:space="preserve">SRD 5.2.1</x:t>
        </x:is>
      </x:c>
      <x:c r="K342" s="2" t="inlineStr">
        <x:is>
          <x:t xml:space="preserve">pp. 107-175</x:t>
        </x:is>
      </x:c>
    </x:row>
    <x:row r="343" ht="18" customHeight="1">
      <x:c r="A343" s="2" t="inlineStr">
        <x:is>
          <x:t xml:space="preserve">Wall of Ice</x:t>
        </x:is>
      </x:c>
      <x:c r="B343" s="2" t="inlineStr">
        <x:is>
          <x:t xml:space="preserve">6</x:t>
        </x:is>
      </x:c>
      <x:c r="C343" s="2" t="inlineStr">
        <x:is>
          <x:t xml:space="preserve">Evocation</x:t>
        </x:is>
      </x:c>
      <x:c r="D343" s="2" t="inlineStr">
        <x:is>
          <x:t xml:space="preserve">Wizard</x:t>
        </x:is>
      </x:c>
      <x:c r="E343" s="2" t="inlineStr">
        <x:is>
          <x:t xml:space="preserve">Action</x:t>
        </x:is>
      </x:c>
      <x:c r="F343" s="2" t="inlineStr">
        <x:is>
          <x:t xml:space="preserve">120 feet</x:t>
        </x:is>
      </x:c>
      <x:c r="G343" s="2" t="inlineStr">
        <x:is>
          <x:t xml:space="preserve">V, S, M (a piece of quartz)</x:t>
        </x:is>
      </x:c>
      <x:c r="H343" s="2" t="inlineStr">
        <x:is>
          <x:t xml:space="preserve">Concentration, up to 10 minutes</x:t>
        </x:is>
      </x:c>
      <x:c r="I343" s="2" t="inlineStr">
        <x:is>
          <x:t xml:space="preserve">You create a wall of ice on a solid surface within range. You can form it into a hemispherical dome or a globe with a radius of up to 10 feet, or you can shape a flat surface made up of ten 10-foot-square panels. Each panel must be contiguous with another panel. In any form, the wall is 1 foot thick and lasts for the duration. If the wall cuts through a creature’s space when it appears, the creature is pushed to one side of the wall (you choose which side) and makes a Dexterity saving throw, taking 10d6 Cold damage on a failed save or half as much damage on a successful one. The wall is an object that can be damaged and thus breached. It has AC 12 and 30 Hit Points per 10-foot section, and it has Immunity to Cold, Poison, and Psychic damage and Vulnerability to Fire damage. Reducing a 10-foot section of wall to 0 Hit Points destroys it and leaves behind a sheet of frigid air in the space the wall occupied. A creature moving through the sheet of frigid air for the first time on a turn makes a Constitution saving throw, taking 5d6 Cold damage on a failed save or half as much damage on a successful one. Using a Higher-Level Spell Slot. The damage the wall deals when it appears increases by 2d6 and the damage from passing through the sheet of frigid air increases by 1d6 for each spell slot level above 6.</x:t>
        </x:is>
      </x:c>
      <x:c r="J343" s="2" t="inlineStr">
        <x:is>
          <x:t xml:space="preserve">SRD 5.2.1</x:t>
        </x:is>
      </x:c>
      <x:c r="K343" s="2" t="inlineStr">
        <x:is>
          <x:t xml:space="preserve">pp. 107-175</x:t>
        </x:is>
      </x:c>
    </x:row>
    <x:row r="344" ht="18" customHeight="1">
      <x:c r="A344" s="2" t="inlineStr">
        <x:is>
          <x:t xml:space="preserve">Wall of Stone</x:t>
        </x:is>
      </x:c>
      <x:c r="B344" s="2" t="inlineStr">
        <x:is>
          <x:t xml:space="preserve">5</x:t>
        </x:is>
      </x:c>
      <x:c r="C344" s="2" t="inlineStr">
        <x:is>
          <x:t xml:space="preserve">Evocation</x:t>
        </x:is>
      </x:c>
      <x:c r="D344" s="2" t="inlineStr">
        <x:is>
          <x:t xml:space="preserve">Druid, Sorcerer, Wizard</x:t>
        </x:is>
      </x:c>
      <x:c r="E344" s="2" t="inlineStr">
        <x:is>
          <x:t xml:space="preserve">Action</x:t>
        </x:is>
      </x:c>
      <x:c r="F344" s="2" t="inlineStr">
        <x:is>
          <x:t xml:space="preserve">120 feet</x:t>
        </x:is>
      </x:c>
      <x:c r="G344" s="2" t="inlineStr">
        <x:is>
          <x:t xml:space="preserve">V, S, M (a cube of granite)</x:t>
        </x:is>
      </x:c>
      <x:c r="H344" s="2" t="inlineStr">
        <x:is>
          <x:t xml:space="preserve">Concentration, up to 10 minutes</x:t>
        </x:is>
      </x:c>
      <x:c r="I344" s="2" t="inlineStr">
        <x:is>
          <x:t xml:space="preserve">A nonmagical wall of solid stone springs into existence at a point you choose within range. The wall is 6 inches thick and is composed of ten 10-foot-by10-foot panels. Each panel must be contiguous with another panel. Alternatively, you can create 10-footby-20-foot panels that are only 3 inches thick. If the wall cuts through a creature’s space when it appears, the creature is pushed to one side of the wall (you choose which side). If a creature would be surrounded on all sides by the wall (or the wall and another solid surface), that creature can make a Dexterity saving throw. On a success, it can use its Reaction to move up to its Speed so that it is no longer enclosed by the wall. The wall can have any shape you desire, though it can’t occupy the same space as a creature or object. The wall doesn’t need to be vertical or rest on a firm foundation. It must, however, merge with and be solidly supported by existing stone. Thus, you can use this spell to bridge a chasm or create a ramp. If you create a span greater than 20 feet in length, you must halve the size of each panel to create supports. You can crudely shape the wall to create battlements and the like. The wall is an object made of stone that can be damaged and thus breached. Each panel has AC 15 and 30 Hit Points per inch of thickness, and it has Immunity to Poison and Psychic damage. Reducing a panel to 0 Hit Points destroys it and might cause connected panels to collapse at the GM’s discretion. If you maintain your Concentration on this spell for its full duration, the wall becomes permanent and can’t be dispelled. Otherwise, the wall disappears when the spell ends.</x:t>
        </x:is>
      </x:c>
      <x:c r="J344" s="2" t="inlineStr">
        <x:is>
          <x:t xml:space="preserve">SRD 5.2.1</x:t>
        </x:is>
      </x:c>
      <x:c r="K344" s="2" t="inlineStr">
        <x:is>
          <x:t xml:space="preserve">pp. 107-175</x:t>
        </x:is>
      </x:c>
    </x:row>
    <x:row r="345" ht="18" customHeight="1">
      <x:c r="A345" s="2" t="inlineStr">
        <x:is>
          <x:t xml:space="preserve">Wall of Thorns</x:t>
        </x:is>
      </x:c>
      <x:c r="B345" s="2" t="inlineStr">
        <x:is>
          <x:t xml:space="preserve">6</x:t>
        </x:is>
      </x:c>
      <x:c r="C345" s="2" t="inlineStr">
        <x:is>
          <x:t xml:space="preserve">Conjuration</x:t>
        </x:is>
      </x:c>
      <x:c r="D345" s="2" t="inlineStr">
        <x:is>
          <x:t xml:space="preserve">Druid</x:t>
        </x:is>
      </x:c>
      <x:c r="E345" s="2" t="inlineStr">
        <x:is>
          <x:t xml:space="preserve">Action</x:t>
        </x:is>
      </x:c>
      <x:c r="F345" s="2" t="inlineStr">
        <x:is>
          <x:t xml:space="preserve">120 feet</x:t>
        </x:is>
      </x:c>
      <x:c r="G345" s="2" t="inlineStr">
        <x:is>
          <x:t xml:space="preserve">V, S, M (a handful of thorns)</x:t>
        </x:is>
      </x:c>
      <x:c r="H345" s="2" t="inlineStr">
        <x:is>
          <x:t xml:space="preserve">Concentration, up to 10 minutes</x:t>
        </x:is>
      </x:c>
      <x:c r="I345" s="2" t="inlineStr">
        <x:is>
          <x:t xml:space="preserve">You create a wall of tangled brush bristling with needle-sharp thorns. The wall appears within range on a solid surface and lasts for the duration. You choose to make the wall up to 60 feet long, 10 feet high, and 5 feet thick or a circle that has a 20-foot diameter and is up to 20 feet high and 5 feet thick. The wall blocks line of sight. When the wall appears, each creature in its area makes a Dexterity saving throw, taking 7d8 Piercing damage on a failed save or half as much damage on a successful one. A creature can move through the wall, albeit slowly and painfully. For every 1 foot a creature moves through the wall, it must spend 4 feet of movement. Furthermore, the first time a creature enters a space in the wall on a turn or ends its turn there, the creature makes a Dexterity saving throw, taking 7d8 Slashing damage on a failed save or half as much damage on a successful one. A creature makes this save only once per turn. Using a Higher-Level Spell Slot. Both types of damage increase by 1d8 for each spell slot level above 6.</x:t>
        </x:is>
      </x:c>
      <x:c r="J345" s="2" t="inlineStr">
        <x:is>
          <x:t xml:space="preserve">SRD 5.2.1</x:t>
        </x:is>
      </x:c>
      <x:c r="K345" s="2" t="inlineStr">
        <x:is>
          <x:t xml:space="preserve">pp. 107-175</x:t>
        </x:is>
      </x:c>
    </x:row>
    <x:row r="346" ht="18" customHeight="1">
      <x:c r="A346" s="2" t="inlineStr">
        <x:is>
          <x:t xml:space="preserve">Warding Bond</x:t>
        </x:is>
      </x:c>
      <x:c r="B346" s="2" t="inlineStr">
        <x:is>
          <x:t xml:space="preserve">2</x:t>
        </x:is>
      </x:c>
      <x:c r="C346" s="2" t="inlineStr">
        <x:is>
          <x:t xml:space="preserve">Abjuration</x:t>
        </x:is>
      </x:c>
      <x:c r="D346" s="2" t="inlineStr">
        <x:is>
          <x:t xml:space="preserve">Cleric, Paladin</x:t>
        </x:is>
      </x:c>
      <x:c r="E346" s="2" t="inlineStr">
        <x:is>
          <x:t xml:space="preserve">Action</x:t>
        </x:is>
      </x:c>
      <x:c r="F346" s="2" t="inlineStr">
        <x:is>
          <x:t xml:space="preserve">Touch</x:t>
        </x:is>
      </x:c>
      <x:c r="G346" s="2" t="inlineStr">
        <x:is>
          <x:t xml:space="preserve">V, S, M (a pair of platinum rings worth</x:t>
        </x:is>
      </x:c>
      <x:c r="H346" s="2" t="inlineStr">
        <x:is>
          <x:t xml:space="preserve">1 hour</x:t>
        </x:is>
      </x:c>
      <x:c r="I346" s="2" t="inlineStr">
        <x:is>
          <x:t xml:space="preserve">You touch another creature that is willing and create a mystic connection between you and the target until the spell ends. While the target is within 60 feet of you, it gains a +1 bonus to AC and saving throws, and it has Resistance to all damage. Also, each time it takes damage, you take the same amount of damage. The spell ends if you drop to 0 Hit Points or if you and the target become separated by more than 60 feet. It also ends if the spell is cast again on either of the connected creatures.</x:t>
        </x:is>
      </x:c>
      <x:c r="J346" s="2" t="inlineStr">
        <x:is>
          <x:t xml:space="preserve">SRD 5.2.1</x:t>
        </x:is>
      </x:c>
      <x:c r="K346" s="2" t="inlineStr">
        <x:is>
          <x:t xml:space="preserve">pp. 107-175</x:t>
        </x:is>
      </x:c>
    </x:row>
    <x:row r="347" ht="18" customHeight="1">
      <x:c r="A347" s="2" t="inlineStr">
        <x:is>
          <x:t xml:space="preserve">Water Breathing</x:t>
        </x:is>
      </x:c>
      <x:c r="B347" s="2" t="inlineStr">
        <x:is>
          <x:t xml:space="preserve">3</x:t>
        </x:is>
      </x:c>
      <x:c r="C347" s="2" t="inlineStr">
        <x:is>
          <x:t xml:space="preserve">Transmutation</x:t>
        </x:is>
      </x:c>
      <x:c r="D347" s="2" t="inlineStr">
        <x:is>
          <x:t xml:space="preserve"/>
        </x:is>
      </x:c>
      <x:c r="E347" s="2" t="inlineStr">
        <x:is>
          <x:t xml:space="preserve">Action or Ritual</x:t>
        </x:is>
      </x:c>
      <x:c r="F347" s="2" t="inlineStr">
        <x:is>
          <x:t xml:space="preserve">30 feet</x:t>
        </x:is>
      </x:c>
      <x:c r="G347" s="2" t="inlineStr">
        <x:is>
          <x:t xml:space="preserve">V, S, M (a short reed)</x:t>
        </x:is>
      </x:c>
      <x:c r="H347" s="2" t="inlineStr">
        <x:is>
          <x:t xml:space="preserve">24 hours</x:t>
        </x:is>
      </x:c>
      <x:c r="I347" s="2" t="inlineStr">
        <x:is>
          <x:t xml:space="preserve">This spell grants up to ten willing creatures of your choice within range the ability to breathe underwater until the spell ends. Affected creatures also retain their normal mode of respiration.</x:t>
        </x:is>
      </x:c>
      <x:c r="J347" s="2" t="inlineStr">
        <x:is>
          <x:t xml:space="preserve">SRD 5.2.1</x:t>
        </x:is>
      </x:c>
      <x:c r="K347" s="2" t="inlineStr">
        <x:is>
          <x:t xml:space="preserve">pp. 107-175</x:t>
        </x:is>
      </x:c>
    </x:row>
    <x:row r="348" ht="18" customHeight="1">
      <x:c r="A348" s="2" t="inlineStr">
        <x:is>
          <x:t xml:space="preserve">Water Walk</x:t>
        </x:is>
      </x:c>
      <x:c r="B348" s="2" t="inlineStr">
        <x:is>
          <x:t xml:space="preserve">3</x:t>
        </x:is>
      </x:c>
      <x:c r="C348" s="2" t="inlineStr">
        <x:is>
          <x:t xml:space="preserve">Transmutation</x:t>
        </x:is>
      </x:c>
      <x:c r="D348" s="2" t="inlineStr">
        <x:is>
          <x:t xml:space="preserve">Cleric, Druid, Ranger, Sorcerer</x:t>
        </x:is>
      </x:c>
      <x:c r="E348" s="2" t="inlineStr">
        <x:is>
          <x:t xml:space="preserve">Action or Ritual</x:t>
        </x:is>
      </x:c>
      <x:c r="F348" s="2" t="inlineStr">
        <x:is>
          <x:t xml:space="preserve">30 feet</x:t>
        </x:is>
      </x:c>
      <x:c r="G348" s="2" t="inlineStr">
        <x:is>
          <x:t xml:space="preserve">V, S, M (a piece of cork)</x:t>
        </x:is>
      </x:c>
      <x:c r="H348" s="2" t="inlineStr">
        <x:is>
          <x:t xml:space="preserve">1 hour</x:t>
        </x:is>
      </x:c>
      <x:c r="I348" s="2" t="inlineStr">
        <x:is>
          <x:t xml:space="preserve">This spell grants the ability to move across any liquid surface—such as water, acid, mud, snow, quicksand, or lava—as if it were harmless solid ground (creatures crossing molten lava can still take damage from the heat). Up to ten willing creatures of your choice within range gain this ability for the duration. An affected target must take a Bonus Action to pass from the liquid’s surface into the liquid itself and vice versa, but if the target falls into the liquid, the target passes through the surface into the liquid below.</x:t>
        </x:is>
      </x:c>
      <x:c r="J348" s="2" t="inlineStr">
        <x:is>
          <x:t xml:space="preserve">SRD 5.2.1</x:t>
        </x:is>
      </x:c>
      <x:c r="K348" s="2" t="inlineStr">
        <x:is>
          <x:t xml:space="preserve">pp. 107-175</x:t>
        </x:is>
      </x:c>
    </x:row>
    <x:row r="349" ht="18" customHeight="1">
      <x:c r="A349" s="2" t="inlineStr">
        <x:is>
          <x:t xml:space="preserve">Web</x:t>
        </x:is>
      </x:c>
      <x:c r="B349" s="2" t="inlineStr">
        <x:is>
          <x:t xml:space="preserve">2</x:t>
        </x:is>
      </x:c>
      <x:c r="C349" s="2" t="inlineStr">
        <x:is>
          <x:t xml:space="preserve">Conjuration</x:t>
        </x:is>
      </x:c>
      <x:c r="D349" s="2" t="inlineStr">
        <x:is>
          <x:t xml:space="preserve">Sorcerer, Wizard</x:t>
        </x:is>
      </x:c>
      <x:c r="E349" s="2" t="inlineStr">
        <x:is>
          <x:t xml:space="preserve">Action</x:t>
        </x:is>
      </x:c>
      <x:c r="F349" s="2" t="inlineStr">
        <x:is>
          <x:t xml:space="preserve">60 feet</x:t>
        </x:is>
      </x:c>
      <x:c r="G349" s="2" t="inlineStr">
        <x:is>
          <x:t xml:space="preserve">V, S, M (a bit of spiderweb)</x:t>
        </x:is>
      </x:c>
      <x:c r="H349" s="2" t="inlineStr">
        <x:is>
          <x:t xml:space="preserve">Concentration, up to 1 hour</x:t>
        </x:is>
      </x:c>
      <x:c r="I349" s="2" t="inlineStr">
        <x:is>
          <x:t xml:space="preserve">You conjure a mass of sticky webbing at a point within range. The webs fill a 20-foot Cube there for the duration. The webs are Difficult Terrain, and the area within them is Lightly Obscured. If the webs aren’t anchored between two solid masses (such as walls or trees) or layered across a floor, wall, or ceiling, the web collapses on itself, and the spell ends at the start of your next turn. Webs layered over a flat surface have a depth of 5 feet. The first time a creature enters the webs on a turn or starts its turn there, it must succeed on a Dexterity saving throw or have the Restrained condition while in the webs or until it breaks free. A creature Restrained by the webs can take an action to make a Strength (Athletics) check against your spell save DC. If it succeeds, it is no longer Restrained. The webs are flammable. Any 5-foot Cube of webs exposed to fire burns away in 1 round, dealing 2d4 Fire damage to any creature that starts its turn in the fire.</x:t>
        </x:is>
      </x:c>
      <x:c r="J349" s="2" t="inlineStr">
        <x:is>
          <x:t xml:space="preserve">SRD 5.2.1</x:t>
        </x:is>
      </x:c>
      <x:c r="K349" s="2" t="inlineStr">
        <x:is>
          <x:t xml:space="preserve">pp. 107-175</x:t>
        </x:is>
      </x:c>
    </x:row>
    <x:row r="350" ht="18" customHeight="1">
      <x:c r="A350" s="2" t="inlineStr">
        <x:is>
          <x:t xml:space="preserve">Weird</x:t>
        </x:is>
      </x:c>
      <x:c r="B350" s="2" t="inlineStr">
        <x:is>
          <x:t xml:space="preserve">9</x:t>
        </x:is>
      </x:c>
      <x:c r="C350" s="2" t="inlineStr">
        <x:is>
          <x:t xml:space="preserve">Illusion</x:t>
        </x:is>
      </x:c>
      <x:c r="D350" s="2" t="inlineStr">
        <x:is>
          <x:t xml:space="preserve">Warlock, Wizard</x:t>
        </x:is>
      </x:c>
      <x:c r="E350" s="2" t="inlineStr">
        <x:is>
          <x:t xml:space="preserve">Action</x:t>
        </x:is>
      </x:c>
      <x:c r="F350" s="2" t="inlineStr">
        <x:is>
          <x:t xml:space="preserve">120 feet</x:t>
        </x:is>
      </x:c>
      <x:c r="G350" s="2" t="inlineStr">
        <x:is>
          <x:t xml:space="preserve">V, S</x:t>
        </x:is>
      </x:c>
      <x:c r="H350" s="2" t="inlineStr">
        <x:is>
          <x:t xml:space="preserve">Concentration, up to 1 minute</x:t>
        </x:is>
      </x:c>
      <x:c r="I350" s="2" t="inlineStr">
        <x:is>
          <x:t xml:space="preserve">You try to create illusory terrors in others’ minds. Each creature of your choice in a 30-foot-radius Sphere centered on a point within range makes a Wisdom saving throw. On a failed save, a target takes 10d10 Psychic damage and has the Frightened condition for the duration. On a successful save, a target takes half as much damage only. A Frightened target makes a Wisdom saving throw at the end of each of its turns. On a failed save, it takes 5d10 Psychic damage. On a successful save, the spell ends on that target.</x:t>
        </x:is>
      </x:c>
      <x:c r="J350" s="2" t="inlineStr">
        <x:is>
          <x:t xml:space="preserve">SRD 5.2.1</x:t>
        </x:is>
      </x:c>
      <x:c r="K350" s="2" t="inlineStr">
        <x:is>
          <x:t xml:space="preserve">pp. 107-175</x:t>
        </x:is>
      </x:c>
    </x:row>
    <x:row r="351" ht="18" customHeight="1">
      <x:c r="A351" s="2" t="inlineStr">
        <x:is>
          <x:t xml:space="preserve">Wind Walk</x:t>
        </x:is>
      </x:c>
      <x:c r="B351" s="2" t="inlineStr">
        <x:is>
          <x:t xml:space="preserve">6</x:t>
        </x:is>
      </x:c>
      <x:c r="C351" s="2" t="inlineStr">
        <x:is>
          <x:t xml:space="preserve">Transmutation</x:t>
        </x:is>
      </x:c>
      <x:c r="D351" s="2" t="inlineStr">
        <x:is>
          <x:t xml:space="preserve">Druid</x:t>
        </x:is>
      </x:c>
      <x:c r="E351" s="2" t="inlineStr">
        <x:is>
          <x:t xml:space="preserve">1 minute</x:t>
        </x:is>
      </x:c>
      <x:c r="F351" s="2" t="inlineStr">
        <x:is>
          <x:t xml:space="preserve">30 feet</x:t>
        </x:is>
      </x:c>
      <x:c r="G351" s="2" t="inlineStr">
        <x:is>
          <x:t xml:space="preserve">V, S, M (a candle)</x:t>
        </x:is>
      </x:c>
      <x:c r="H351" s="2" t="inlineStr">
        <x:is>
          <x:t xml:space="preserve">8 hours</x:t>
        </x:is>
      </x:c>
      <x:c r="I351" s="2" t="inlineStr">
        <x:is>
          <x:t xml:space="preserve">You and up to ten willing creatures of your choice within range assume gaseous forms for the duration, appearing as wisps of cloud. While in this cloud form, a target has a Fly Speed of 300 feet and can hover; it has Immunity to the Prone condition; and it has Resistance to Bludgeoning, Piercing, and Slashing damage. The only actions a target can take in this form are the Dash action or a Magic action to begin reverting to its normal form. Reverting takes 1 minute, during which the target has the Stunned condition. Until the spell ends, the target can revert to cloud form, which also requires a Magic action followed by a 1-minute transformation. If a target is in cloud form and flying when the effect ends, the target descends 60 feet per round for 1 minute until it lands, which it does safely. If it can’t land after 1 minute, it falls the remaining distance.</x:t>
        </x:is>
      </x:c>
      <x:c r="J351" s="2" t="inlineStr">
        <x:is>
          <x:t xml:space="preserve">SRD 5.2.1</x:t>
        </x:is>
      </x:c>
      <x:c r="K351" s="2" t="inlineStr">
        <x:is>
          <x:t xml:space="preserve">pp. 107-175</x:t>
        </x:is>
      </x:c>
    </x:row>
    <x:row r="352" ht="18" customHeight="1">
      <x:c r="A352" s="2" t="inlineStr">
        <x:is>
          <x:t xml:space="preserve">Wind Wall</x:t>
        </x:is>
      </x:c>
      <x:c r="B352" s="2" t="inlineStr">
        <x:is>
          <x:t xml:space="preserve">3</x:t>
        </x:is>
      </x:c>
      <x:c r="C352" s="2" t="inlineStr">
        <x:is>
          <x:t xml:space="preserve">Evocation</x:t>
        </x:is>
      </x:c>
      <x:c r="D352" s="2" t="inlineStr">
        <x:is>
          <x:t xml:space="preserve">Druid, Ranger</x:t>
        </x:is>
      </x:c>
      <x:c r="E352" s="2" t="inlineStr">
        <x:is>
          <x:t xml:space="preserve">Action</x:t>
        </x:is>
      </x:c>
      <x:c r="F352" s="2" t="inlineStr">
        <x:is>
          <x:t xml:space="preserve">120 feet</x:t>
        </x:is>
      </x:c>
      <x:c r="G352" s="2" t="inlineStr">
        <x:is>
          <x:t xml:space="preserve">V, S, M (a fan and a feather)</x:t>
        </x:is>
      </x:c>
      <x:c r="H352" s="2" t="inlineStr">
        <x:is>
          <x:t xml:space="preserve">Concentration, up to 1 minute</x:t>
        </x:is>
      </x:c>
      <x:c r="I352" s="2" t="inlineStr">
        <x:is>
          <x:t xml:space="preserve">A wall of strong wind rises from the ground at a point you choose within range. You can make the wall up to 50 feet long, 15 feet high, and 1 foot thick. You can shape the wall in any way you choose so long as it makes one continuous path along the ground. The wall lasts for the duration. When the wall appears, each creature in its area makes a Strength saving throw, taking 4d8 Bludgeoning damage on a failed save or half as much damage on a successful one. The strong wind keeps fog, smoke, and other gases at bay. Small or smaller flying creatures or objects can’t pass through the wall. Loose, lightweight materials brought into the wall fly upward. Arrows, bolts, and other ordinary projectiles launched at targets behind the wall are deflected upward and miss automatically. Boulders hurled by Giants or siege engines, and similar projectiles, are unaffected. Creatures in gaseous form can’t pass through it.</x:t>
        </x:is>
      </x:c>
      <x:c r="J352" s="2" t="inlineStr">
        <x:is>
          <x:t xml:space="preserve">SRD 5.2.1</x:t>
        </x:is>
      </x:c>
      <x:c r="K352" s="2" t="inlineStr">
        <x:is>
          <x:t xml:space="preserve">pp. 107-175</x:t>
        </x:is>
      </x:c>
    </x:row>
    <x:row r="353" ht="18" customHeight="1">
      <x:c r="A353" s="2" t="inlineStr">
        <x:is>
          <x:t xml:space="preserve">Wish</x:t>
        </x:is>
      </x:c>
      <x:c r="B353" s="2" t="inlineStr">
        <x:is>
          <x:t xml:space="preserve">9</x:t>
        </x:is>
      </x:c>
      <x:c r="C353" s="2" t="inlineStr">
        <x:is>
          <x:t xml:space="preserve">Conjuration</x:t>
        </x:is>
      </x:c>
      <x:c r="D353" s="2" t="inlineStr">
        <x:is>
          <x:t xml:space="preserve">Sorcerer, Wizard</x:t>
        </x:is>
      </x:c>
      <x:c r="E353" s="2" t="inlineStr">
        <x:is>
          <x:t xml:space="preserve">Action</x:t>
        </x:is>
      </x:c>
      <x:c r="F353" s="2" t="inlineStr">
        <x:is>
          <x:t xml:space="preserve">Self</x:t>
        </x:is>
      </x:c>
      <x:c r="G353" s="2" t="inlineStr">
        <x:is>
          <x:t xml:space="preserve">V</x:t>
        </x:is>
      </x:c>
      <x:c r="H353" s="2" t="inlineStr">
        <x:is>
          <x:t xml:space="preserve">Instantaneous</x:t>
        </x:is>
      </x:c>
      <x:c r="I353" s="2" t="inlineStr">
        <x:is>
          <x:t xml:space="preserve">Wish is the mightiest spell a mortal can cast. By simply speaking aloud, you can alter reality itself. The basic use of this spell is to duplicate any other spell of level 8 or lower. If you use it this way, you don’t need to meet any requirements to cast that spell, including costly components. The spell simply takes effect. Alternatively, you can create one of the following effects of your choice: Object Creation. You create one object of up to 25,000 GP in value that isn’t a magic item. The object can be no more than 300 feet in any dimension, and it appears in an unoccupied space that you can see on the ground. Instant Health. You allow yourself and up to twenty creatures that you can see to regain all Hit Points, and you end all effects on them listed in the Greater Restoration spell. Resistance. You grant up to ten creatures that you can see Resistance to one damage type that you choose. This Resistance is permanent. Spell Immunity. You grant up to ten creatures you can see immunity to a single spell or other magical effect for 8 hours. Sudden Learning. You replace one of your feats with another feat for which you are eligible. You lose all the benefits of the old feat and gain the benefits of the new one. You can’t replace a feat that is a prerequisite for any of your other feats or features. Roll Redo. You undo a single recent event by forcing a reroll of any die roll made within the last round (including your last turn). Reality reshapes itself to accommodate the new result. For example, a Wish spell could undo an ally’s failed saving throw or a foe’s Critical Hit. You can force the reroll to be made with Advantage or Disadvantage, and you choose whether to use the reroll or the original roll. Reshape Reality. You may wish for something not included in any of the other effects. To do so, state your wish to the GM as precisely as possible. The GM has great latitude in ruling what occurs in such an instance; the greater the wish, the greater the likelihood that something goes wrong. This spell might simply fail, the effect you desire might be achieved only in part, or you might suffer an unforeseen consequence as a result of how you worded the wish. For example, wishing that a villain were dead might propel you forward in time to a period when that villain is no longer alive, effectively removing you from the game. Similarly, wishing for a Legendary magic item or an Artifact might instantly transport you to the presence of the item’s current owner. </x:t>
        </x:is>
      </x:c>
      <x:c r="J353" s="2" t="inlineStr">
        <x:is>
          <x:t xml:space="preserve">SRD 5.2.1</x:t>
        </x:is>
      </x:c>
      <x:c r="K353" s="2" t="inlineStr">
        <x:is>
          <x:t xml:space="preserve">pp. 107-175</x:t>
        </x:is>
      </x:c>
    </x:row>
    <x:row r="354" ht="18" customHeight="1">
      <x:c r="A354" s="2" t="inlineStr">
        <x:is>
          <x:t xml:space="preserve">Word of Recall</x:t>
        </x:is>
      </x:c>
      <x:c r="B354" s="2" t="inlineStr">
        <x:is>
          <x:t xml:space="preserve">6</x:t>
        </x:is>
      </x:c>
      <x:c r="C354" s="2" t="inlineStr">
        <x:is>
          <x:t xml:space="preserve">Conjuration</x:t>
        </x:is>
      </x:c>
      <x:c r="D354" s="2" t="inlineStr">
        <x:is>
          <x:t xml:space="preserve">Cleric</x:t>
        </x:is>
      </x:c>
      <x:c r="E354" s="2" t="inlineStr">
        <x:is>
          <x:t xml:space="preserve">Action</x:t>
        </x:is>
      </x:c>
      <x:c r="F354" s="2" t="inlineStr">
        <x:is>
          <x:t xml:space="preserve">5 feet</x:t>
        </x:is>
      </x:c>
      <x:c r="G354" s="2" t="inlineStr">
        <x:is>
          <x:t xml:space="preserve">V</x:t>
        </x:is>
      </x:c>
      <x:c r="H354" s="2" t="inlineStr">
        <x:is>
          <x:t xml:space="preserve">Instantaneous</x:t>
        </x:is>
      </x:c>
      <x:c r="I354" s="2" t="inlineStr">
        <x:is>
          <x:t xml:space="preserve">You and up to five willing creatures within 5 feet of you instantly teleport to a previously designated sanctuary. You and any creatures that teleport with you appear in the nearest unoccupied space to the spot you designated when you prepared your sanctuary (see below). If you cast this spell without first preparing a sanctuary, the spell has no effect. You must designate a location, such as a temple, as a sanctuary by casting this spell there.</x:t>
        </x:is>
      </x:c>
      <x:c r="J354" s="2" t="inlineStr">
        <x:is>
          <x:t xml:space="preserve">SRD 5.2.1</x:t>
        </x:is>
      </x:c>
      <x:c r="K354" s="2" t="inlineStr">
        <x:is>
          <x:t xml:space="preserve">pp. 107-175</x:t>
        </x:is>
      </x:c>
    </x:row>
    <x:row r="355" ht="18" customHeight="1">
      <x:c r="A355" s="2" t="inlineStr">
        <x:is>
          <x:t xml:space="preserve">Zone of Truth</x:t>
        </x:is>
      </x:c>
      <x:c r="B355" s="2" t="inlineStr">
        <x:is>
          <x:t xml:space="preserve">2</x:t>
        </x:is>
      </x:c>
      <x:c r="C355" s="2" t="inlineStr">
        <x:is>
          <x:t xml:space="preserve">Enchantment</x:t>
        </x:is>
      </x:c>
      <x:c r="D355" s="2" t="inlineStr">
        <x:is>
          <x:t xml:space="preserve">Bard, Cleric, Paladin</x:t>
        </x:is>
      </x:c>
      <x:c r="E355" s="2" t="inlineStr">
        <x:is>
          <x:t xml:space="preserve">Action</x:t>
        </x:is>
      </x:c>
      <x:c r="F355" s="2" t="inlineStr">
        <x:is>
          <x:t xml:space="preserve">60 feet</x:t>
        </x:is>
      </x:c>
      <x:c r="G355" s="2" t="inlineStr">
        <x:is>
          <x:t xml:space="preserve">V, S</x:t>
        </x:is>
      </x:c>
      <x:c r="H355" s="2" t="inlineStr">
        <x:is>
          <x:t xml:space="preserve">10 minutes</x:t>
        </x:is>
      </x:c>
      <x:c r="I355" s="2" t="inlineStr">
        <x:is>
          <x:t xml:space="preserve">You create a magical zone that guards against deception in a 15-foot-radius Sphere centered on a point within range. Until the spell ends, a creature that enters the spell’s area for the first time on a turn or starts its turn there makes a Charisma saving throw. On a failed save, a creature can’t speak a deliberate lie while in the radius. You know whether a creature succeeds or fails on this save. An affected creature is aware of the spell and can avoid answering questions to which it would normally respond with a lie. Such a creature can be</x:t>
        </x:is>
      </x:c>
      <x:c r="J355" s="2" t="inlineStr">
        <x:is>
          <x:t xml:space="preserve">SRD 5.2.1</x:t>
        </x:is>
      </x:c>
      <x:c r="K355" s="2" t="inlineStr">
        <x:is>
          <x:t xml:space="preserve">pp. 107-175</x:t>
        </x:is>
      </x:c>
    </x:row>
  </x:sheetData>
  <x:pageMargins left="0.7" right="0.7" top="0.75" bottom="0.75" header="0.3" footer="0.3"/>
</x:worksheet>
</file>

<file path=xl/worksheets/sheet25.xml><?xml version="1.0" encoding="utf-8"?>
<x:worksheet xmlns:x="http://schemas.openxmlformats.org/spreadsheetml/2006/main">
  <x:sheetViews>
    <x:sheetView showGridLines="1" workbookViewId="0"/>
  </x:sheetViews>
  <x:sheetFormatPr baseColWidth="8" defaultRowHeight="15"/>
  <x:cols>
    <x:col min="1" max="1" width="10" customWidth="1"/>
    <x:col min="2" max="2" width="10" customWidth="1"/>
    <x:col min="3" max="3" width="27" customWidth="1"/>
    <x:col min="4" max="4" width="15" customWidth="1"/>
    <x:col min="5" max="5" width="35" customWidth="1"/>
    <x:col min="6" max="6" width="11" customWidth="1"/>
  </x:cols>
  <x:sheetData>
    <x:row r="1" ht="18" customHeight="1">
      <x:c r="A1" s="5" t="inlineStr">
        <x:is>
          <x:t xml:space="preserve">Class</x:t>
        </x:is>
      </x:c>
      <x:c r="B1" s="9" t="inlineStr">
        <x:is>
          <x:t xml:space="preserve">Level</x:t>
        </x:is>
      </x:c>
      <x:c r="C1" s="9" t="inlineStr">
        <x:is>
          <x:t xml:space="preserve">Spell</x:t>
        </x:is>
      </x:c>
      <x:c r="D1" s="9" t="inlineStr">
        <x:is>
          <x:t xml:space="preserve">School</x:t>
        </x:is>
      </x:c>
      <x:c r="E1" s="9" t="inlineStr">
        <x:is>
          <x:t xml:space="preserve">Basis</x:t>
        </x:is>
      </x:c>
      <x:c r="F1" s="9" t="inlineStr">
        <x:is>
          <x:t xml:space="preserve">Source</x:t>
        </x:is>
      </x:c>
    </x:row>
    <x:row r="2" ht="18" customHeight="1">
      <x:c r="A2" s="2" t="inlineStr">
        <x:is>
          <x:t xml:space="preserve">Bard</x:t>
        </x:is>
      </x:c>
      <x:c r="B2" s="2" t="inlineStr">
        <x:is>
          <x:t xml:space="preserve">1</x:t>
        </x:is>
      </x:c>
      <x:c r="C2" s="2" t="inlineStr">
        <x:is>
          <x:t xml:space="preserve">Animal Friendship</x:t>
        </x:is>
      </x:c>
      <x:c r="D2" s="2" t="inlineStr">
        <x:is>
          <x:t xml:space="preserve">Enchantment</x:t>
        </x:is>
      </x:c>
      <x:c r="E2" s="2" t="inlineStr">
        <x:is>
          <x:t xml:space="preserve">From spell description class tags</x:t>
        </x:is>
      </x:c>
      <x:c r="F2" s="2" t="inlineStr">
        <x:is>
          <x:t xml:space="preserve">SRD 5.2.1</x:t>
        </x:is>
      </x:c>
    </x:row>
    <x:row r="3" ht="18" customHeight="1">
      <x:c r="A3" s="2" t="inlineStr">
        <x:is>
          <x:t xml:space="preserve">Bard</x:t>
        </x:is>
      </x:c>
      <x:c r="B3" s="2" t="inlineStr">
        <x:is>
          <x:t xml:space="preserve">1</x:t>
        </x:is>
      </x:c>
      <x:c r="C3" s="2" t="inlineStr">
        <x:is>
          <x:t xml:space="preserve">Bane</x:t>
        </x:is>
      </x:c>
      <x:c r="D3" s="2" t="inlineStr">
        <x:is>
          <x:t xml:space="preserve">Enchantment</x:t>
        </x:is>
      </x:c>
      <x:c r="E3" s="2" t="inlineStr">
        <x:is>
          <x:t xml:space="preserve">From spell description class tags</x:t>
        </x:is>
      </x:c>
      <x:c r="F3" s="2" t="inlineStr">
        <x:is>
          <x:t xml:space="preserve">SRD 5.2.1</x:t>
        </x:is>
      </x:c>
    </x:row>
    <x:row r="4" ht="18" customHeight="1">
      <x:c r="A4" s="2" t="inlineStr">
        <x:is>
          <x:t xml:space="preserve">Bard</x:t>
        </x:is>
      </x:c>
      <x:c r="B4" s="2" t="inlineStr">
        <x:is>
          <x:t xml:space="preserve">1</x:t>
        </x:is>
      </x:c>
      <x:c r="C4" s="2" t="inlineStr">
        <x:is>
          <x:t xml:space="preserve">Color Spray</x:t>
        </x:is>
      </x:c>
      <x:c r="D4" s="2" t="inlineStr">
        <x:is>
          <x:t xml:space="preserve">Illusion</x:t>
        </x:is>
      </x:c>
      <x:c r="E4" s="2" t="inlineStr">
        <x:is>
          <x:t xml:space="preserve">From spell description class tags</x:t>
        </x:is>
      </x:c>
      <x:c r="F4" s="2" t="inlineStr">
        <x:is>
          <x:t xml:space="preserve">SRD 5.2.1</x:t>
        </x:is>
      </x:c>
    </x:row>
    <x:row r="5" ht="18" customHeight="1">
      <x:c r="A5" s="2" t="inlineStr">
        <x:is>
          <x:t xml:space="preserve">Bard</x:t>
        </x:is>
      </x:c>
      <x:c r="B5" s="2" t="inlineStr">
        <x:is>
          <x:t xml:space="preserve">1</x:t>
        </x:is>
      </x:c>
      <x:c r="C5" s="2" t="inlineStr">
        <x:is>
          <x:t xml:space="preserve">Command</x:t>
        </x:is>
      </x:c>
      <x:c r="D5" s="2" t="inlineStr">
        <x:is>
          <x:t xml:space="preserve">Enchantment</x:t>
        </x:is>
      </x:c>
      <x:c r="E5" s="2" t="inlineStr">
        <x:is>
          <x:t xml:space="preserve">From spell description class tags</x:t>
        </x:is>
      </x:c>
      <x:c r="F5" s="2" t="inlineStr">
        <x:is>
          <x:t xml:space="preserve">SRD 5.2.1</x:t>
        </x:is>
      </x:c>
    </x:row>
    <x:row r="6" ht="18" customHeight="1">
      <x:c r="A6" s="2" t="inlineStr">
        <x:is>
          <x:t xml:space="preserve">Bard</x:t>
        </x:is>
      </x:c>
      <x:c r="B6" s="2" t="inlineStr">
        <x:is>
          <x:t xml:space="preserve">1</x:t>
        </x:is>
      </x:c>
      <x:c r="C6" s="2" t="inlineStr">
        <x:is>
          <x:t xml:space="preserve">Comprehend Languages</x:t>
        </x:is>
      </x:c>
      <x:c r="D6" s="2" t="inlineStr">
        <x:is>
          <x:t xml:space="preserve">Divination</x:t>
        </x:is>
      </x:c>
      <x:c r="E6" s="2" t="inlineStr">
        <x:is>
          <x:t xml:space="preserve">From spell description class tags</x:t>
        </x:is>
      </x:c>
      <x:c r="F6" s="2" t="inlineStr">
        <x:is>
          <x:t xml:space="preserve">SRD 5.2.1</x:t>
        </x:is>
      </x:c>
    </x:row>
    <x:row r="7" ht="18" customHeight="1">
      <x:c r="A7" s="2" t="inlineStr">
        <x:is>
          <x:t xml:space="preserve">Bard</x:t>
        </x:is>
      </x:c>
      <x:c r="B7" s="2" t="inlineStr">
        <x:is>
          <x:t xml:space="preserve">1</x:t>
        </x:is>
      </x:c>
      <x:c r="C7" s="2" t="inlineStr">
        <x:is>
          <x:t xml:space="preserve">Disguise Self</x:t>
        </x:is>
      </x:c>
      <x:c r="D7" s="2" t="inlineStr">
        <x:is>
          <x:t xml:space="preserve">Illusion</x:t>
        </x:is>
      </x:c>
      <x:c r="E7" s="2" t="inlineStr">
        <x:is>
          <x:t xml:space="preserve">From spell description class tags</x:t>
        </x:is>
      </x:c>
      <x:c r="F7" s="2" t="inlineStr">
        <x:is>
          <x:t xml:space="preserve">SRD 5.2.1</x:t>
        </x:is>
      </x:c>
    </x:row>
    <x:row r="8" ht="18" customHeight="1">
      <x:c r="A8" s="2" t="inlineStr">
        <x:is>
          <x:t xml:space="preserve">Bard</x:t>
        </x:is>
      </x:c>
      <x:c r="B8" s="2" t="inlineStr">
        <x:is>
          <x:t xml:space="preserve">1</x:t>
        </x:is>
      </x:c>
      <x:c r="C8" s="2" t="inlineStr">
        <x:is>
          <x:t xml:space="preserve">Dissonant Whispers</x:t>
        </x:is>
      </x:c>
      <x:c r="D8" s="2" t="inlineStr">
        <x:is>
          <x:t xml:space="preserve">Enchantment</x:t>
        </x:is>
      </x:c>
      <x:c r="E8" s="2" t="inlineStr">
        <x:is>
          <x:t xml:space="preserve">From spell description class tags</x:t>
        </x:is>
      </x:c>
      <x:c r="F8" s="2" t="inlineStr">
        <x:is>
          <x:t xml:space="preserve">SRD 5.2.1</x:t>
        </x:is>
      </x:c>
    </x:row>
    <x:row r="9" ht="18" customHeight="1">
      <x:c r="A9" s="2" t="inlineStr">
        <x:is>
          <x:t xml:space="preserve">Bard</x:t>
        </x:is>
      </x:c>
      <x:c r="B9" s="2" t="inlineStr">
        <x:is>
          <x:t xml:space="preserve">1</x:t>
        </x:is>
      </x:c>
      <x:c r="C9" s="2" t="inlineStr">
        <x:is>
          <x:t xml:space="preserve">Faerie Fire</x:t>
        </x:is>
      </x:c>
      <x:c r="D9" s="2" t="inlineStr">
        <x:is>
          <x:t xml:space="preserve">Evocation</x:t>
        </x:is>
      </x:c>
      <x:c r="E9" s="2" t="inlineStr">
        <x:is>
          <x:t xml:space="preserve">From spell description class tags</x:t>
        </x:is>
      </x:c>
      <x:c r="F9" s="2" t="inlineStr">
        <x:is>
          <x:t xml:space="preserve">SRD 5.2.1</x:t>
        </x:is>
      </x:c>
    </x:row>
    <x:row r="10" ht="18" customHeight="1">
      <x:c r="A10" s="2" t="inlineStr">
        <x:is>
          <x:t xml:space="preserve">Bard</x:t>
        </x:is>
      </x:c>
      <x:c r="B10" s="2" t="inlineStr">
        <x:is>
          <x:t xml:space="preserve">1</x:t>
        </x:is>
      </x:c>
      <x:c r="C10" s="2" t="inlineStr">
        <x:is>
          <x:t xml:space="preserve">Feather Fall</x:t>
        </x:is>
      </x:c>
      <x:c r="D10" s="2" t="inlineStr">
        <x:is>
          <x:t xml:space="preserve">Transmutation</x:t>
        </x:is>
      </x:c>
      <x:c r="E10" s="2" t="inlineStr">
        <x:is>
          <x:t xml:space="preserve">From spell description class tags</x:t>
        </x:is>
      </x:c>
      <x:c r="F10" s="2" t="inlineStr">
        <x:is>
          <x:t xml:space="preserve">SRD 5.2.1</x:t>
        </x:is>
      </x:c>
    </x:row>
    <x:row r="11" ht="18" customHeight="1">
      <x:c r="A11" s="2" t="inlineStr">
        <x:is>
          <x:t xml:space="preserve">Bard</x:t>
        </x:is>
      </x:c>
      <x:c r="B11" s="2" t="inlineStr">
        <x:is>
          <x:t xml:space="preserve">1</x:t>
        </x:is>
      </x:c>
      <x:c r="C11" s="2" t="inlineStr">
        <x:is>
          <x:t xml:space="preserve">Healing Word</x:t>
        </x:is>
      </x:c>
      <x:c r="D11" s="2" t="inlineStr">
        <x:is>
          <x:t xml:space="preserve">Abjuration</x:t>
        </x:is>
      </x:c>
      <x:c r="E11" s="2" t="inlineStr">
        <x:is>
          <x:t xml:space="preserve">From spell description class tags</x:t>
        </x:is>
      </x:c>
      <x:c r="F11" s="2" t="inlineStr">
        <x:is>
          <x:t xml:space="preserve">SRD 5.2.1</x:t>
        </x:is>
      </x:c>
    </x:row>
    <x:row r="12" ht="18" customHeight="1">
      <x:c r="A12" s="2" t="inlineStr">
        <x:is>
          <x:t xml:space="preserve">Bard</x:t>
        </x:is>
      </x:c>
      <x:c r="B12" s="2" t="inlineStr">
        <x:is>
          <x:t xml:space="preserve">1</x:t>
        </x:is>
      </x:c>
      <x:c r="C12" s="2" t="inlineStr">
        <x:is>
          <x:t xml:space="preserve">Heroism</x:t>
        </x:is>
      </x:c>
      <x:c r="D12" s="2" t="inlineStr">
        <x:is>
          <x:t xml:space="preserve">Enchantment</x:t>
        </x:is>
      </x:c>
      <x:c r="E12" s="2" t="inlineStr">
        <x:is>
          <x:t xml:space="preserve">From spell description class tags</x:t>
        </x:is>
      </x:c>
      <x:c r="F12" s="2" t="inlineStr">
        <x:is>
          <x:t xml:space="preserve">SRD 5.2.1</x:t>
        </x:is>
      </x:c>
    </x:row>
    <x:row r="13" ht="18" customHeight="1">
      <x:c r="A13" s="2" t="inlineStr">
        <x:is>
          <x:t xml:space="preserve">Bard</x:t>
        </x:is>
      </x:c>
      <x:c r="B13" s="2" t="inlineStr">
        <x:is>
          <x:t xml:space="preserve">1</x:t>
        </x:is>
      </x:c>
      <x:c r="C13" s="2" t="inlineStr">
        <x:is>
          <x:t xml:space="preserve">Hideous Laughter</x:t>
        </x:is>
      </x:c>
      <x:c r="D13" s="2" t="inlineStr">
        <x:is>
          <x:t xml:space="preserve">Enchantment</x:t>
        </x:is>
      </x:c>
      <x:c r="E13" s="2" t="inlineStr">
        <x:is>
          <x:t xml:space="preserve">From spell description class tags</x:t>
        </x:is>
      </x:c>
      <x:c r="F13" s="2" t="inlineStr">
        <x:is>
          <x:t xml:space="preserve">SRD 5.2.1</x:t>
        </x:is>
      </x:c>
    </x:row>
    <x:row r="14" ht="18" customHeight="1">
      <x:c r="A14" s="2" t="inlineStr">
        <x:is>
          <x:t xml:space="preserve">Bard</x:t>
        </x:is>
      </x:c>
      <x:c r="B14" s="2" t="inlineStr">
        <x:is>
          <x:t xml:space="preserve">1</x:t>
        </x:is>
      </x:c>
      <x:c r="C14" s="2" t="inlineStr">
        <x:is>
          <x:t xml:space="preserve">Identify</x:t>
        </x:is>
      </x:c>
      <x:c r="D14" s="2" t="inlineStr">
        <x:is>
          <x:t xml:space="preserve">Divination</x:t>
        </x:is>
      </x:c>
      <x:c r="E14" s="2" t="inlineStr">
        <x:is>
          <x:t xml:space="preserve">From spell description class tags</x:t>
        </x:is>
      </x:c>
      <x:c r="F14" s="2" t="inlineStr">
        <x:is>
          <x:t xml:space="preserve">SRD 5.2.1</x:t>
        </x:is>
      </x:c>
    </x:row>
    <x:row r="15" ht="18" customHeight="1">
      <x:c r="A15" s="2" t="inlineStr">
        <x:is>
          <x:t xml:space="preserve">Bard</x:t>
        </x:is>
      </x:c>
      <x:c r="B15" s="2" t="inlineStr">
        <x:is>
          <x:t xml:space="preserve">1</x:t>
        </x:is>
      </x:c>
      <x:c r="C15" s="2" t="inlineStr">
        <x:is>
          <x:t xml:space="preserve">Illusory Script</x:t>
        </x:is>
      </x:c>
      <x:c r="D15" s="2" t="inlineStr">
        <x:is>
          <x:t xml:space="preserve">Illusion</x:t>
        </x:is>
      </x:c>
      <x:c r="E15" s="2" t="inlineStr">
        <x:is>
          <x:t xml:space="preserve">From spell description class tags</x:t>
        </x:is>
      </x:c>
      <x:c r="F15" s="2" t="inlineStr">
        <x:is>
          <x:t xml:space="preserve">SRD 5.2.1</x:t>
        </x:is>
      </x:c>
    </x:row>
    <x:row r="16" ht="18" customHeight="1">
      <x:c r="A16" s="2" t="inlineStr">
        <x:is>
          <x:t xml:space="preserve">Bard</x:t>
        </x:is>
      </x:c>
      <x:c r="B16" s="2" t="inlineStr">
        <x:is>
          <x:t xml:space="preserve">1</x:t>
        </x:is>
      </x:c>
      <x:c r="C16" s="2" t="inlineStr">
        <x:is>
          <x:t xml:space="preserve">Longstrider</x:t>
        </x:is>
      </x:c>
      <x:c r="D16" s="2" t="inlineStr">
        <x:is>
          <x:t xml:space="preserve">Transmutation</x:t>
        </x:is>
      </x:c>
      <x:c r="E16" s="2" t="inlineStr">
        <x:is>
          <x:t xml:space="preserve">From spell description class tags</x:t>
        </x:is>
      </x:c>
      <x:c r="F16" s="2" t="inlineStr">
        <x:is>
          <x:t xml:space="preserve">SRD 5.2.1</x:t>
        </x:is>
      </x:c>
    </x:row>
    <x:row r="17" ht="18" customHeight="1">
      <x:c r="A17" s="2" t="inlineStr">
        <x:is>
          <x:t xml:space="preserve">Bard</x:t>
        </x:is>
      </x:c>
      <x:c r="B17" s="2" t="inlineStr">
        <x:is>
          <x:t xml:space="preserve">1</x:t>
        </x:is>
      </x:c>
      <x:c r="C17" s="2" t="inlineStr">
        <x:is>
          <x:t xml:space="preserve">Silent Image</x:t>
        </x:is>
      </x:c>
      <x:c r="D17" s="2" t="inlineStr">
        <x:is>
          <x:t xml:space="preserve">Illusion</x:t>
        </x:is>
      </x:c>
      <x:c r="E17" s="2" t="inlineStr">
        <x:is>
          <x:t xml:space="preserve">From spell description class tags</x:t>
        </x:is>
      </x:c>
      <x:c r="F17" s="2" t="inlineStr">
        <x:is>
          <x:t xml:space="preserve">SRD 5.2.1</x:t>
        </x:is>
      </x:c>
    </x:row>
    <x:row r="18" ht="18" customHeight="1">
      <x:c r="A18" s="2" t="inlineStr">
        <x:is>
          <x:t xml:space="preserve">Bard</x:t>
        </x:is>
      </x:c>
      <x:c r="B18" s="2" t="inlineStr">
        <x:is>
          <x:t xml:space="preserve">1</x:t>
        </x:is>
      </x:c>
      <x:c r="C18" s="2" t="inlineStr">
        <x:is>
          <x:t xml:space="preserve">Sleep</x:t>
        </x:is>
      </x:c>
      <x:c r="D18" s="2" t="inlineStr">
        <x:is>
          <x:t xml:space="preserve">Enchantment</x:t>
        </x:is>
      </x:c>
      <x:c r="E18" s="2" t="inlineStr">
        <x:is>
          <x:t xml:space="preserve">From spell description class tags</x:t>
        </x:is>
      </x:c>
      <x:c r="F18" s="2" t="inlineStr">
        <x:is>
          <x:t xml:space="preserve">SRD 5.2.1</x:t>
        </x:is>
      </x:c>
    </x:row>
    <x:row r="19" ht="18" customHeight="1">
      <x:c r="A19" s="2" t="inlineStr">
        <x:is>
          <x:t xml:space="preserve">Bard</x:t>
        </x:is>
      </x:c>
      <x:c r="B19" s="2" t="inlineStr">
        <x:is>
          <x:t xml:space="preserve">1</x:t>
        </x:is>
      </x:c>
      <x:c r="C19" s="2" t="inlineStr">
        <x:is>
          <x:t xml:space="preserve">Speak with Animals</x:t>
        </x:is>
      </x:c>
      <x:c r="D19" s="2" t="inlineStr">
        <x:is>
          <x:t xml:space="preserve">Divination</x:t>
        </x:is>
      </x:c>
      <x:c r="E19" s="2" t="inlineStr">
        <x:is>
          <x:t xml:space="preserve">From spell description class tags</x:t>
        </x:is>
      </x:c>
      <x:c r="F19" s="2" t="inlineStr">
        <x:is>
          <x:t xml:space="preserve">SRD 5.2.1</x:t>
        </x:is>
      </x:c>
    </x:row>
    <x:row r="20" ht="18" customHeight="1">
      <x:c r="A20" s="2" t="inlineStr">
        <x:is>
          <x:t xml:space="preserve">Bard</x:t>
        </x:is>
      </x:c>
      <x:c r="B20" s="2" t="inlineStr">
        <x:is>
          <x:t xml:space="preserve">1</x:t>
        </x:is>
      </x:c>
      <x:c r="C20" s="2" t="inlineStr">
        <x:is>
          <x:t xml:space="preserve">Thunderwave</x:t>
        </x:is>
      </x:c>
      <x:c r="D20" s="2" t="inlineStr">
        <x:is>
          <x:t xml:space="preserve">Evocation</x:t>
        </x:is>
      </x:c>
      <x:c r="E20" s="2" t="inlineStr">
        <x:is>
          <x:t xml:space="preserve">From spell description class tags</x:t>
        </x:is>
      </x:c>
      <x:c r="F20" s="2" t="inlineStr">
        <x:is>
          <x:t xml:space="preserve">SRD 5.2.1</x:t>
        </x:is>
      </x:c>
    </x:row>
    <x:row r="21" ht="18" customHeight="1">
      <x:c r="A21" s="2" t="inlineStr">
        <x:is>
          <x:t xml:space="preserve">Bard</x:t>
        </x:is>
      </x:c>
      <x:c r="B21" s="2" t="inlineStr">
        <x:is>
          <x:t xml:space="preserve">1</x:t>
        </x:is>
      </x:c>
      <x:c r="C21" s="2" t="inlineStr">
        <x:is>
          <x:t xml:space="preserve">Unseen Servant</x:t>
        </x:is>
      </x:c>
      <x:c r="D21" s="2" t="inlineStr">
        <x:is>
          <x:t xml:space="preserve">Conjuration</x:t>
        </x:is>
      </x:c>
      <x:c r="E21" s="2" t="inlineStr">
        <x:is>
          <x:t xml:space="preserve">From spell description class tags</x:t>
        </x:is>
      </x:c>
      <x:c r="F21" s="2" t="inlineStr">
        <x:is>
          <x:t xml:space="preserve">SRD 5.2.1</x:t>
        </x:is>
      </x:c>
    </x:row>
    <x:row r="22" ht="18" customHeight="1">
      <x:c r="A22" s="2" t="inlineStr">
        <x:is>
          <x:t xml:space="preserve">Bard</x:t>
        </x:is>
      </x:c>
      <x:c r="B22" s="2" t="inlineStr">
        <x:is>
          <x:t xml:space="preserve">2</x:t>
        </x:is>
      </x:c>
      <x:c r="C22" s="2" t="inlineStr">
        <x:is>
          <x:t xml:space="preserve">Animal Messenger</x:t>
        </x:is>
      </x:c>
      <x:c r="D22" s="2" t="inlineStr">
        <x:is>
          <x:t xml:space="preserve">Enchantment</x:t>
        </x:is>
      </x:c>
      <x:c r="E22" s="2" t="inlineStr">
        <x:is>
          <x:t xml:space="preserve">From spell description class tags</x:t>
        </x:is>
      </x:c>
      <x:c r="F22" s="2" t="inlineStr">
        <x:is>
          <x:t xml:space="preserve">SRD 5.2.1</x:t>
        </x:is>
      </x:c>
    </x:row>
    <x:row r="23" ht="18" customHeight="1">
      <x:c r="A23" s="2" t="inlineStr">
        <x:is>
          <x:t xml:space="preserve">Bard</x:t>
        </x:is>
      </x:c>
      <x:c r="B23" s="2" t="inlineStr">
        <x:is>
          <x:t xml:space="preserve">2</x:t>
        </x:is>
      </x:c>
      <x:c r="C23" s="2" t="inlineStr">
        <x:is>
          <x:t xml:space="preserve">Blindness/Deafness</x:t>
        </x:is>
      </x:c>
      <x:c r="D23" s="2" t="inlineStr">
        <x:is>
          <x:t xml:space="preserve">Transmutation</x:t>
        </x:is>
      </x:c>
      <x:c r="E23" s="2" t="inlineStr">
        <x:is>
          <x:t xml:space="preserve">From spell description class tags</x:t>
        </x:is>
      </x:c>
      <x:c r="F23" s="2" t="inlineStr">
        <x:is>
          <x:t xml:space="preserve">SRD 5.2.1</x:t>
        </x:is>
      </x:c>
    </x:row>
    <x:row r="24" ht="18" customHeight="1">
      <x:c r="A24" s="2" t="inlineStr">
        <x:is>
          <x:t xml:space="preserve">Bard</x:t>
        </x:is>
      </x:c>
      <x:c r="B24" s="2" t="inlineStr">
        <x:is>
          <x:t xml:space="preserve">2</x:t>
        </x:is>
      </x:c>
      <x:c r="C24" s="2" t="inlineStr">
        <x:is>
          <x:t xml:space="preserve">Calm Emotions</x:t>
        </x:is>
      </x:c>
      <x:c r="D24" s="2" t="inlineStr">
        <x:is>
          <x:t xml:space="preserve">Enchantment</x:t>
        </x:is>
      </x:c>
      <x:c r="E24" s="2" t="inlineStr">
        <x:is>
          <x:t xml:space="preserve">From spell description class tags</x:t>
        </x:is>
      </x:c>
      <x:c r="F24" s="2" t="inlineStr">
        <x:is>
          <x:t xml:space="preserve">SRD 5.2.1</x:t>
        </x:is>
      </x:c>
    </x:row>
    <x:row r="25" ht="18" customHeight="1">
      <x:c r="A25" s="2" t="inlineStr">
        <x:is>
          <x:t xml:space="preserve">Bard</x:t>
        </x:is>
      </x:c>
      <x:c r="B25" s="2" t="inlineStr">
        <x:is>
          <x:t xml:space="preserve">2</x:t>
        </x:is>
      </x:c>
      <x:c r="C25" s="2" t="inlineStr">
        <x:is>
          <x:t xml:space="preserve">Detect Thoughts</x:t>
        </x:is>
      </x:c>
      <x:c r="D25" s="2" t="inlineStr">
        <x:is>
          <x:t xml:space="preserve">Divination</x:t>
        </x:is>
      </x:c>
      <x:c r="E25" s="2" t="inlineStr">
        <x:is>
          <x:t xml:space="preserve">From spell description class tags</x:t>
        </x:is>
      </x:c>
      <x:c r="F25" s="2" t="inlineStr">
        <x:is>
          <x:t xml:space="preserve">SRD 5.2.1</x:t>
        </x:is>
      </x:c>
    </x:row>
    <x:row r="26" ht="18" customHeight="1">
      <x:c r="A26" s="2" t="inlineStr">
        <x:is>
          <x:t xml:space="preserve">Bard</x:t>
        </x:is>
      </x:c>
      <x:c r="B26" s="2" t="inlineStr">
        <x:is>
          <x:t xml:space="preserve">2</x:t>
        </x:is>
      </x:c>
      <x:c r="C26" s="2" t="inlineStr">
        <x:is>
          <x:t xml:space="preserve">Enlarge/Reduce</x:t>
        </x:is>
      </x:c>
      <x:c r="D26" s="2" t="inlineStr">
        <x:is>
          <x:t xml:space="preserve">Transmutation</x:t>
        </x:is>
      </x:c>
      <x:c r="E26" s="2" t="inlineStr">
        <x:is>
          <x:t xml:space="preserve">From spell description class tags</x:t>
        </x:is>
      </x:c>
      <x:c r="F26" s="2" t="inlineStr">
        <x:is>
          <x:t xml:space="preserve">SRD 5.2.1</x:t>
        </x:is>
      </x:c>
    </x:row>
    <x:row r="27" ht="18" customHeight="1">
      <x:c r="A27" s="2" t="inlineStr">
        <x:is>
          <x:t xml:space="preserve">Bard</x:t>
        </x:is>
      </x:c>
      <x:c r="B27" s="2" t="inlineStr">
        <x:is>
          <x:t xml:space="preserve">2</x:t>
        </x:is>
      </x:c>
      <x:c r="C27" s="2" t="inlineStr">
        <x:is>
          <x:t xml:space="preserve">Enthrall</x:t>
        </x:is>
      </x:c>
      <x:c r="D27" s="2" t="inlineStr">
        <x:is>
          <x:t xml:space="preserve">Enchantment</x:t>
        </x:is>
      </x:c>
      <x:c r="E27" s="2" t="inlineStr">
        <x:is>
          <x:t xml:space="preserve">From spell description class tags</x:t>
        </x:is>
      </x:c>
      <x:c r="F27" s="2" t="inlineStr">
        <x:is>
          <x:t xml:space="preserve">SRD 5.2.1</x:t>
        </x:is>
      </x:c>
    </x:row>
    <x:row r="28" ht="18" customHeight="1">
      <x:c r="A28" s="2" t="inlineStr">
        <x:is>
          <x:t xml:space="preserve">Bard</x:t>
        </x:is>
      </x:c>
      <x:c r="B28" s="2" t="inlineStr">
        <x:is>
          <x:t xml:space="preserve">2</x:t>
        </x:is>
      </x:c>
      <x:c r="C28" s="2" t="inlineStr">
        <x:is>
          <x:t xml:space="preserve">Heat Metal</x:t>
        </x:is>
      </x:c>
      <x:c r="D28" s="2" t="inlineStr">
        <x:is>
          <x:t xml:space="preserve">Transmutation</x:t>
        </x:is>
      </x:c>
      <x:c r="E28" s="2" t="inlineStr">
        <x:is>
          <x:t xml:space="preserve">From spell description class tags</x:t>
        </x:is>
      </x:c>
      <x:c r="F28" s="2" t="inlineStr">
        <x:is>
          <x:t xml:space="preserve">SRD 5.2.1</x:t>
        </x:is>
      </x:c>
    </x:row>
    <x:row r="29" ht="18" customHeight="1">
      <x:c r="A29" s="2" t="inlineStr">
        <x:is>
          <x:t xml:space="preserve">Bard</x:t>
        </x:is>
      </x:c>
      <x:c r="B29" s="2" t="inlineStr">
        <x:is>
          <x:t xml:space="preserve">2</x:t>
        </x:is>
      </x:c>
      <x:c r="C29" s="2" t="inlineStr">
        <x:is>
          <x:t xml:space="preserve">Invisibility</x:t>
        </x:is>
      </x:c>
      <x:c r="D29" s="2" t="inlineStr">
        <x:is>
          <x:t xml:space="preserve">Illusion</x:t>
        </x:is>
      </x:c>
      <x:c r="E29" s="2" t="inlineStr">
        <x:is>
          <x:t xml:space="preserve">From spell description class tags</x:t>
        </x:is>
      </x:c>
      <x:c r="F29" s="2" t="inlineStr">
        <x:is>
          <x:t xml:space="preserve">SRD 5.2.1</x:t>
        </x:is>
      </x:c>
    </x:row>
    <x:row r="30" ht="18" customHeight="1">
      <x:c r="A30" s="2" t="inlineStr">
        <x:is>
          <x:t xml:space="preserve">Bard</x:t>
        </x:is>
      </x:c>
      <x:c r="B30" s="2" t="inlineStr">
        <x:is>
          <x:t xml:space="preserve">2</x:t>
        </x:is>
      </x:c>
      <x:c r="C30" s="2" t="inlineStr">
        <x:is>
          <x:t xml:space="preserve">Knock</x:t>
        </x:is>
      </x:c>
      <x:c r="D30" s="2" t="inlineStr">
        <x:is>
          <x:t xml:space="preserve">Transmutation</x:t>
        </x:is>
      </x:c>
      <x:c r="E30" s="2" t="inlineStr">
        <x:is>
          <x:t xml:space="preserve">From spell description class tags</x:t>
        </x:is>
      </x:c>
      <x:c r="F30" s="2" t="inlineStr">
        <x:is>
          <x:t xml:space="preserve">SRD 5.2.1</x:t>
        </x:is>
      </x:c>
    </x:row>
    <x:row r="31" ht="18" customHeight="1">
      <x:c r="A31" s="2" t="inlineStr">
        <x:is>
          <x:t xml:space="preserve">Bard</x:t>
        </x:is>
      </x:c>
      <x:c r="B31" s="2" t="inlineStr">
        <x:is>
          <x:t xml:space="preserve">2</x:t>
        </x:is>
      </x:c>
      <x:c r="C31" s="2" t="inlineStr">
        <x:is>
          <x:t xml:space="preserve">Locate Animals or Plants</x:t>
        </x:is>
      </x:c>
      <x:c r="D31" s="2" t="inlineStr">
        <x:is>
          <x:t xml:space="preserve">Divination</x:t>
        </x:is>
      </x:c>
      <x:c r="E31" s="2" t="inlineStr">
        <x:is>
          <x:t xml:space="preserve">From spell description class tags</x:t>
        </x:is>
      </x:c>
      <x:c r="F31" s="2" t="inlineStr">
        <x:is>
          <x:t xml:space="preserve">SRD 5.2.1</x:t>
        </x:is>
      </x:c>
    </x:row>
    <x:row r="32" ht="18" customHeight="1">
      <x:c r="A32" s="2" t="inlineStr">
        <x:is>
          <x:t xml:space="preserve">Bard</x:t>
        </x:is>
      </x:c>
      <x:c r="B32" s="2" t="inlineStr">
        <x:is>
          <x:t xml:space="preserve">2</x:t>
        </x:is>
      </x:c>
      <x:c r="C32" s="2" t="inlineStr">
        <x:is>
          <x:t xml:space="preserve">Magic Mouth</x:t>
        </x:is>
      </x:c>
      <x:c r="D32" s="2" t="inlineStr">
        <x:is>
          <x:t xml:space="preserve">Illusion</x:t>
        </x:is>
      </x:c>
      <x:c r="E32" s="2" t="inlineStr">
        <x:is>
          <x:t xml:space="preserve">From spell description class tags</x:t>
        </x:is>
      </x:c>
      <x:c r="F32" s="2" t="inlineStr">
        <x:is>
          <x:t xml:space="preserve">SRD 5.2.1</x:t>
        </x:is>
      </x:c>
    </x:row>
    <x:row r="33" ht="18" customHeight="1">
      <x:c r="A33" s="2" t="inlineStr">
        <x:is>
          <x:t xml:space="preserve">Bard</x:t>
        </x:is>
      </x:c>
      <x:c r="B33" s="2" t="inlineStr">
        <x:is>
          <x:t xml:space="preserve">2</x:t>
        </x:is>
      </x:c>
      <x:c r="C33" s="2" t="inlineStr">
        <x:is>
          <x:t xml:space="preserve">Mirror Image</x:t>
        </x:is>
      </x:c>
      <x:c r="D33" s="2" t="inlineStr">
        <x:is>
          <x:t xml:space="preserve">Illusion</x:t>
        </x:is>
      </x:c>
      <x:c r="E33" s="2" t="inlineStr">
        <x:is>
          <x:t xml:space="preserve">From spell description class tags</x:t>
        </x:is>
      </x:c>
      <x:c r="F33" s="2" t="inlineStr">
        <x:is>
          <x:t xml:space="preserve">SRD 5.2.1</x:t>
        </x:is>
      </x:c>
    </x:row>
    <x:row r="34" ht="18" customHeight="1">
      <x:c r="A34" s="2" t="inlineStr">
        <x:is>
          <x:t xml:space="preserve">Bard</x:t>
        </x:is>
      </x:c>
      <x:c r="B34" s="2" t="inlineStr">
        <x:is>
          <x:t xml:space="preserve">2</x:t>
        </x:is>
      </x:c>
      <x:c r="C34" s="2" t="inlineStr">
        <x:is>
          <x:t xml:space="preserve">Phantasmal Force</x:t>
        </x:is>
      </x:c>
      <x:c r="D34" s="2" t="inlineStr">
        <x:is>
          <x:t xml:space="preserve">Illusion</x:t>
        </x:is>
      </x:c>
      <x:c r="E34" s="2" t="inlineStr">
        <x:is>
          <x:t xml:space="preserve">From spell description class tags</x:t>
        </x:is>
      </x:c>
      <x:c r="F34" s="2" t="inlineStr">
        <x:is>
          <x:t xml:space="preserve">SRD 5.2.1</x:t>
        </x:is>
      </x:c>
    </x:row>
    <x:row r="35" ht="18" customHeight="1">
      <x:c r="A35" s="2" t="inlineStr">
        <x:is>
          <x:t xml:space="preserve">Bard</x:t>
        </x:is>
      </x:c>
      <x:c r="B35" s="2" t="inlineStr">
        <x:is>
          <x:t xml:space="preserve">2</x:t>
        </x:is>
      </x:c>
      <x:c r="C35" s="2" t="inlineStr">
        <x:is>
          <x:t xml:space="preserve">See Invisibility</x:t>
        </x:is>
      </x:c>
      <x:c r="D35" s="2" t="inlineStr">
        <x:is>
          <x:t xml:space="preserve">Divination</x:t>
        </x:is>
      </x:c>
      <x:c r="E35" s="2" t="inlineStr">
        <x:is>
          <x:t xml:space="preserve">From spell description class tags</x:t>
        </x:is>
      </x:c>
      <x:c r="F35" s="2" t="inlineStr">
        <x:is>
          <x:t xml:space="preserve">SRD 5.2.1</x:t>
        </x:is>
      </x:c>
    </x:row>
    <x:row r="36" ht="18" customHeight="1">
      <x:c r="A36" s="2" t="inlineStr">
        <x:is>
          <x:t xml:space="preserve">Bard</x:t>
        </x:is>
      </x:c>
      <x:c r="B36" s="2" t="inlineStr">
        <x:is>
          <x:t xml:space="preserve">2</x:t>
        </x:is>
      </x:c>
      <x:c r="C36" s="2" t="inlineStr">
        <x:is>
          <x:t xml:space="preserve">Shatter</x:t>
        </x:is>
      </x:c>
      <x:c r="D36" s="2" t="inlineStr">
        <x:is>
          <x:t xml:space="preserve">Evocation</x:t>
        </x:is>
      </x:c>
      <x:c r="E36" s="2" t="inlineStr">
        <x:is>
          <x:t xml:space="preserve">From spell description class tags</x:t>
        </x:is>
      </x:c>
      <x:c r="F36" s="2" t="inlineStr">
        <x:is>
          <x:t xml:space="preserve">SRD 5.2.1</x:t>
        </x:is>
      </x:c>
    </x:row>
    <x:row r="37" ht="18" customHeight="1">
      <x:c r="A37" s="2" t="inlineStr">
        <x:is>
          <x:t xml:space="preserve">Bard</x:t>
        </x:is>
      </x:c>
      <x:c r="B37" s="2" t="inlineStr">
        <x:is>
          <x:t xml:space="preserve">2</x:t>
        </x:is>
      </x:c>
      <x:c r="C37" s="2" t="inlineStr">
        <x:is>
          <x:t xml:space="preserve">Silence</x:t>
        </x:is>
      </x:c>
      <x:c r="D37" s="2" t="inlineStr">
        <x:is>
          <x:t xml:space="preserve">Illusion</x:t>
        </x:is>
      </x:c>
      <x:c r="E37" s="2" t="inlineStr">
        <x:is>
          <x:t xml:space="preserve">From spell description class tags</x:t>
        </x:is>
      </x:c>
      <x:c r="F37" s="2" t="inlineStr">
        <x:is>
          <x:t xml:space="preserve">SRD 5.2.1</x:t>
        </x:is>
      </x:c>
    </x:row>
    <x:row r="38" ht="18" customHeight="1">
      <x:c r="A38" s="2" t="inlineStr">
        <x:is>
          <x:t xml:space="preserve">Bard</x:t>
        </x:is>
      </x:c>
      <x:c r="B38" s="2" t="inlineStr">
        <x:is>
          <x:t xml:space="preserve">2</x:t>
        </x:is>
      </x:c>
      <x:c r="C38" s="2" t="inlineStr">
        <x:is>
          <x:t xml:space="preserve">Zone of Truth</x:t>
        </x:is>
      </x:c>
      <x:c r="D38" s="2" t="inlineStr">
        <x:is>
          <x:t xml:space="preserve">Enchantment</x:t>
        </x:is>
      </x:c>
      <x:c r="E38" s="2" t="inlineStr">
        <x:is>
          <x:t xml:space="preserve">From spell description class tags</x:t>
        </x:is>
      </x:c>
      <x:c r="F38" s="2" t="inlineStr">
        <x:is>
          <x:t xml:space="preserve">SRD 5.2.1</x:t>
        </x:is>
      </x:c>
    </x:row>
    <x:row r="39" ht="18" customHeight="1">
      <x:c r="A39" s="2" t="inlineStr">
        <x:is>
          <x:t xml:space="preserve">Bard</x:t>
        </x:is>
      </x:c>
      <x:c r="B39" s="2" t="inlineStr">
        <x:is>
          <x:t xml:space="preserve">3</x:t>
        </x:is>
      </x:c>
      <x:c r="C39" s="2" t="inlineStr">
        <x:is>
          <x:t xml:space="preserve">Bestow Curse</x:t>
        </x:is>
      </x:c>
      <x:c r="D39" s="2" t="inlineStr">
        <x:is>
          <x:t xml:space="preserve">Necromancy</x:t>
        </x:is>
      </x:c>
      <x:c r="E39" s="2" t="inlineStr">
        <x:is>
          <x:t xml:space="preserve">From spell description class tags</x:t>
        </x:is>
      </x:c>
      <x:c r="F39" s="2" t="inlineStr">
        <x:is>
          <x:t xml:space="preserve">SRD 5.2.1</x:t>
        </x:is>
      </x:c>
    </x:row>
    <x:row r="40" ht="18" customHeight="1">
      <x:c r="A40" s="2" t="inlineStr">
        <x:is>
          <x:t xml:space="preserve">Bard</x:t>
        </x:is>
      </x:c>
      <x:c r="B40" s="2" t="inlineStr">
        <x:is>
          <x:t xml:space="preserve">3</x:t>
        </x:is>
      </x:c>
      <x:c r="C40" s="2" t="inlineStr">
        <x:is>
          <x:t xml:space="preserve">Clairvoyance</x:t>
        </x:is>
      </x:c>
      <x:c r="D40" s="2" t="inlineStr">
        <x:is>
          <x:t xml:space="preserve">Divination</x:t>
        </x:is>
      </x:c>
      <x:c r="E40" s="2" t="inlineStr">
        <x:is>
          <x:t xml:space="preserve">From spell description class tags</x:t>
        </x:is>
      </x:c>
      <x:c r="F40" s="2" t="inlineStr">
        <x:is>
          <x:t xml:space="preserve">SRD 5.2.1</x:t>
        </x:is>
      </x:c>
    </x:row>
    <x:row r="41" ht="18" customHeight="1">
      <x:c r="A41" s="2" t="inlineStr">
        <x:is>
          <x:t xml:space="preserve">Bard</x:t>
        </x:is>
      </x:c>
      <x:c r="B41" s="2" t="inlineStr">
        <x:is>
          <x:t xml:space="preserve">3</x:t>
        </x:is>
      </x:c>
      <x:c r="C41" s="2" t="inlineStr">
        <x:is>
          <x:t xml:space="preserve">Fear</x:t>
        </x:is>
      </x:c>
      <x:c r="D41" s="2" t="inlineStr">
        <x:is>
          <x:t xml:space="preserve">Illusion</x:t>
        </x:is>
      </x:c>
      <x:c r="E41" s="2" t="inlineStr">
        <x:is>
          <x:t xml:space="preserve">From spell description class tags</x:t>
        </x:is>
      </x:c>
      <x:c r="F41" s="2" t="inlineStr">
        <x:is>
          <x:t xml:space="preserve">SRD 5.2.1</x:t>
        </x:is>
      </x:c>
    </x:row>
    <x:row r="42" ht="18" customHeight="1">
      <x:c r="A42" s="2" t="inlineStr">
        <x:is>
          <x:t xml:space="preserve">Bard</x:t>
        </x:is>
      </x:c>
      <x:c r="B42" s="2" t="inlineStr">
        <x:is>
          <x:t xml:space="preserve">3</x:t>
        </x:is>
      </x:c>
      <x:c r="C42" s="2" t="inlineStr">
        <x:is>
          <x:t xml:space="preserve">Glyph of Warding</x:t>
        </x:is>
      </x:c>
      <x:c r="D42" s="2" t="inlineStr">
        <x:is>
          <x:t xml:space="preserve">Abjuration</x:t>
        </x:is>
      </x:c>
      <x:c r="E42" s="2" t="inlineStr">
        <x:is>
          <x:t xml:space="preserve">From spell description class tags</x:t>
        </x:is>
      </x:c>
      <x:c r="F42" s="2" t="inlineStr">
        <x:is>
          <x:t xml:space="preserve">SRD 5.2.1</x:t>
        </x:is>
      </x:c>
    </x:row>
    <x:row r="43" ht="18" customHeight="1">
      <x:c r="A43" s="2" t="inlineStr">
        <x:is>
          <x:t xml:space="preserve">Bard</x:t>
        </x:is>
      </x:c>
      <x:c r="B43" s="2" t="inlineStr">
        <x:is>
          <x:t xml:space="preserve">3</x:t>
        </x:is>
      </x:c>
      <x:c r="C43" s="2" t="inlineStr">
        <x:is>
          <x:t xml:space="preserve">Hypnotic Pattern</x:t>
        </x:is>
      </x:c>
      <x:c r="D43" s="2" t="inlineStr">
        <x:is>
          <x:t xml:space="preserve">Illusion</x:t>
        </x:is>
      </x:c>
      <x:c r="E43" s="2" t="inlineStr">
        <x:is>
          <x:t xml:space="preserve">From spell description class tags</x:t>
        </x:is>
      </x:c>
      <x:c r="F43" s="2" t="inlineStr">
        <x:is>
          <x:t xml:space="preserve">SRD 5.2.1</x:t>
        </x:is>
      </x:c>
    </x:row>
    <x:row r="44" ht="18" customHeight="1">
      <x:c r="A44" s="2" t="inlineStr">
        <x:is>
          <x:t xml:space="preserve">Bard</x:t>
        </x:is>
      </x:c>
      <x:c r="B44" s="2" t="inlineStr">
        <x:is>
          <x:t xml:space="preserve">3</x:t>
        </x:is>
      </x:c>
      <x:c r="C44" s="2" t="inlineStr">
        <x:is>
          <x:t xml:space="preserve">Major Image</x:t>
        </x:is>
      </x:c>
      <x:c r="D44" s="2" t="inlineStr">
        <x:is>
          <x:t xml:space="preserve">Illusion</x:t>
        </x:is>
      </x:c>
      <x:c r="E44" s="2" t="inlineStr">
        <x:is>
          <x:t xml:space="preserve">From spell description class tags</x:t>
        </x:is>
      </x:c>
      <x:c r="F44" s="2" t="inlineStr">
        <x:is>
          <x:t xml:space="preserve">SRD 5.2.1</x:t>
        </x:is>
      </x:c>
    </x:row>
    <x:row r="45" ht="18" customHeight="1">
      <x:c r="A45" s="2" t="inlineStr">
        <x:is>
          <x:t xml:space="preserve">Bard</x:t>
        </x:is>
      </x:c>
      <x:c r="B45" s="2" t="inlineStr">
        <x:is>
          <x:t xml:space="preserve">3</x:t>
        </x:is>
      </x:c>
      <x:c r="C45" s="2" t="inlineStr">
        <x:is>
          <x:t xml:space="preserve">Mass Healing Word</x:t>
        </x:is>
      </x:c>
      <x:c r="D45" s="2" t="inlineStr">
        <x:is>
          <x:t xml:space="preserve">Abjuration</x:t>
        </x:is>
      </x:c>
      <x:c r="E45" s="2" t="inlineStr">
        <x:is>
          <x:t xml:space="preserve">From spell description class tags</x:t>
        </x:is>
      </x:c>
      <x:c r="F45" s="2" t="inlineStr">
        <x:is>
          <x:t xml:space="preserve">SRD 5.2.1</x:t>
        </x:is>
      </x:c>
    </x:row>
    <x:row r="46" ht="18" customHeight="1">
      <x:c r="A46" s="2" t="inlineStr">
        <x:is>
          <x:t xml:space="preserve">Bard</x:t>
        </x:is>
      </x:c>
      <x:c r="B46" s="2" t="inlineStr">
        <x:is>
          <x:t xml:space="preserve">3</x:t>
        </x:is>
      </x:c>
      <x:c r="C46" s="2" t="inlineStr">
        <x:is>
          <x:t xml:space="preserve">Nondetection</x:t>
        </x:is>
      </x:c>
      <x:c r="D46" s="2" t="inlineStr">
        <x:is>
          <x:t xml:space="preserve">Abjuration</x:t>
        </x:is>
      </x:c>
      <x:c r="E46" s="2" t="inlineStr">
        <x:is>
          <x:t xml:space="preserve">From spell description class tags</x:t>
        </x:is>
      </x:c>
      <x:c r="F46" s="2" t="inlineStr">
        <x:is>
          <x:t xml:space="preserve">SRD 5.2.1</x:t>
        </x:is>
      </x:c>
    </x:row>
    <x:row r="47" ht="18" customHeight="1">
      <x:c r="A47" s="2" t="inlineStr">
        <x:is>
          <x:t xml:space="preserve">Bard</x:t>
        </x:is>
      </x:c>
      <x:c r="B47" s="2" t="inlineStr">
        <x:is>
          <x:t xml:space="preserve">3</x:t>
        </x:is>
      </x:c>
      <x:c r="C47" s="2" t="inlineStr">
        <x:is>
          <x:t xml:space="preserve">Plant Growth</x:t>
        </x:is>
      </x:c>
      <x:c r="D47" s="2" t="inlineStr">
        <x:is>
          <x:t xml:space="preserve">Transmutation</x:t>
        </x:is>
      </x:c>
      <x:c r="E47" s="2" t="inlineStr">
        <x:is>
          <x:t xml:space="preserve">From spell description class tags</x:t>
        </x:is>
      </x:c>
      <x:c r="F47" s="2" t="inlineStr">
        <x:is>
          <x:t xml:space="preserve">SRD 5.2.1</x:t>
        </x:is>
      </x:c>
    </x:row>
    <x:row r="48" ht="18" customHeight="1">
      <x:c r="A48" s="2" t="inlineStr">
        <x:is>
          <x:t xml:space="preserve">Bard</x:t>
        </x:is>
      </x:c>
      <x:c r="B48" s="2" t="inlineStr">
        <x:is>
          <x:t xml:space="preserve">3</x:t>
        </x:is>
      </x:c>
      <x:c r="C48" s="2" t="inlineStr">
        <x:is>
          <x:t xml:space="preserve">Sending</x:t>
        </x:is>
      </x:c>
      <x:c r="D48" s="2" t="inlineStr">
        <x:is>
          <x:t xml:space="preserve">Divination</x:t>
        </x:is>
      </x:c>
      <x:c r="E48" s="2" t="inlineStr">
        <x:is>
          <x:t xml:space="preserve">From spell description class tags</x:t>
        </x:is>
      </x:c>
      <x:c r="F48" s="2" t="inlineStr">
        <x:is>
          <x:t xml:space="preserve">SRD 5.2.1</x:t>
        </x:is>
      </x:c>
    </x:row>
    <x:row r="49" ht="18" customHeight="1">
      <x:c r="A49" s="2" t="inlineStr">
        <x:is>
          <x:t xml:space="preserve">Bard</x:t>
        </x:is>
      </x:c>
      <x:c r="B49" s="2" t="inlineStr">
        <x:is>
          <x:t xml:space="preserve">3</x:t>
        </x:is>
      </x:c>
      <x:c r="C49" s="2" t="inlineStr">
        <x:is>
          <x:t xml:space="preserve">Slow</x:t>
        </x:is>
      </x:c>
      <x:c r="D49" s="2" t="inlineStr">
        <x:is>
          <x:t xml:space="preserve">Transmutation</x:t>
        </x:is>
      </x:c>
      <x:c r="E49" s="2" t="inlineStr">
        <x:is>
          <x:t xml:space="preserve">From spell description class tags</x:t>
        </x:is>
      </x:c>
      <x:c r="F49" s="2" t="inlineStr">
        <x:is>
          <x:t xml:space="preserve">SRD 5.2.1</x:t>
        </x:is>
      </x:c>
    </x:row>
    <x:row r="50" ht="18" customHeight="1">
      <x:c r="A50" s="2" t="inlineStr">
        <x:is>
          <x:t xml:space="preserve">Bard</x:t>
        </x:is>
      </x:c>
      <x:c r="B50" s="2" t="inlineStr">
        <x:is>
          <x:t xml:space="preserve">3</x:t>
        </x:is>
      </x:c>
      <x:c r="C50" s="2" t="inlineStr">
        <x:is>
          <x:t xml:space="preserve">Speak with Dead</x:t>
        </x:is>
      </x:c>
      <x:c r="D50" s="2" t="inlineStr">
        <x:is>
          <x:t xml:space="preserve">Necromancy</x:t>
        </x:is>
      </x:c>
      <x:c r="E50" s="2" t="inlineStr">
        <x:is>
          <x:t xml:space="preserve">From spell description class tags</x:t>
        </x:is>
      </x:c>
      <x:c r="F50" s="2" t="inlineStr">
        <x:is>
          <x:t xml:space="preserve">SRD 5.2.1</x:t>
        </x:is>
      </x:c>
    </x:row>
    <x:row r="51" ht="18" customHeight="1">
      <x:c r="A51" s="2" t="inlineStr">
        <x:is>
          <x:t xml:space="preserve">Bard</x:t>
        </x:is>
      </x:c>
      <x:c r="B51" s="2" t="inlineStr">
        <x:is>
          <x:t xml:space="preserve">3</x:t>
        </x:is>
      </x:c>
      <x:c r="C51" s="2" t="inlineStr">
        <x:is>
          <x:t xml:space="preserve">Speak with Plants</x:t>
        </x:is>
      </x:c>
      <x:c r="D51" s="2" t="inlineStr">
        <x:is>
          <x:t xml:space="preserve">Transmutation</x:t>
        </x:is>
      </x:c>
      <x:c r="E51" s="2" t="inlineStr">
        <x:is>
          <x:t xml:space="preserve">From spell description class tags</x:t>
        </x:is>
      </x:c>
      <x:c r="F51" s="2" t="inlineStr">
        <x:is>
          <x:t xml:space="preserve">SRD 5.2.1</x:t>
        </x:is>
      </x:c>
    </x:row>
    <x:row r="52" ht="18" customHeight="1">
      <x:c r="A52" s="2" t="inlineStr">
        <x:is>
          <x:t xml:space="preserve">Bard</x:t>
        </x:is>
      </x:c>
      <x:c r="B52" s="2" t="inlineStr">
        <x:is>
          <x:t xml:space="preserve">3</x:t>
        </x:is>
      </x:c>
      <x:c r="C52" s="2" t="inlineStr">
        <x:is>
          <x:t xml:space="preserve">Stinking Cloud</x:t>
        </x:is>
      </x:c>
      <x:c r="D52" s="2" t="inlineStr">
        <x:is>
          <x:t xml:space="preserve">Conjuration</x:t>
        </x:is>
      </x:c>
      <x:c r="E52" s="2" t="inlineStr">
        <x:is>
          <x:t xml:space="preserve">From spell description class tags</x:t>
        </x:is>
      </x:c>
      <x:c r="F52" s="2" t="inlineStr">
        <x:is>
          <x:t xml:space="preserve">SRD 5.2.1</x:t>
        </x:is>
      </x:c>
    </x:row>
    <x:row r="53" ht="18" customHeight="1">
      <x:c r="A53" s="2" t="inlineStr">
        <x:is>
          <x:t xml:space="preserve">Bard</x:t>
        </x:is>
      </x:c>
      <x:c r="B53" s="2" t="inlineStr">
        <x:is>
          <x:t xml:space="preserve">3</x:t>
        </x:is>
      </x:c>
      <x:c r="C53" s="2" t="inlineStr">
        <x:is>
          <x:t xml:space="preserve">Tiny Hut</x:t>
        </x:is>
      </x:c>
      <x:c r="D53" s="2" t="inlineStr">
        <x:is>
          <x:t xml:space="preserve">Evocation</x:t>
        </x:is>
      </x:c>
      <x:c r="E53" s="2" t="inlineStr">
        <x:is>
          <x:t xml:space="preserve">From spell description class tags</x:t>
        </x:is>
      </x:c>
      <x:c r="F53" s="2" t="inlineStr">
        <x:is>
          <x:t xml:space="preserve">SRD 5.2.1</x:t>
        </x:is>
      </x:c>
    </x:row>
    <x:row r="54" ht="18" customHeight="1">
      <x:c r="A54" s="2" t="inlineStr">
        <x:is>
          <x:t xml:space="preserve">Bard</x:t>
        </x:is>
      </x:c>
      <x:c r="B54" s="2" t="inlineStr">
        <x:is>
          <x:t xml:space="preserve">4</x:t>
        </x:is>
      </x:c>
      <x:c r="C54" s="2" t="inlineStr">
        <x:is>
          <x:t xml:space="preserve">Compulsion</x:t>
        </x:is>
      </x:c>
      <x:c r="D54" s="2" t="inlineStr">
        <x:is>
          <x:t xml:space="preserve">Enchantment</x:t>
        </x:is>
      </x:c>
      <x:c r="E54" s="2" t="inlineStr">
        <x:is>
          <x:t xml:space="preserve">From spell description class tags</x:t>
        </x:is>
      </x:c>
      <x:c r="F54" s="2" t="inlineStr">
        <x:is>
          <x:t xml:space="preserve">SRD 5.2.1</x:t>
        </x:is>
      </x:c>
    </x:row>
    <x:row r="55" ht="18" customHeight="1">
      <x:c r="A55" s="2" t="inlineStr">
        <x:is>
          <x:t xml:space="preserve">Bard</x:t>
        </x:is>
      </x:c>
      <x:c r="B55" s="2" t="inlineStr">
        <x:is>
          <x:t xml:space="preserve">4</x:t>
        </x:is>
      </x:c>
      <x:c r="C55" s="2" t="inlineStr">
        <x:is>
          <x:t xml:space="preserve">Confusion</x:t>
        </x:is>
      </x:c>
      <x:c r="D55" s="2" t="inlineStr">
        <x:is>
          <x:t xml:space="preserve">Enchantment</x:t>
        </x:is>
      </x:c>
      <x:c r="E55" s="2" t="inlineStr">
        <x:is>
          <x:t xml:space="preserve">From spell description class tags</x:t>
        </x:is>
      </x:c>
      <x:c r="F55" s="2" t="inlineStr">
        <x:is>
          <x:t xml:space="preserve">SRD 5.2.1</x:t>
        </x:is>
      </x:c>
    </x:row>
    <x:row r="56" ht="18" customHeight="1">
      <x:c r="A56" s="2" t="inlineStr">
        <x:is>
          <x:t xml:space="preserve">Bard</x:t>
        </x:is>
      </x:c>
      <x:c r="B56" s="2" t="inlineStr">
        <x:is>
          <x:t xml:space="preserve">4</x:t>
        </x:is>
      </x:c>
      <x:c r="C56" s="2" t="inlineStr">
        <x:is>
          <x:t xml:space="preserve">Dimension Door</x:t>
        </x:is>
      </x:c>
      <x:c r="D56" s="2" t="inlineStr">
        <x:is>
          <x:t xml:space="preserve">Conjuration</x:t>
        </x:is>
      </x:c>
      <x:c r="E56" s="2" t="inlineStr">
        <x:is>
          <x:t xml:space="preserve">From spell description class tags</x:t>
        </x:is>
      </x:c>
      <x:c r="F56" s="2" t="inlineStr">
        <x:is>
          <x:t xml:space="preserve">SRD 5.2.1</x:t>
        </x:is>
      </x:c>
    </x:row>
    <x:row r="57" ht="18" customHeight="1">
      <x:c r="A57" s="2" t="inlineStr">
        <x:is>
          <x:t xml:space="preserve">Bard</x:t>
        </x:is>
      </x:c>
      <x:c r="B57" s="2" t="inlineStr">
        <x:is>
          <x:t xml:space="preserve">4</x:t>
        </x:is>
      </x:c>
      <x:c r="C57" s="2" t="inlineStr">
        <x:is>
          <x:t xml:space="preserve">Freedom of Movement</x:t>
        </x:is>
      </x:c>
      <x:c r="D57" s="2" t="inlineStr">
        <x:is>
          <x:t xml:space="preserve">Abjuration</x:t>
        </x:is>
      </x:c>
      <x:c r="E57" s="2" t="inlineStr">
        <x:is>
          <x:t xml:space="preserve">From spell description class tags</x:t>
        </x:is>
      </x:c>
      <x:c r="F57" s="2" t="inlineStr">
        <x:is>
          <x:t xml:space="preserve">SRD 5.2.1</x:t>
        </x:is>
      </x:c>
    </x:row>
    <x:row r="58" ht="18" customHeight="1">
      <x:c r="A58" s="2" t="inlineStr">
        <x:is>
          <x:t xml:space="preserve">Bard</x:t>
        </x:is>
      </x:c>
      <x:c r="B58" s="2" t="inlineStr">
        <x:is>
          <x:t xml:space="preserve">4</x:t>
        </x:is>
      </x:c>
      <x:c r="C58" s="2" t="inlineStr">
        <x:is>
          <x:t xml:space="preserve">Greater Invisibility</x:t>
        </x:is>
      </x:c>
      <x:c r="D58" s="2" t="inlineStr">
        <x:is>
          <x:t xml:space="preserve">Illusion</x:t>
        </x:is>
      </x:c>
      <x:c r="E58" s="2" t="inlineStr">
        <x:is>
          <x:t xml:space="preserve">From spell description class tags</x:t>
        </x:is>
      </x:c>
      <x:c r="F58" s="2" t="inlineStr">
        <x:is>
          <x:t xml:space="preserve">SRD 5.2.1</x:t>
        </x:is>
      </x:c>
    </x:row>
    <x:row r="59" ht="18" customHeight="1">
      <x:c r="A59" s="2" t="inlineStr">
        <x:is>
          <x:t xml:space="preserve">Bard</x:t>
        </x:is>
      </x:c>
      <x:c r="B59" s="2" t="inlineStr">
        <x:is>
          <x:t xml:space="preserve">4</x:t>
        </x:is>
      </x:c>
      <x:c r="C59" s="2" t="inlineStr">
        <x:is>
          <x:t xml:space="preserve">Hallucinatory Terrain</x:t>
        </x:is>
      </x:c>
      <x:c r="D59" s="2" t="inlineStr">
        <x:is>
          <x:t xml:space="preserve">Illusion</x:t>
        </x:is>
      </x:c>
      <x:c r="E59" s="2" t="inlineStr">
        <x:is>
          <x:t xml:space="preserve">From spell description class tags</x:t>
        </x:is>
      </x:c>
      <x:c r="F59" s="2" t="inlineStr">
        <x:is>
          <x:t xml:space="preserve">SRD 5.2.1</x:t>
        </x:is>
      </x:c>
    </x:row>
    <x:row r="60" ht="18" customHeight="1">
      <x:c r="A60" s="2" t="inlineStr">
        <x:is>
          <x:t xml:space="preserve">Bard</x:t>
        </x:is>
      </x:c>
      <x:c r="B60" s="2" t="inlineStr">
        <x:is>
          <x:t xml:space="preserve">4</x:t>
        </x:is>
      </x:c>
      <x:c r="C60" s="2" t="inlineStr">
        <x:is>
          <x:t xml:space="preserve">Phantasmal Killer</x:t>
        </x:is>
      </x:c>
      <x:c r="D60" s="2" t="inlineStr">
        <x:is>
          <x:t xml:space="preserve">Illusion</x:t>
        </x:is>
      </x:c>
      <x:c r="E60" s="2" t="inlineStr">
        <x:is>
          <x:t xml:space="preserve">From spell description class tags</x:t>
        </x:is>
      </x:c>
      <x:c r="F60" s="2" t="inlineStr">
        <x:is>
          <x:t xml:space="preserve">SRD 5.2.1</x:t>
        </x:is>
      </x:c>
    </x:row>
    <x:row r="61" ht="18" customHeight="1">
      <x:c r="A61" s="2" t="inlineStr">
        <x:is>
          <x:t xml:space="preserve">Bard</x:t>
        </x:is>
      </x:c>
      <x:c r="B61" s="2" t="inlineStr">
        <x:is>
          <x:t xml:space="preserve">4</x:t>
        </x:is>
      </x:c>
      <x:c r="C61" s="2" t="inlineStr">
        <x:is>
          <x:t xml:space="preserve">Polymorph</x:t>
        </x:is>
      </x:c>
      <x:c r="D61" s="2" t="inlineStr">
        <x:is>
          <x:t xml:space="preserve">Transmutation</x:t>
        </x:is>
      </x:c>
      <x:c r="E61" s="2" t="inlineStr">
        <x:is>
          <x:t xml:space="preserve">From spell description class tags</x:t>
        </x:is>
      </x:c>
      <x:c r="F61" s="2" t="inlineStr">
        <x:is>
          <x:t xml:space="preserve">SRD 5.2.1</x:t>
        </x:is>
      </x:c>
    </x:row>
    <x:row r="62" ht="18" customHeight="1">
      <x:c r="A62" s="2" t="inlineStr">
        <x:is>
          <x:t xml:space="preserve">Bard</x:t>
        </x:is>
      </x:c>
      <x:c r="B62" s="2" t="inlineStr">
        <x:is>
          <x:t xml:space="preserve">5</x:t>
        </x:is>
      </x:c>
      <x:c r="C62" s="2" t="inlineStr">
        <x:is>
          <x:t xml:space="preserve">Animate Objects</x:t>
        </x:is>
      </x:c>
      <x:c r="D62" s="2" t="inlineStr">
        <x:is>
          <x:t xml:space="preserve">Transmutation</x:t>
        </x:is>
      </x:c>
      <x:c r="E62" s="2" t="inlineStr">
        <x:is>
          <x:t xml:space="preserve">From spell description class tags</x:t>
        </x:is>
      </x:c>
      <x:c r="F62" s="2" t="inlineStr">
        <x:is>
          <x:t xml:space="preserve">SRD 5.2.1</x:t>
        </x:is>
      </x:c>
    </x:row>
    <x:row r="63" ht="18" customHeight="1">
      <x:c r="A63" s="2" t="inlineStr">
        <x:is>
          <x:t xml:space="preserve">Bard</x:t>
        </x:is>
      </x:c>
      <x:c r="B63" s="2" t="inlineStr">
        <x:is>
          <x:t xml:space="preserve">5</x:t>
        </x:is>
      </x:c>
      <x:c r="C63" s="2" t="inlineStr">
        <x:is>
          <x:t xml:space="preserve">Awaken</x:t>
        </x:is>
      </x:c>
      <x:c r="D63" s="2" t="inlineStr">
        <x:is>
          <x:t xml:space="preserve">Transmutation</x:t>
        </x:is>
      </x:c>
      <x:c r="E63" s="2" t="inlineStr">
        <x:is>
          <x:t xml:space="preserve">From spell description class tags</x:t>
        </x:is>
      </x:c>
      <x:c r="F63" s="2" t="inlineStr">
        <x:is>
          <x:t xml:space="preserve">SRD 5.2.1</x:t>
        </x:is>
      </x:c>
    </x:row>
    <x:row r="64" ht="18" customHeight="1">
      <x:c r="A64" s="2" t="inlineStr">
        <x:is>
          <x:t xml:space="preserve">Bard</x:t>
        </x:is>
      </x:c>
      <x:c r="B64" s="2" t="inlineStr">
        <x:is>
          <x:t xml:space="preserve">5</x:t>
        </x:is>
      </x:c>
      <x:c r="C64" s="2" t="inlineStr">
        <x:is>
          <x:t xml:space="preserve">Dominate Person</x:t>
        </x:is>
      </x:c>
      <x:c r="D64" s="2" t="inlineStr">
        <x:is>
          <x:t xml:space="preserve">Enchantment</x:t>
        </x:is>
      </x:c>
      <x:c r="E64" s="2" t="inlineStr">
        <x:is>
          <x:t xml:space="preserve">From spell description class tags</x:t>
        </x:is>
      </x:c>
      <x:c r="F64" s="2" t="inlineStr">
        <x:is>
          <x:t xml:space="preserve">SRD 5.2.1</x:t>
        </x:is>
      </x:c>
    </x:row>
    <x:row r="65" ht="18" customHeight="1">
      <x:c r="A65" s="2" t="inlineStr">
        <x:is>
          <x:t xml:space="preserve">Bard</x:t>
        </x:is>
      </x:c>
      <x:c r="B65" s="2" t="inlineStr">
        <x:is>
          <x:t xml:space="preserve">5</x:t>
        </x:is>
      </x:c>
      <x:c r="C65" s="2" t="inlineStr">
        <x:is>
          <x:t xml:space="preserve">Dream</x:t>
        </x:is>
      </x:c>
      <x:c r="D65" s="2" t="inlineStr">
        <x:is>
          <x:t xml:space="preserve">Illusion</x:t>
        </x:is>
      </x:c>
      <x:c r="E65" s="2" t="inlineStr">
        <x:is>
          <x:t xml:space="preserve">From spell description class tags</x:t>
        </x:is>
      </x:c>
      <x:c r="F65" s="2" t="inlineStr">
        <x:is>
          <x:t xml:space="preserve">SRD 5.2.1</x:t>
        </x:is>
      </x:c>
    </x:row>
    <x:row r="66" ht="18" customHeight="1">
      <x:c r="A66" s="2" t="inlineStr">
        <x:is>
          <x:t xml:space="preserve">Bard</x:t>
        </x:is>
      </x:c>
      <x:c r="B66" s="2" t="inlineStr">
        <x:is>
          <x:t xml:space="preserve">5</x:t>
        </x:is>
      </x:c>
      <x:c r="C66" s="2" t="inlineStr">
        <x:is>
          <x:t xml:space="preserve">Legend Lore</x:t>
        </x:is>
      </x:c>
      <x:c r="D66" s="2" t="inlineStr">
        <x:is>
          <x:t xml:space="preserve">Divination</x:t>
        </x:is>
      </x:c>
      <x:c r="E66" s="2" t="inlineStr">
        <x:is>
          <x:t xml:space="preserve">From spell description class tags</x:t>
        </x:is>
      </x:c>
      <x:c r="F66" s="2" t="inlineStr">
        <x:is>
          <x:t xml:space="preserve">SRD 5.2.1</x:t>
        </x:is>
      </x:c>
    </x:row>
    <x:row r="67" ht="18" customHeight="1">
      <x:c r="A67" s="2" t="inlineStr">
        <x:is>
          <x:t xml:space="preserve">Bard</x:t>
        </x:is>
      </x:c>
      <x:c r="B67" s="2" t="inlineStr">
        <x:is>
          <x:t xml:space="preserve">5</x:t>
        </x:is>
      </x:c>
      <x:c r="C67" s="2" t="inlineStr">
        <x:is>
          <x:t xml:space="preserve">Mass Cure Wounds</x:t>
        </x:is>
      </x:c>
      <x:c r="D67" s="2" t="inlineStr">
        <x:is>
          <x:t xml:space="preserve">Abjuration</x:t>
        </x:is>
      </x:c>
      <x:c r="E67" s="2" t="inlineStr">
        <x:is>
          <x:t xml:space="preserve">From spell description class tags</x:t>
        </x:is>
      </x:c>
      <x:c r="F67" s="2" t="inlineStr">
        <x:is>
          <x:t xml:space="preserve">SRD 5.2.1</x:t>
        </x:is>
      </x:c>
    </x:row>
    <x:row r="68" ht="18" customHeight="1">
      <x:c r="A68" s="2" t="inlineStr">
        <x:is>
          <x:t xml:space="preserve">Bard</x:t>
        </x:is>
      </x:c>
      <x:c r="B68" s="2" t="inlineStr">
        <x:is>
          <x:t xml:space="preserve">5</x:t>
        </x:is>
      </x:c>
      <x:c r="C68" s="2" t="inlineStr">
        <x:is>
          <x:t xml:space="preserve">Mislead</x:t>
        </x:is>
      </x:c>
      <x:c r="D68" s="2" t="inlineStr">
        <x:is>
          <x:t xml:space="preserve">Illusion</x:t>
        </x:is>
      </x:c>
      <x:c r="E68" s="2" t="inlineStr">
        <x:is>
          <x:t xml:space="preserve">From spell description class tags</x:t>
        </x:is>
      </x:c>
      <x:c r="F68" s="2" t="inlineStr">
        <x:is>
          <x:t xml:space="preserve">SRD 5.2.1</x:t>
        </x:is>
      </x:c>
    </x:row>
    <x:row r="69" ht="18" customHeight="1">
      <x:c r="A69" s="2" t="inlineStr">
        <x:is>
          <x:t xml:space="preserve">Bard</x:t>
        </x:is>
      </x:c>
      <x:c r="B69" s="2" t="inlineStr">
        <x:is>
          <x:t xml:space="preserve">5</x:t>
        </x:is>
      </x:c>
      <x:c r="C69" s="2" t="inlineStr">
        <x:is>
          <x:t xml:space="preserve">Modify Memory</x:t>
        </x:is>
      </x:c>
      <x:c r="D69" s="2" t="inlineStr">
        <x:is>
          <x:t xml:space="preserve">Enchantment</x:t>
        </x:is>
      </x:c>
      <x:c r="E69" s="2" t="inlineStr">
        <x:is>
          <x:t xml:space="preserve">From spell description class tags</x:t>
        </x:is>
      </x:c>
      <x:c r="F69" s="2" t="inlineStr">
        <x:is>
          <x:t xml:space="preserve">SRD 5.2.1</x:t>
        </x:is>
      </x:c>
    </x:row>
    <x:row r="70" ht="18" customHeight="1">
      <x:c r="A70" s="2" t="inlineStr">
        <x:is>
          <x:t xml:space="preserve">Bard</x:t>
        </x:is>
      </x:c>
      <x:c r="B70" s="2" t="inlineStr">
        <x:is>
          <x:t xml:space="preserve">5</x:t>
        </x:is>
      </x:c>
      <x:c r="C70" s="2" t="inlineStr">
        <x:is>
          <x:t xml:space="preserve">Raise Dead</x:t>
        </x:is>
      </x:c>
      <x:c r="D70" s="2" t="inlineStr">
        <x:is>
          <x:t xml:space="preserve">Necromancy</x:t>
        </x:is>
      </x:c>
      <x:c r="E70" s="2" t="inlineStr">
        <x:is>
          <x:t xml:space="preserve">From spell description class tags</x:t>
        </x:is>
      </x:c>
      <x:c r="F70" s="2" t="inlineStr">
        <x:is>
          <x:t xml:space="preserve">SRD 5.2.1</x:t>
        </x:is>
      </x:c>
    </x:row>
    <x:row r="71" ht="18" customHeight="1">
      <x:c r="A71" s="2" t="inlineStr">
        <x:is>
          <x:t xml:space="preserve">Bard</x:t>
        </x:is>
      </x:c>
      <x:c r="B71" s="2" t="inlineStr">
        <x:is>
          <x:t xml:space="preserve">5</x:t>
        </x:is>
      </x:c>
      <x:c r="C71" s="2" t="inlineStr">
        <x:is>
          <x:t xml:space="preserve">Seeming</x:t>
        </x:is>
      </x:c>
      <x:c r="D71" s="2" t="inlineStr">
        <x:is>
          <x:t xml:space="preserve">Illusion</x:t>
        </x:is>
      </x:c>
      <x:c r="E71" s="2" t="inlineStr">
        <x:is>
          <x:t xml:space="preserve">From spell description class tags</x:t>
        </x:is>
      </x:c>
      <x:c r="F71" s="2" t="inlineStr">
        <x:is>
          <x:t xml:space="preserve">SRD 5.2.1</x:t>
        </x:is>
      </x:c>
    </x:row>
    <x:row r="72" ht="18" customHeight="1">
      <x:c r="A72" s="2" t="inlineStr">
        <x:is>
          <x:t xml:space="preserve">Bard</x:t>
        </x:is>
      </x:c>
      <x:c r="B72" s="2" t="inlineStr">
        <x:is>
          <x:t xml:space="preserve">5</x:t>
        </x:is>
      </x:c>
      <x:c r="C72" s="2" t="inlineStr">
        <x:is>
          <x:t xml:space="preserve">Telepathic Bond</x:t>
        </x:is>
      </x:c>
      <x:c r="D72" s="2" t="inlineStr">
        <x:is>
          <x:t xml:space="preserve">Divination</x:t>
        </x:is>
      </x:c>
      <x:c r="E72" s="2" t="inlineStr">
        <x:is>
          <x:t xml:space="preserve">From spell description class tags</x:t>
        </x:is>
      </x:c>
      <x:c r="F72" s="2" t="inlineStr">
        <x:is>
          <x:t xml:space="preserve">SRD 5.2.1</x:t>
        </x:is>
      </x:c>
    </x:row>
    <x:row r="73" ht="18" customHeight="1">
      <x:c r="A73" s="2" t="inlineStr">
        <x:is>
          <x:t xml:space="preserve">Bard</x:t>
        </x:is>
      </x:c>
      <x:c r="B73" s="2" t="inlineStr">
        <x:is>
          <x:t xml:space="preserve">5</x:t>
        </x:is>
      </x:c>
      <x:c r="C73" s="2" t="inlineStr">
        <x:is>
          <x:t xml:space="preserve">Teleportation Circle</x:t>
        </x:is>
      </x:c>
      <x:c r="D73" s="2" t="inlineStr">
        <x:is>
          <x:t xml:space="preserve">Conjuration</x:t>
        </x:is>
      </x:c>
      <x:c r="E73" s="2" t="inlineStr">
        <x:is>
          <x:t xml:space="preserve">From spell description class tags</x:t>
        </x:is>
      </x:c>
      <x:c r="F73" s="2" t="inlineStr">
        <x:is>
          <x:t xml:space="preserve">SRD 5.2.1</x:t>
        </x:is>
      </x:c>
    </x:row>
    <x:row r="74" ht="18" customHeight="1">
      <x:c r="A74" s="2" t="inlineStr">
        <x:is>
          <x:t xml:space="preserve">Bard</x:t>
        </x:is>
      </x:c>
      <x:c r="B74" s="2" t="inlineStr">
        <x:is>
          <x:t xml:space="preserve">6</x:t>
        </x:is>
      </x:c>
      <x:c r="C74" s="2" t="inlineStr">
        <x:is>
          <x:t xml:space="preserve">Eyebite</x:t>
        </x:is>
      </x:c>
      <x:c r="D74" s="2" t="inlineStr">
        <x:is>
          <x:t xml:space="preserve">Necromancy</x:t>
        </x:is>
      </x:c>
      <x:c r="E74" s="2" t="inlineStr">
        <x:is>
          <x:t xml:space="preserve">From spell description class tags</x:t>
        </x:is>
      </x:c>
      <x:c r="F74" s="2" t="inlineStr">
        <x:is>
          <x:t xml:space="preserve">SRD 5.2.1</x:t>
        </x:is>
      </x:c>
    </x:row>
    <x:row r="75" ht="18" customHeight="1">
      <x:c r="A75" s="2" t="inlineStr">
        <x:is>
          <x:t xml:space="preserve">Bard</x:t>
        </x:is>
      </x:c>
      <x:c r="B75" s="2" t="inlineStr">
        <x:is>
          <x:t xml:space="preserve">6</x:t>
        </x:is>
      </x:c>
      <x:c r="C75" s="2" t="inlineStr">
        <x:is>
          <x:t xml:space="preserve">Find the Path</x:t>
        </x:is>
      </x:c>
      <x:c r="D75" s="2" t="inlineStr">
        <x:is>
          <x:t xml:space="preserve">Divination</x:t>
        </x:is>
      </x:c>
      <x:c r="E75" s="2" t="inlineStr">
        <x:is>
          <x:t xml:space="preserve">From spell description class tags</x:t>
        </x:is>
      </x:c>
      <x:c r="F75" s="2" t="inlineStr">
        <x:is>
          <x:t xml:space="preserve">SRD 5.2.1</x:t>
        </x:is>
      </x:c>
    </x:row>
    <x:row r="76" ht="18" customHeight="1">
      <x:c r="A76" s="2" t="inlineStr">
        <x:is>
          <x:t xml:space="preserve">Bard</x:t>
        </x:is>
      </x:c>
      <x:c r="B76" s="2" t="inlineStr">
        <x:is>
          <x:t xml:space="preserve">6</x:t>
        </x:is>
      </x:c>
      <x:c r="C76" s="2" t="inlineStr">
        <x:is>
          <x:t xml:space="preserve">Guards and Wards</x:t>
        </x:is>
      </x:c>
      <x:c r="D76" s="2" t="inlineStr">
        <x:is>
          <x:t xml:space="preserve">Abjuration</x:t>
        </x:is>
      </x:c>
      <x:c r="E76" s="2" t="inlineStr">
        <x:is>
          <x:t xml:space="preserve">From spell description class tags</x:t>
        </x:is>
      </x:c>
      <x:c r="F76" s="2" t="inlineStr">
        <x:is>
          <x:t xml:space="preserve">SRD 5.2.1</x:t>
        </x:is>
      </x:c>
    </x:row>
    <x:row r="77" ht="18" customHeight="1">
      <x:c r="A77" s="2" t="inlineStr">
        <x:is>
          <x:t xml:space="preserve">Bard</x:t>
        </x:is>
      </x:c>
      <x:c r="B77" s="2" t="inlineStr">
        <x:is>
          <x:t xml:space="preserve">6</x:t>
        </x:is>
      </x:c>
      <x:c r="C77" s="2" t="inlineStr">
        <x:is>
          <x:t xml:space="preserve">Heroes’ Feast</x:t>
        </x:is>
      </x:c>
      <x:c r="D77" s="2" t="inlineStr">
        <x:is>
          <x:t xml:space="preserve">Conjuration</x:t>
        </x:is>
      </x:c>
      <x:c r="E77" s="2" t="inlineStr">
        <x:is>
          <x:t xml:space="preserve">From spell description class tags</x:t>
        </x:is>
      </x:c>
      <x:c r="F77" s="2" t="inlineStr">
        <x:is>
          <x:t xml:space="preserve">SRD 5.2.1</x:t>
        </x:is>
      </x:c>
    </x:row>
    <x:row r="78" ht="18" customHeight="1">
      <x:c r="A78" s="2" t="inlineStr">
        <x:is>
          <x:t xml:space="preserve">Bard</x:t>
        </x:is>
      </x:c>
      <x:c r="B78" s="2" t="inlineStr">
        <x:is>
          <x:t xml:space="preserve">6</x:t>
        </x:is>
      </x:c>
      <x:c r="C78" s="2" t="inlineStr">
        <x:is>
          <x:t xml:space="preserve">Irresistible Dance</x:t>
        </x:is>
      </x:c>
      <x:c r="D78" s="2" t="inlineStr">
        <x:is>
          <x:t xml:space="preserve">Enchantment</x:t>
        </x:is>
      </x:c>
      <x:c r="E78" s="2" t="inlineStr">
        <x:is>
          <x:t xml:space="preserve">From spell description class tags</x:t>
        </x:is>
      </x:c>
      <x:c r="F78" s="2" t="inlineStr">
        <x:is>
          <x:t xml:space="preserve">SRD 5.2.1</x:t>
        </x:is>
      </x:c>
    </x:row>
    <x:row r="79" ht="18" customHeight="1">
      <x:c r="A79" s="2" t="inlineStr">
        <x:is>
          <x:t xml:space="preserve">Bard</x:t>
        </x:is>
      </x:c>
      <x:c r="B79" s="2" t="inlineStr">
        <x:is>
          <x:t xml:space="preserve">6</x:t>
        </x:is>
      </x:c>
      <x:c r="C79" s="2" t="inlineStr">
        <x:is>
          <x:t xml:space="preserve">Mass Suggestion</x:t>
        </x:is>
      </x:c>
      <x:c r="D79" s="2" t="inlineStr">
        <x:is>
          <x:t xml:space="preserve">Enchantment</x:t>
        </x:is>
      </x:c>
      <x:c r="E79" s="2" t="inlineStr">
        <x:is>
          <x:t xml:space="preserve">From spell description class tags</x:t>
        </x:is>
      </x:c>
      <x:c r="F79" s="2" t="inlineStr">
        <x:is>
          <x:t xml:space="preserve">SRD 5.2.1</x:t>
        </x:is>
      </x:c>
    </x:row>
    <x:row r="80" ht="18" customHeight="1">
      <x:c r="A80" s="2" t="inlineStr">
        <x:is>
          <x:t xml:space="preserve">Bard</x:t>
        </x:is>
      </x:c>
      <x:c r="B80" s="2" t="inlineStr">
        <x:is>
          <x:t xml:space="preserve">6</x:t>
        </x:is>
      </x:c>
      <x:c r="C80" s="2" t="inlineStr">
        <x:is>
          <x:t xml:space="preserve">Programmed Illusion</x:t>
        </x:is>
      </x:c>
      <x:c r="D80" s="2" t="inlineStr">
        <x:is>
          <x:t xml:space="preserve">Illusion</x:t>
        </x:is>
      </x:c>
      <x:c r="E80" s="2" t="inlineStr">
        <x:is>
          <x:t xml:space="preserve">From spell description class tags</x:t>
        </x:is>
      </x:c>
      <x:c r="F80" s="2" t="inlineStr">
        <x:is>
          <x:t xml:space="preserve">SRD 5.2.1</x:t>
        </x:is>
      </x:c>
    </x:row>
    <x:row r="81" ht="18" customHeight="1">
      <x:c r="A81" s="2" t="inlineStr">
        <x:is>
          <x:t xml:space="preserve">Bard</x:t>
        </x:is>
      </x:c>
      <x:c r="B81" s="2" t="inlineStr">
        <x:is>
          <x:t xml:space="preserve">7</x:t>
        </x:is>
      </x:c>
      <x:c r="C81" s="2" t="inlineStr">
        <x:is>
          <x:t xml:space="preserve">Arcane Sword</x:t>
        </x:is>
      </x:c>
      <x:c r="D81" s="2" t="inlineStr">
        <x:is>
          <x:t xml:space="preserve">Evocation</x:t>
        </x:is>
      </x:c>
      <x:c r="E81" s="2" t="inlineStr">
        <x:is>
          <x:t xml:space="preserve">From spell description class tags</x:t>
        </x:is>
      </x:c>
      <x:c r="F81" s="2" t="inlineStr">
        <x:is>
          <x:t xml:space="preserve">SRD 5.2.1</x:t>
        </x:is>
      </x:c>
    </x:row>
    <x:row r="82" ht="18" customHeight="1">
      <x:c r="A82" s="2" t="inlineStr">
        <x:is>
          <x:t xml:space="preserve">Bard</x:t>
        </x:is>
      </x:c>
      <x:c r="B82" s="2" t="inlineStr">
        <x:is>
          <x:t xml:space="preserve">7</x:t>
        </x:is>
      </x:c>
      <x:c r="C82" s="2" t="inlineStr">
        <x:is>
          <x:t xml:space="preserve">Forcecage</x:t>
        </x:is>
      </x:c>
      <x:c r="D82" s="2" t="inlineStr">
        <x:is>
          <x:t xml:space="preserve">Evocation</x:t>
        </x:is>
      </x:c>
      <x:c r="E82" s="2" t="inlineStr">
        <x:is>
          <x:t xml:space="preserve">From spell description class tags</x:t>
        </x:is>
      </x:c>
      <x:c r="F82" s="2" t="inlineStr">
        <x:is>
          <x:t xml:space="preserve">SRD 5.2.1</x:t>
        </x:is>
      </x:c>
    </x:row>
    <x:row r="83" ht="18" customHeight="1">
      <x:c r="A83" s="2" t="inlineStr">
        <x:is>
          <x:t xml:space="preserve">Bard</x:t>
        </x:is>
      </x:c>
      <x:c r="B83" s="2" t="inlineStr">
        <x:is>
          <x:t xml:space="preserve">7</x:t>
        </x:is>
      </x:c>
      <x:c r="C83" s="2" t="inlineStr">
        <x:is>
          <x:t xml:space="preserve">Magnificent Mansion</x:t>
        </x:is>
      </x:c>
      <x:c r="D83" s="2" t="inlineStr">
        <x:is>
          <x:t xml:space="preserve">Conjuration</x:t>
        </x:is>
      </x:c>
      <x:c r="E83" s="2" t="inlineStr">
        <x:is>
          <x:t xml:space="preserve">From spell description class tags</x:t>
        </x:is>
      </x:c>
      <x:c r="F83" s="2" t="inlineStr">
        <x:is>
          <x:t xml:space="preserve">SRD 5.2.1</x:t>
        </x:is>
      </x:c>
    </x:row>
    <x:row r="84" ht="18" customHeight="1">
      <x:c r="A84" s="2" t="inlineStr">
        <x:is>
          <x:t xml:space="preserve">Bard</x:t>
        </x:is>
      </x:c>
      <x:c r="B84" s="2" t="inlineStr">
        <x:is>
          <x:t xml:space="preserve">7</x:t>
        </x:is>
      </x:c>
      <x:c r="C84" s="2" t="inlineStr">
        <x:is>
          <x:t xml:space="preserve">Mirage Arcane</x:t>
        </x:is>
      </x:c>
      <x:c r="D84" s="2" t="inlineStr">
        <x:is>
          <x:t xml:space="preserve">Illusion</x:t>
        </x:is>
      </x:c>
      <x:c r="E84" s="2" t="inlineStr">
        <x:is>
          <x:t xml:space="preserve">From spell description class tags</x:t>
        </x:is>
      </x:c>
      <x:c r="F84" s="2" t="inlineStr">
        <x:is>
          <x:t xml:space="preserve">SRD 5.2.1</x:t>
        </x:is>
      </x:c>
    </x:row>
    <x:row r="85" ht="18" customHeight="1">
      <x:c r="A85" s="2" t="inlineStr">
        <x:is>
          <x:t xml:space="preserve">Bard</x:t>
        </x:is>
      </x:c>
      <x:c r="B85" s="2" t="inlineStr">
        <x:is>
          <x:t xml:space="preserve">7</x:t>
        </x:is>
      </x:c>
      <x:c r="C85" s="2" t="inlineStr">
        <x:is>
          <x:t xml:space="preserve">Prismatic Spray</x:t>
        </x:is>
      </x:c>
      <x:c r="D85" s="2" t="inlineStr">
        <x:is>
          <x:t xml:space="preserve">Evocation</x:t>
        </x:is>
      </x:c>
      <x:c r="E85" s="2" t="inlineStr">
        <x:is>
          <x:t xml:space="preserve">From spell description class tags</x:t>
        </x:is>
      </x:c>
      <x:c r="F85" s="2" t="inlineStr">
        <x:is>
          <x:t xml:space="preserve">SRD 5.2.1</x:t>
        </x:is>
      </x:c>
    </x:row>
    <x:row r="86" ht="18" customHeight="1">
      <x:c r="A86" s="2" t="inlineStr">
        <x:is>
          <x:t xml:space="preserve">Bard</x:t>
        </x:is>
      </x:c>
      <x:c r="B86" s="2" t="inlineStr">
        <x:is>
          <x:t xml:space="preserve">7</x:t>
        </x:is>
      </x:c>
      <x:c r="C86" s="2" t="inlineStr">
        <x:is>
          <x:t xml:space="preserve">Project Image</x:t>
        </x:is>
      </x:c>
      <x:c r="D86" s="2" t="inlineStr">
        <x:is>
          <x:t xml:space="preserve">Illusion</x:t>
        </x:is>
      </x:c>
      <x:c r="E86" s="2" t="inlineStr">
        <x:is>
          <x:t xml:space="preserve">From spell description class tags</x:t>
        </x:is>
      </x:c>
      <x:c r="F86" s="2" t="inlineStr">
        <x:is>
          <x:t xml:space="preserve">SRD 5.2.1</x:t>
        </x:is>
      </x:c>
    </x:row>
    <x:row r="87" ht="18" customHeight="1">
      <x:c r="A87" s="2" t="inlineStr">
        <x:is>
          <x:t xml:space="preserve">Bard</x:t>
        </x:is>
      </x:c>
      <x:c r="B87" s="2" t="inlineStr">
        <x:is>
          <x:t xml:space="preserve">7</x:t>
        </x:is>
      </x:c>
      <x:c r="C87" s="2" t="inlineStr">
        <x:is>
          <x:t xml:space="preserve">Regenerate</x:t>
        </x:is>
      </x:c>
      <x:c r="D87" s="2" t="inlineStr">
        <x:is>
          <x:t xml:space="preserve">Transmutation</x:t>
        </x:is>
      </x:c>
      <x:c r="E87" s="2" t="inlineStr">
        <x:is>
          <x:t xml:space="preserve">From spell description class tags</x:t>
        </x:is>
      </x:c>
      <x:c r="F87" s="2" t="inlineStr">
        <x:is>
          <x:t xml:space="preserve">SRD 5.2.1</x:t>
        </x:is>
      </x:c>
    </x:row>
    <x:row r="88" ht="18" customHeight="1">
      <x:c r="A88" s="2" t="inlineStr">
        <x:is>
          <x:t xml:space="preserve">Bard</x:t>
        </x:is>
      </x:c>
      <x:c r="B88" s="2" t="inlineStr">
        <x:is>
          <x:t xml:space="preserve">7</x:t>
        </x:is>
      </x:c>
      <x:c r="C88" s="2" t="inlineStr">
        <x:is>
          <x:t xml:space="preserve">Resurrection</x:t>
        </x:is>
      </x:c>
      <x:c r="D88" s="2" t="inlineStr">
        <x:is>
          <x:t xml:space="preserve">Necromancy</x:t>
        </x:is>
      </x:c>
      <x:c r="E88" s="2" t="inlineStr">
        <x:is>
          <x:t xml:space="preserve">From spell description class tags</x:t>
        </x:is>
      </x:c>
      <x:c r="F88" s="2" t="inlineStr">
        <x:is>
          <x:t xml:space="preserve">SRD 5.2.1</x:t>
        </x:is>
      </x:c>
    </x:row>
    <x:row r="89" ht="18" customHeight="1">
      <x:c r="A89" s="2" t="inlineStr">
        <x:is>
          <x:t xml:space="preserve">Bard</x:t>
        </x:is>
      </x:c>
      <x:c r="B89" s="2" t="inlineStr">
        <x:is>
          <x:t xml:space="preserve">7</x:t>
        </x:is>
      </x:c>
      <x:c r="C89" s="2" t="inlineStr">
        <x:is>
          <x:t xml:space="preserve">Symbol</x:t>
        </x:is>
      </x:c>
      <x:c r="D89" s="2" t="inlineStr">
        <x:is>
          <x:t xml:space="preserve">Abjuration</x:t>
        </x:is>
      </x:c>
      <x:c r="E89" s="2" t="inlineStr">
        <x:is>
          <x:t xml:space="preserve">From spell description class tags</x:t>
        </x:is>
      </x:c>
      <x:c r="F89" s="2" t="inlineStr">
        <x:is>
          <x:t xml:space="preserve">SRD 5.2.1</x:t>
        </x:is>
      </x:c>
    </x:row>
    <x:row r="90" ht="18" customHeight="1">
      <x:c r="A90" s="2" t="inlineStr">
        <x:is>
          <x:t xml:space="preserve">Bard</x:t>
        </x:is>
      </x:c>
      <x:c r="B90" s="2" t="inlineStr">
        <x:is>
          <x:t xml:space="preserve">7</x:t>
        </x:is>
      </x:c>
      <x:c r="C90" s="2" t="inlineStr">
        <x:is>
          <x:t xml:space="preserve">Teleport</x:t>
        </x:is>
      </x:c>
      <x:c r="D90" s="2" t="inlineStr">
        <x:is>
          <x:t xml:space="preserve">Conjuration</x:t>
        </x:is>
      </x:c>
      <x:c r="E90" s="2" t="inlineStr">
        <x:is>
          <x:t xml:space="preserve">From spell description class tags</x:t>
        </x:is>
      </x:c>
      <x:c r="F90" s="2" t="inlineStr">
        <x:is>
          <x:t xml:space="preserve">SRD 5.2.1</x:t>
        </x:is>
      </x:c>
    </x:row>
    <x:row r="91" ht="18" customHeight="1">
      <x:c r="A91" s="2" t="inlineStr">
        <x:is>
          <x:t xml:space="preserve">Bard</x:t>
        </x:is>
      </x:c>
      <x:c r="B91" s="2" t="inlineStr">
        <x:is>
          <x:t xml:space="preserve">8</x:t>
        </x:is>
      </x:c>
      <x:c r="C91" s="2" t="inlineStr">
        <x:is>
          <x:t xml:space="preserve">Antipathy/Sympathy</x:t>
        </x:is>
      </x:c>
      <x:c r="D91" s="2" t="inlineStr">
        <x:is>
          <x:t xml:space="preserve">Enchantment</x:t>
        </x:is>
      </x:c>
      <x:c r="E91" s="2" t="inlineStr">
        <x:is>
          <x:t xml:space="preserve">From spell description class tags</x:t>
        </x:is>
      </x:c>
      <x:c r="F91" s="2" t="inlineStr">
        <x:is>
          <x:t xml:space="preserve">SRD 5.2.1</x:t>
        </x:is>
      </x:c>
    </x:row>
    <x:row r="92" ht="18" customHeight="1">
      <x:c r="A92" s="2" t="inlineStr">
        <x:is>
          <x:t xml:space="preserve">Bard</x:t>
        </x:is>
      </x:c>
      <x:c r="B92" s="2" t="inlineStr">
        <x:is>
          <x:t xml:space="preserve">8</x:t>
        </x:is>
      </x:c>
      <x:c r="C92" s="2" t="inlineStr">
        <x:is>
          <x:t xml:space="preserve">Befuddlement</x:t>
        </x:is>
      </x:c>
      <x:c r="D92" s="2" t="inlineStr">
        <x:is>
          <x:t xml:space="preserve">Enchantment</x:t>
        </x:is>
      </x:c>
      <x:c r="E92" s="2" t="inlineStr">
        <x:is>
          <x:t xml:space="preserve">From spell description class tags</x:t>
        </x:is>
      </x:c>
      <x:c r="F92" s="2" t="inlineStr">
        <x:is>
          <x:t xml:space="preserve">SRD 5.2.1</x:t>
        </x:is>
      </x:c>
    </x:row>
    <x:row r="93" ht="18" customHeight="1">
      <x:c r="A93" s="2" t="inlineStr">
        <x:is>
          <x:t xml:space="preserve">Bard</x:t>
        </x:is>
      </x:c>
      <x:c r="B93" s="2" t="inlineStr">
        <x:is>
          <x:t xml:space="preserve">8</x:t>
        </x:is>
      </x:c>
      <x:c r="C93" s="2" t="inlineStr">
        <x:is>
          <x:t xml:space="preserve">Glibness</x:t>
        </x:is>
      </x:c>
      <x:c r="D93" s="2" t="inlineStr">
        <x:is>
          <x:t xml:space="preserve">Enchantment</x:t>
        </x:is>
      </x:c>
      <x:c r="E93" s="2" t="inlineStr">
        <x:is>
          <x:t xml:space="preserve">From spell description class tags</x:t>
        </x:is>
      </x:c>
      <x:c r="F93" s="2" t="inlineStr">
        <x:is>
          <x:t xml:space="preserve">SRD 5.2.1</x:t>
        </x:is>
      </x:c>
    </x:row>
    <x:row r="94" ht="18" customHeight="1">
      <x:c r="A94" s="2" t="inlineStr">
        <x:is>
          <x:t xml:space="preserve">Bard</x:t>
        </x:is>
      </x:c>
      <x:c r="B94" s="2" t="inlineStr">
        <x:is>
          <x:t xml:space="preserve">8</x:t>
        </x:is>
      </x:c>
      <x:c r="C94" s="2" t="inlineStr">
        <x:is>
          <x:t xml:space="preserve">Mind Blank</x:t>
        </x:is>
      </x:c>
      <x:c r="D94" s="2" t="inlineStr">
        <x:is>
          <x:t xml:space="preserve">Abjuration</x:t>
        </x:is>
      </x:c>
      <x:c r="E94" s="2" t="inlineStr">
        <x:is>
          <x:t xml:space="preserve">From spell description class tags</x:t>
        </x:is>
      </x:c>
      <x:c r="F94" s="2" t="inlineStr">
        <x:is>
          <x:t xml:space="preserve">SRD 5.2.1</x:t>
        </x:is>
      </x:c>
    </x:row>
    <x:row r="95" ht="18" customHeight="1">
      <x:c r="A95" s="2" t="inlineStr">
        <x:is>
          <x:t xml:space="preserve">Bard</x:t>
        </x:is>
      </x:c>
      <x:c r="B95" s="2" t="inlineStr">
        <x:is>
          <x:t xml:space="preserve">9</x:t>
        </x:is>
      </x:c>
      <x:c r="C95" s="2" t="inlineStr">
        <x:is>
          <x:t xml:space="preserve">Foresight</x:t>
        </x:is>
      </x:c>
      <x:c r="D95" s="2" t="inlineStr">
        <x:is>
          <x:t xml:space="preserve">Divination</x:t>
        </x:is>
      </x:c>
      <x:c r="E95" s="2" t="inlineStr">
        <x:is>
          <x:t xml:space="preserve">From spell description class tags</x:t>
        </x:is>
      </x:c>
      <x:c r="F95" s="2" t="inlineStr">
        <x:is>
          <x:t xml:space="preserve">SRD 5.2.1</x:t>
        </x:is>
      </x:c>
    </x:row>
    <x:row r="96" ht="18" customHeight="1">
      <x:c r="A96" s="2" t="inlineStr">
        <x:is>
          <x:t xml:space="preserve">Bard</x:t>
        </x:is>
      </x:c>
      <x:c r="B96" s="2" t="inlineStr">
        <x:is>
          <x:t xml:space="preserve">9</x:t>
        </x:is>
      </x:c>
      <x:c r="C96" s="2" t="inlineStr">
        <x:is>
          <x:t xml:space="preserve">Power Word Heal</x:t>
        </x:is>
      </x:c>
      <x:c r="D96" s="2" t="inlineStr">
        <x:is>
          <x:t xml:space="preserve">Enchantment</x:t>
        </x:is>
      </x:c>
      <x:c r="E96" s="2" t="inlineStr">
        <x:is>
          <x:t xml:space="preserve">From spell description class tags</x:t>
        </x:is>
      </x:c>
      <x:c r="F96" s="2" t="inlineStr">
        <x:is>
          <x:t xml:space="preserve">SRD 5.2.1</x:t>
        </x:is>
      </x:c>
    </x:row>
    <x:row r="97" ht="18" customHeight="1">
      <x:c r="A97" s="2" t="inlineStr">
        <x:is>
          <x:t xml:space="preserve">Bard</x:t>
        </x:is>
      </x:c>
      <x:c r="B97" s="2" t="inlineStr">
        <x:is>
          <x:t xml:space="preserve">9</x:t>
        </x:is>
      </x:c>
      <x:c r="C97" s="2" t="inlineStr">
        <x:is>
          <x:t xml:space="preserve">Prismatic Wall</x:t>
        </x:is>
      </x:c>
      <x:c r="D97" s="2" t="inlineStr">
        <x:is>
          <x:t xml:space="preserve">Abjuration</x:t>
        </x:is>
      </x:c>
      <x:c r="E97" s="2" t="inlineStr">
        <x:is>
          <x:t xml:space="preserve">From spell description class tags</x:t>
        </x:is>
      </x:c>
      <x:c r="F97" s="2" t="inlineStr">
        <x:is>
          <x:t xml:space="preserve">SRD 5.2.1</x:t>
        </x:is>
      </x:c>
    </x:row>
    <x:row r="98" ht="18" customHeight="1">
      <x:c r="A98" s="2" t="inlineStr">
        <x:is>
          <x:t xml:space="preserve">Bard</x:t>
        </x:is>
      </x:c>
      <x:c r="B98" s="2" t="inlineStr">
        <x:is>
          <x:t xml:space="preserve">9</x:t>
        </x:is>
      </x:c>
      <x:c r="C98" s="2" t="inlineStr">
        <x:is>
          <x:t xml:space="preserve">True Polymorph</x:t>
        </x:is>
      </x:c>
      <x:c r="D98" s="2" t="inlineStr">
        <x:is>
          <x:t xml:space="preserve">Transmutation</x:t>
        </x:is>
      </x:c>
      <x:c r="E98" s="2" t="inlineStr">
        <x:is>
          <x:t xml:space="preserve">From spell description class tags</x:t>
        </x:is>
      </x:c>
      <x:c r="F98" s="2" t="inlineStr">
        <x:is>
          <x:t xml:space="preserve">SRD 5.2.1</x:t>
        </x:is>
      </x:c>
    </x:row>
    <x:row r="99" ht="18" customHeight="1">
      <x:c r="A99" s="2" t="inlineStr">
        <x:is>
          <x:t xml:space="preserve">Bard</x:t>
        </x:is>
      </x:c>
      <x:c r="B99" s="2" t="inlineStr">
        <x:is>
          <x:t xml:space="preserve">Cantrip</x:t>
        </x:is>
      </x:c>
      <x:c r="C99" s="2" t="inlineStr">
        <x:is>
          <x:t xml:space="preserve">Dancing Lights</x:t>
        </x:is>
      </x:c>
      <x:c r="D99" s="2" t="inlineStr">
        <x:is>
          <x:t xml:space="preserve">Illusion</x:t>
        </x:is>
      </x:c>
      <x:c r="E99" s="2" t="inlineStr">
        <x:is>
          <x:t xml:space="preserve">From spell description class tags</x:t>
        </x:is>
      </x:c>
      <x:c r="F99" s="2" t="inlineStr">
        <x:is>
          <x:t xml:space="preserve">SRD 5.2.1</x:t>
        </x:is>
      </x:c>
    </x:row>
    <x:row r="100" ht="18" customHeight="1">
      <x:c r="A100" s="2" t="inlineStr">
        <x:is>
          <x:t xml:space="preserve">Bard</x:t>
        </x:is>
      </x:c>
      <x:c r="B100" s="2" t="inlineStr">
        <x:is>
          <x:t xml:space="preserve">Cantrip</x:t>
        </x:is>
      </x:c>
      <x:c r="C100" s="2" t="inlineStr">
        <x:is>
          <x:t xml:space="preserve">Light</x:t>
        </x:is>
      </x:c>
      <x:c r="D100" s="2" t="inlineStr">
        <x:is>
          <x:t xml:space="preserve">Evocation</x:t>
        </x:is>
      </x:c>
      <x:c r="E100" s="2" t="inlineStr">
        <x:is>
          <x:t xml:space="preserve">From spell description class tags</x:t>
        </x:is>
      </x:c>
      <x:c r="F100" s="2" t="inlineStr">
        <x:is>
          <x:t xml:space="preserve">SRD 5.2.1</x:t>
        </x:is>
      </x:c>
    </x:row>
    <x:row r="101" ht="18" customHeight="1">
      <x:c r="A101" s="2" t="inlineStr">
        <x:is>
          <x:t xml:space="preserve">Bard</x:t>
        </x:is>
      </x:c>
      <x:c r="B101" s="2" t="inlineStr">
        <x:is>
          <x:t xml:space="preserve">Cantrip</x:t>
        </x:is>
      </x:c>
      <x:c r="C101" s="2" t="inlineStr">
        <x:is>
          <x:t xml:space="preserve">Mage Hand</x:t>
        </x:is>
      </x:c>
      <x:c r="D101" s="2" t="inlineStr">
        <x:is>
          <x:t xml:space="preserve">Conjuration</x:t>
        </x:is>
      </x:c>
      <x:c r="E101" s="2" t="inlineStr">
        <x:is>
          <x:t xml:space="preserve">From spell description class tags</x:t>
        </x:is>
      </x:c>
      <x:c r="F101" s="2" t="inlineStr">
        <x:is>
          <x:t xml:space="preserve">SRD 5.2.1</x:t>
        </x:is>
      </x:c>
    </x:row>
    <x:row r="102" ht="18" customHeight="1">
      <x:c r="A102" s="2" t="inlineStr">
        <x:is>
          <x:t xml:space="preserve">Bard</x:t>
        </x:is>
      </x:c>
      <x:c r="B102" s="2" t="inlineStr">
        <x:is>
          <x:t xml:space="preserve">Cantrip</x:t>
        </x:is>
      </x:c>
      <x:c r="C102" s="2" t="inlineStr">
        <x:is>
          <x:t xml:space="preserve">Minor Illusion</x:t>
        </x:is>
      </x:c>
      <x:c r="D102" s="2" t="inlineStr">
        <x:is>
          <x:t xml:space="preserve">Illusion</x:t>
        </x:is>
      </x:c>
      <x:c r="E102" s="2" t="inlineStr">
        <x:is>
          <x:t xml:space="preserve">From spell description class tags</x:t>
        </x:is>
      </x:c>
      <x:c r="F102" s="2" t="inlineStr">
        <x:is>
          <x:t xml:space="preserve">SRD 5.2.1</x:t>
        </x:is>
      </x:c>
    </x:row>
    <x:row r="103" ht="18" customHeight="1">
      <x:c r="A103" s="2" t="inlineStr">
        <x:is>
          <x:t xml:space="preserve">Bard</x:t>
        </x:is>
      </x:c>
      <x:c r="B103" s="2" t="inlineStr">
        <x:is>
          <x:t xml:space="preserve">Cantrip</x:t>
        </x:is>
      </x:c>
      <x:c r="C103" s="2" t="inlineStr">
        <x:is>
          <x:t xml:space="preserve">Starry Wisp</x:t>
        </x:is>
      </x:c>
      <x:c r="D103" s="2" t="inlineStr">
        <x:is>
          <x:t xml:space="preserve">Evocation</x:t>
        </x:is>
      </x:c>
      <x:c r="E103" s="2" t="inlineStr">
        <x:is>
          <x:t xml:space="preserve">From spell description class tags</x:t>
        </x:is>
      </x:c>
      <x:c r="F103" s="2" t="inlineStr">
        <x:is>
          <x:t xml:space="preserve">SRD 5.2.1</x:t>
        </x:is>
      </x:c>
    </x:row>
    <x:row r="104" ht="18" customHeight="1">
      <x:c r="A104" s="2" t="inlineStr">
        <x:is>
          <x:t xml:space="preserve">Bard</x:t>
        </x:is>
      </x:c>
      <x:c r="B104" s="2" t="inlineStr">
        <x:is>
          <x:t xml:space="preserve">Cantrip</x:t>
        </x:is>
      </x:c>
      <x:c r="C104" s="2" t="inlineStr">
        <x:is>
          <x:t xml:space="preserve">True Strike</x:t>
        </x:is>
      </x:c>
      <x:c r="D104" s="2" t="inlineStr">
        <x:is>
          <x:t xml:space="preserve">Divination</x:t>
        </x:is>
      </x:c>
      <x:c r="E104" s="2" t="inlineStr">
        <x:is>
          <x:t xml:space="preserve">From spell description class tags</x:t>
        </x:is>
      </x:c>
      <x:c r="F104" s="2" t="inlineStr">
        <x:is>
          <x:t xml:space="preserve">SRD 5.2.1</x:t>
        </x:is>
      </x:c>
    </x:row>
    <x:row r="105" ht="18" customHeight="1">
      <x:c r="A105" s="2" t="inlineStr">
        <x:is>
          <x:t xml:space="preserve">Bard</x:t>
        </x:is>
      </x:c>
      <x:c r="B105" s="2" t="inlineStr">
        <x:is>
          <x:t xml:space="preserve">Cantrip</x:t>
        </x:is>
      </x:c>
      <x:c r="C105" s="2" t="inlineStr">
        <x:is>
          <x:t xml:space="preserve">Vicious Mockery</x:t>
        </x:is>
      </x:c>
      <x:c r="D105" s="2" t="inlineStr">
        <x:is>
          <x:t xml:space="preserve">Enchantment</x:t>
        </x:is>
      </x:c>
      <x:c r="E105" s="2" t="inlineStr">
        <x:is>
          <x:t xml:space="preserve">From spell description class tags</x:t>
        </x:is>
      </x:c>
      <x:c r="F105" s="2" t="inlineStr">
        <x:is>
          <x:t xml:space="preserve">SRD 5.2.1</x:t>
        </x:is>
      </x:c>
    </x:row>
    <x:row r="106" ht="18" customHeight="1">
      <x:c r="A106" s="2" t="inlineStr">
        <x:is>
          <x:t xml:space="preserve">Cleric</x:t>
        </x:is>
      </x:c>
      <x:c r="B106" s="2" t="inlineStr">
        <x:is>
          <x:t xml:space="preserve">1</x:t>
        </x:is>
      </x:c>
      <x:c r="C106" s="2" t="inlineStr">
        <x:is>
          <x:t xml:space="preserve">Bane</x:t>
        </x:is>
      </x:c>
      <x:c r="D106" s="2" t="inlineStr">
        <x:is>
          <x:t xml:space="preserve">Enchantment</x:t>
        </x:is>
      </x:c>
      <x:c r="E106" s="2" t="inlineStr">
        <x:is>
          <x:t xml:space="preserve">From spell description class tags</x:t>
        </x:is>
      </x:c>
      <x:c r="F106" s="2" t="inlineStr">
        <x:is>
          <x:t xml:space="preserve">SRD 5.2.1</x:t>
        </x:is>
      </x:c>
    </x:row>
    <x:row r="107" ht="18" customHeight="1">
      <x:c r="A107" s="2" t="inlineStr">
        <x:is>
          <x:t xml:space="preserve">Cleric</x:t>
        </x:is>
      </x:c>
      <x:c r="B107" s="2" t="inlineStr">
        <x:is>
          <x:t xml:space="preserve">1</x:t>
        </x:is>
      </x:c>
      <x:c r="C107" s="2" t="inlineStr">
        <x:is>
          <x:t xml:space="preserve">Bless</x:t>
        </x:is>
      </x:c>
      <x:c r="D107" s="2" t="inlineStr">
        <x:is>
          <x:t xml:space="preserve">Enchantment</x:t>
        </x:is>
      </x:c>
      <x:c r="E107" s="2" t="inlineStr">
        <x:is>
          <x:t xml:space="preserve">From spell description class tags</x:t>
        </x:is>
      </x:c>
      <x:c r="F107" s="2" t="inlineStr">
        <x:is>
          <x:t xml:space="preserve">SRD 5.2.1</x:t>
        </x:is>
      </x:c>
    </x:row>
    <x:row r="108" ht="18" customHeight="1">
      <x:c r="A108" s="2" t="inlineStr">
        <x:is>
          <x:t xml:space="preserve">Cleric</x:t>
        </x:is>
      </x:c>
      <x:c r="B108" s="2" t="inlineStr">
        <x:is>
          <x:t xml:space="preserve">1</x:t>
        </x:is>
      </x:c>
      <x:c r="C108" s="2" t="inlineStr">
        <x:is>
          <x:t xml:space="preserve">Command</x:t>
        </x:is>
      </x:c>
      <x:c r="D108" s="2" t="inlineStr">
        <x:is>
          <x:t xml:space="preserve">Enchantment</x:t>
        </x:is>
      </x:c>
      <x:c r="E108" s="2" t="inlineStr">
        <x:is>
          <x:t xml:space="preserve">From spell description class tags</x:t>
        </x:is>
      </x:c>
      <x:c r="F108" s="2" t="inlineStr">
        <x:is>
          <x:t xml:space="preserve">SRD 5.2.1</x:t>
        </x:is>
      </x:c>
    </x:row>
    <x:row r="109" ht="18" customHeight="1">
      <x:c r="A109" s="2" t="inlineStr">
        <x:is>
          <x:t xml:space="preserve">Cleric</x:t>
        </x:is>
      </x:c>
      <x:c r="B109" s="2" t="inlineStr">
        <x:is>
          <x:t xml:space="preserve">1</x:t>
        </x:is>
      </x:c>
      <x:c r="C109" s="2" t="inlineStr">
        <x:is>
          <x:t xml:space="preserve">Create or Destroy Water</x:t>
        </x:is>
      </x:c>
      <x:c r="D109" s="2" t="inlineStr">
        <x:is>
          <x:t xml:space="preserve">Transmutation</x:t>
        </x:is>
      </x:c>
      <x:c r="E109" s="2" t="inlineStr">
        <x:is>
          <x:t xml:space="preserve">From spell description class tags</x:t>
        </x:is>
      </x:c>
      <x:c r="F109" s="2" t="inlineStr">
        <x:is>
          <x:t xml:space="preserve">SRD 5.2.1</x:t>
        </x:is>
      </x:c>
    </x:row>
    <x:row r="110" ht="18" customHeight="1">
      <x:c r="A110" s="2" t="inlineStr">
        <x:is>
          <x:t xml:space="preserve">Cleric</x:t>
        </x:is>
      </x:c>
      <x:c r="B110" s="2" t="inlineStr">
        <x:is>
          <x:t xml:space="preserve">1</x:t>
        </x:is>
      </x:c>
      <x:c r="C110" s="2" t="inlineStr">
        <x:is>
          <x:t xml:space="preserve">Detect Evil and Good</x:t>
        </x:is>
      </x:c>
      <x:c r="D110" s="2" t="inlineStr">
        <x:is>
          <x:t xml:space="preserve">Divination</x:t>
        </x:is>
      </x:c>
      <x:c r="E110" s="2" t="inlineStr">
        <x:is>
          <x:t xml:space="preserve">From spell description class tags</x:t>
        </x:is>
      </x:c>
      <x:c r="F110" s="2" t="inlineStr">
        <x:is>
          <x:t xml:space="preserve">SRD 5.2.1</x:t>
        </x:is>
      </x:c>
    </x:row>
    <x:row r="111" ht="18" customHeight="1">
      <x:c r="A111" s="2" t="inlineStr">
        <x:is>
          <x:t xml:space="preserve">Cleric</x:t>
        </x:is>
      </x:c>
      <x:c r="B111" s="2" t="inlineStr">
        <x:is>
          <x:t xml:space="preserve">1</x:t>
        </x:is>
      </x:c>
      <x:c r="C111" s="2" t="inlineStr">
        <x:is>
          <x:t xml:space="preserve">Detect Poison and Disease</x:t>
        </x:is>
      </x:c>
      <x:c r="D111" s="2" t="inlineStr">
        <x:is>
          <x:t xml:space="preserve">Divination</x:t>
        </x:is>
      </x:c>
      <x:c r="E111" s="2" t="inlineStr">
        <x:is>
          <x:t xml:space="preserve">From spell description class tags</x:t>
        </x:is>
      </x:c>
      <x:c r="F111" s="2" t="inlineStr">
        <x:is>
          <x:t xml:space="preserve">SRD 5.2.1</x:t>
        </x:is>
      </x:c>
    </x:row>
    <x:row r="112" ht="18" customHeight="1">
      <x:c r="A112" s="2" t="inlineStr">
        <x:is>
          <x:t xml:space="preserve">Cleric</x:t>
        </x:is>
      </x:c>
      <x:c r="B112" s="2" t="inlineStr">
        <x:is>
          <x:t xml:space="preserve">1</x:t>
        </x:is>
      </x:c>
      <x:c r="C112" s="2" t="inlineStr">
        <x:is>
          <x:t xml:space="preserve">Guiding Bolt</x:t>
        </x:is>
      </x:c>
      <x:c r="D112" s="2" t="inlineStr">
        <x:is>
          <x:t xml:space="preserve">Evocation</x:t>
        </x:is>
      </x:c>
      <x:c r="E112" s="2" t="inlineStr">
        <x:is>
          <x:t xml:space="preserve">From spell description class tags</x:t>
        </x:is>
      </x:c>
      <x:c r="F112" s="2" t="inlineStr">
        <x:is>
          <x:t xml:space="preserve">SRD 5.2.1</x:t>
        </x:is>
      </x:c>
    </x:row>
    <x:row r="113" ht="18" customHeight="1">
      <x:c r="A113" s="2" t="inlineStr">
        <x:is>
          <x:t xml:space="preserve">Cleric</x:t>
        </x:is>
      </x:c>
      <x:c r="B113" s="2" t="inlineStr">
        <x:is>
          <x:t xml:space="preserve">1</x:t>
        </x:is>
      </x:c>
      <x:c r="C113" s="2" t="inlineStr">
        <x:is>
          <x:t xml:space="preserve">Healing Word</x:t>
        </x:is>
      </x:c>
      <x:c r="D113" s="2" t="inlineStr">
        <x:is>
          <x:t xml:space="preserve">Abjuration</x:t>
        </x:is>
      </x:c>
      <x:c r="E113" s="2" t="inlineStr">
        <x:is>
          <x:t xml:space="preserve">From spell description class tags</x:t>
        </x:is>
      </x:c>
      <x:c r="F113" s="2" t="inlineStr">
        <x:is>
          <x:t xml:space="preserve">SRD 5.2.1</x:t>
        </x:is>
      </x:c>
    </x:row>
    <x:row r="114" ht="18" customHeight="1">
      <x:c r="A114" s="2" t="inlineStr">
        <x:is>
          <x:t xml:space="preserve">Cleric</x:t>
        </x:is>
      </x:c>
      <x:c r="B114" s="2" t="inlineStr">
        <x:is>
          <x:t xml:space="preserve">1</x:t>
        </x:is>
      </x:c>
      <x:c r="C114" s="2" t="inlineStr">
        <x:is>
          <x:t xml:space="preserve">Inflict Wounds</x:t>
        </x:is>
      </x:c>
      <x:c r="D114" s="2" t="inlineStr">
        <x:is>
          <x:t xml:space="preserve">Necromancy</x:t>
        </x:is>
      </x:c>
      <x:c r="E114" s="2" t="inlineStr">
        <x:is>
          <x:t xml:space="preserve">From spell description class tags</x:t>
        </x:is>
      </x:c>
      <x:c r="F114" s="2" t="inlineStr">
        <x:is>
          <x:t xml:space="preserve">SRD 5.2.1</x:t>
        </x:is>
      </x:c>
    </x:row>
    <x:row r="115" ht="18" customHeight="1">
      <x:c r="A115" s="2" t="inlineStr">
        <x:is>
          <x:t xml:space="preserve">Cleric</x:t>
        </x:is>
      </x:c>
      <x:c r="B115" s="2" t="inlineStr">
        <x:is>
          <x:t xml:space="preserve">1</x:t>
        </x:is>
      </x:c>
      <x:c r="C115" s="2" t="inlineStr">
        <x:is>
          <x:t xml:space="preserve">Purify Food and Drink</x:t>
        </x:is>
      </x:c>
      <x:c r="D115" s="2" t="inlineStr">
        <x:is>
          <x:t xml:space="preserve">Transmutation</x:t>
        </x:is>
      </x:c>
      <x:c r="E115" s="2" t="inlineStr">
        <x:is>
          <x:t xml:space="preserve">From spell description class tags</x:t>
        </x:is>
      </x:c>
      <x:c r="F115" s="2" t="inlineStr">
        <x:is>
          <x:t xml:space="preserve">SRD 5.2.1</x:t>
        </x:is>
      </x:c>
    </x:row>
    <x:row r="116" ht="18" customHeight="1">
      <x:c r="A116" s="2" t="inlineStr">
        <x:is>
          <x:t xml:space="preserve">Cleric</x:t>
        </x:is>
      </x:c>
      <x:c r="B116" s="2" t="inlineStr">
        <x:is>
          <x:t xml:space="preserve">1</x:t>
        </x:is>
      </x:c>
      <x:c r="C116" s="2" t="inlineStr">
        <x:is>
          <x:t xml:space="preserve">Sanctuary</x:t>
        </x:is>
      </x:c>
      <x:c r="D116" s="2" t="inlineStr">
        <x:is>
          <x:t xml:space="preserve">Abjuration</x:t>
        </x:is>
      </x:c>
      <x:c r="E116" s="2" t="inlineStr">
        <x:is>
          <x:t xml:space="preserve">From spell description class tags</x:t>
        </x:is>
      </x:c>
      <x:c r="F116" s="2" t="inlineStr">
        <x:is>
          <x:t xml:space="preserve">SRD 5.2.1</x:t>
        </x:is>
      </x:c>
    </x:row>
    <x:row r="117" ht="18" customHeight="1">
      <x:c r="A117" s="2" t="inlineStr">
        <x:is>
          <x:t xml:space="preserve">Cleric</x:t>
        </x:is>
      </x:c>
      <x:c r="B117" s="2" t="inlineStr">
        <x:is>
          <x:t xml:space="preserve">1</x:t>
        </x:is>
      </x:c>
      <x:c r="C117" s="2" t="inlineStr">
        <x:is>
          <x:t xml:space="preserve">Shield of Faith</x:t>
        </x:is>
      </x:c>
      <x:c r="D117" s="2" t="inlineStr">
        <x:is>
          <x:t xml:space="preserve">Abjuration</x:t>
        </x:is>
      </x:c>
      <x:c r="E117" s="2" t="inlineStr">
        <x:is>
          <x:t xml:space="preserve">From spell description class tags</x:t>
        </x:is>
      </x:c>
      <x:c r="F117" s="2" t="inlineStr">
        <x:is>
          <x:t xml:space="preserve">SRD 5.2.1</x:t>
        </x:is>
      </x:c>
    </x:row>
    <x:row r="118" ht="18" customHeight="1">
      <x:c r="A118" s="2" t="inlineStr">
        <x:is>
          <x:t xml:space="preserve">Cleric</x:t>
        </x:is>
      </x:c>
      <x:c r="B118" s="2" t="inlineStr">
        <x:is>
          <x:t xml:space="preserve">2</x:t>
        </x:is>
      </x:c>
      <x:c r="C118" s="2" t="inlineStr">
        <x:is>
          <x:t xml:space="preserve">Augury</x:t>
        </x:is>
      </x:c>
      <x:c r="D118" s="2" t="inlineStr">
        <x:is>
          <x:t xml:space="preserve">Divination</x:t>
        </x:is>
      </x:c>
      <x:c r="E118" s="2" t="inlineStr">
        <x:is>
          <x:t xml:space="preserve">From spell description class tags</x:t>
        </x:is>
      </x:c>
      <x:c r="F118" s="2" t="inlineStr">
        <x:is>
          <x:t xml:space="preserve">SRD 5.2.1</x:t>
        </x:is>
      </x:c>
    </x:row>
    <x:row r="119" ht="18" customHeight="1">
      <x:c r="A119" s="2" t="inlineStr">
        <x:is>
          <x:t xml:space="preserve">Cleric</x:t>
        </x:is>
      </x:c>
      <x:c r="B119" s="2" t="inlineStr">
        <x:is>
          <x:t xml:space="preserve">2</x:t>
        </x:is>
      </x:c>
      <x:c r="C119" s="2" t="inlineStr">
        <x:is>
          <x:t xml:space="preserve">Blindness/Deafness</x:t>
        </x:is>
      </x:c>
      <x:c r="D119" s="2" t="inlineStr">
        <x:is>
          <x:t xml:space="preserve">Transmutation</x:t>
        </x:is>
      </x:c>
      <x:c r="E119" s="2" t="inlineStr">
        <x:is>
          <x:t xml:space="preserve">From spell description class tags</x:t>
        </x:is>
      </x:c>
      <x:c r="F119" s="2" t="inlineStr">
        <x:is>
          <x:t xml:space="preserve">SRD 5.2.1</x:t>
        </x:is>
      </x:c>
    </x:row>
    <x:row r="120" ht="18" customHeight="1">
      <x:c r="A120" s="2" t="inlineStr">
        <x:is>
          <x:t xml:space="preserve">Cleric</x:t>
        </x:is>
      </x:c>
      <x:c r="B120" s="2" t="inlineStr">
        <x:is>
          <x:t xml:space="preserve">2</x:t>
        </x:is>
      </x:c>
      <x:c r="C120" s="2" t="inlineStr">
        <x:is>
          <x:t xml:space="preserve">Calm Emotions</x:t>
        </x:is>
      </x:c>
      <x:c r="D120" s="2" t="inlineStr">
        <x:is>
          <x:t xml:space="preserve">Enchantment</x:t>
        </x:is>
      </x:c>
      <x:c r="E120" s="2" t="inlineStr">
        <x:is>
          <x:t xml:space="preserve">From spell description class tags</x:t>
        </x:is>
      </x:c>
      <x:c r="F120" s="2" t="inlineStr">
        <x:is>
          <x:t xml:space="preserve">SRD 5.2.1</x:t>
        </x:is>
      </x:c>
    </x:row>
    <x:row r="121" ht="18" customHeight="1">
      <x:c r="A121" s="2" t="inlineStr">
        <x:is>
          <x:t xml:space="preserve">Cleric</x:t>
        </x:is>
      </x:c>
      <x:c r="B121" s="2" t="inlineStr">
        <x:is>
          <x:t xml:space="preserve">2</x:t>
        </x:is>
      </x:c>
      <x:c r="C121" s="2" t="inlineStr">
        <x:is>
          <x:t xml:space="preserve">Continual Flame</x:t>
        </x:is>
      </x:c>
      <x:c r="D121" s="2" t="inlineStr">
        <x:is>
          <x:t xml:space="preserve">Evocation</x:t>
        </x:is>
      </x:c>
      <x:c r="E121" s="2" t="inlineStr">
        <x:is>
          <x:t xml:space="preserve">From spell description class tags</x:t>
        </x:is>
      </x:c>
      <x:c r="F121" s="2" t="inlineStr">
        <x:is>
          <x:t xml:space="preserve">SRD 5.2.1</x:t>
        </x:is>
      </x:c>
    </x:row>
    <x:row r="122" ht="18" customHeight="1">
      <x:c r="A122" s="2" t="inlineStr">
        <x:is>
          <x:t xml:space="preserve">Cleric</x:t>
        </x:is>
      </x:c>
      <x:c r="B122" s="2" t="inlineStr">
        <x:is>
          <x:t xml:space="preserve">2</x:t>
        </x:is>
      </x:c>
      <x:c r="C122" s="2" t="inlineStr">
        <x:is>
          <x:t xml:space="preserve">Find Traps</x:t>
        </x:is>
      </x:c>
      <x:c r="D122" s="2" t="inlineStr">
        <x:is>
          <x:t xml:space="preserve">Divination</x:t>
        </x:is>
      </x:c>
      <x:c r="E122" s="2" t="inlineStr">
        <x:is>
          <x:t xml:space="preserve">From spell description class tags</x:t>
        </x:is>
      </x:c>
      <x:c r="F122" s="2" t="inlineStr">
        <x:is>
          <x:t xml:space="preserve">SRD 5.2.1</x:t>
        </x:is>
      </x:c>
    </x:row>
    <x:row r="123" ht="18" customHeight="1">
      <x:c r="A123" s="2" t="inlineStr">
        <x:is>
          <x:t xml:space="preserve">Cleric</x:t>
        </x:is>
      </x:c>
      <x:c r="B123" s="2" t="inlineStr">
        <x:is>
          <x:t xml:space="preserve">2</x:t>
        </x:is>
      </x:c>
      <x:c r="C123" s="2" t="inlineStr">
        <x:is>
          <x:t xml:space="preserve">Gentle Repose</x:t>
        </x:is>
      </x:c>
      <x:c r="D123" s="2" t="inlineStr">
        <x:is>
          <x:t xml:space="preserve">Necromancy</x:t>
        </x:is>
      </x:c>
      <x:c r="E123" s="2" t="inlineStr">
        <x:is>
          <x:t xml:space="preserve">From spell description class tags</x:t>
        </x:is>
      </x:c>
      <x:c r="F123" s="2" t="inlineStr">
        <x:is>
          <x:t xml:space="preserve">SRD 5.2.1</x:t>
        </x:is>
      </x:c>
    </x:row>
    <x:row r="124" ht="18" customHeight="1">
      <x:c r="A124" s="2" t="inlineStr">
        <x:is>
          <x:t xml:space="preserve">Cleric</x:t>
        </x:is>
      </x:c>
      <x:c r="B124" s="2" t="inlineStr">
        <x:is>
          <x:t xml:space="preserve">2</x:t>
        </x:is>
      </x:c>
      <x:c r="C124" s="2" t="inlineStr">
        <x:is>
          <x:t xml:space="preserve">Prayer of Healing</x:t>
        </x:is>
      </x:c>
      <x:c r="D124" s="2" t="inlineStr">
        <x:is>
          <x:t xml:space="preserve">Abjuration</x:t>
        </x:is>
      </x:c>
      <x:c r="E124" s="2" t="inlineStr">
        <x:is>
          <x:t xml:space="preserve">From spell description class tags</x:t>
        </x:is>
      </x:c>
      <x:c r="F124" s="2" t="inlineStr">
        <x:is>
          <x:t xml:space="preserve">SRD 5.2.1</x:t>
        </x:is>
      </x:c>
    </x:row>
    <x:row r="125" ht="18" customHeight="1">
      <x:c r="A125" s="2" t="inlineStr">
        <x:is>
          <x:t xml:space="preserve">Cleric</x:t>
        </x:is>
      </x:c>
      <x:c r="B125" s="2" t="inlineStr">
        <x:is>
          <x:t xml:space="preserve">2</x:t>
        </x:is>
      </x:c>
      <x:c r="C125" s="2" t="inlineStr">
        <x:is>
          <x:t xml:space="preserve">Protection from Poison</x:t>
        </x:is>
      </x:c>
      <x:c r="D125" s="2" t="inlineStr">
        <x:is>
          <x:t xml:space="preserve">Abjuration</x:t>
        </x:is>
      </x:c>
      <x:c r="E125" s="2" t="inlineStr">
        <x:is>
          <x:t xml:space="preserve">From spell description class tags</x:t>
        </x:is>
      </x:c>
      <x:c r="F125" s="2" t="inlineStr">
        <x:is>
          <x:t xml:space="preserve">SRD 5.2.1</x:t>
        </x:is>
      </x:c>
    </x:row>
    <x:row r="126" ht="18" customHeight="1">
      <x:c r="A126" s="2" t="inlineStr">
        <x:is>
          <x:t xml:space="preserve">Cleric</x:t>
        </x:is>
      </x:c>
      <x:c r="B126" s="2" t="inlineStr">
        <x:is>
          <x:t xml:space="preserve">2</x:t>
        </x:is>
      </x:c>
      <x:c r="C126" s="2" t="inlineStr">
        <x:is>
          <x:t xml:space="preserve">Silence</x:t>
        </x:is>
      </x:c>
      <x:c r="D126" s="2" t="inlineStr">
        <x:is>
          <x:t xml:space="preserve">Illusion</x:t>
        </x:is>
      </x:c>
      <x:c r="E126" s="2" t="inlineStr">
        <x:is>
          <x:t xml:space="preserve">From spell description class tags</x:t>
        </x:is>
      </x:c>
      <x:c r="F126" s="2" t="inlineStr">
        <x:is>
          <x:t xml:space="preserve">SRD 5.2.1</x:t>
        </x:is>
      </x:c>
    </x:row>
    <x:row r="127" ht="18" customHeight="1">
      <x:c r="A127" s="2" t="inlineStr">
        <x:is>
          <x:t xml:space="preserve">Cleric</x:t>
        </x:is>
      </x:c>
      <x:c r="B127" s="2" t="inlineStr">
        <x:is>
          <x:t xml:space="preserve">2</x:t>
        </x:is>
      </x:c>
      <x:c r="C127" s="2" t="inlineStr">
        <x:is>
          <x:t xml:space="preserve">Spiritual Weapon</x:t>
        </x:is>
      </x:c>
      <x:c r="D127" s="2" t="inlineStr">
        <x:is>
          <x:t xml:space="preserve">Evocation</x:t>
        </x:is>
      </x:c>
      <x:c r="E127" s="2" t="inlineStr">
        <x:is>
          <x:t xml:space="preserve">From spell description class tags</x:t>
        </x:is>
      </x:c>
      <x:c r="F127" s="2" t="inlineStr">
        <x:is>
          <x:t xml:space="preserve">SRD 5.2.1</x:t>
        </x:is>
      </x:c>
    </x:row>
    <x:row r="128" ht="18" customHeight="1">
      <x:c r="A128" s="2" t="inlineStr">
        <x:is>
          <x:t xml:space="preserve">Cleric</x:t>
        </x:is>
      </x:c>
      <x:c r="B128" s="2" t="inlineStr">
        <x:is>
          <x:t xml:space="preserve">2</x:t>
        </x:is>
      </x:c>
      <x:c r="C128" s="2" t="inlineStr">
        <x:is>
          <x:t xml:space="preserve">Warding Bond</x:t>
        </x:is>
      </x:c>
      <x:c r="D128" s="2" t="inlineStr">
        <x:is>
          <x:t xml:space="preserve">Abjuration</x:t>
        </x:is>
      </x:c>
      <x:c r="E128" s="2" t="inlineStr">
        <x:is>
          <x:t xml:space="preserve">From spell description class tags</x:t>
        </x:is>
      </x:c>
      <x:c r="F128" s="2" t="inlineStr">
        <x:is>
          <x:t xml:space="preserve">SRD 5.2.1</x:t>
        </x:is>
      </x:c>
    </x:row>
    <x:row r="129" ht="18" customHeight="1">
      <x:c r="A129" s="2" t="inlineStr">
        <x:is>
          <x:t xml:space="preserve">Cleric</x:t>
        </x:is>
      </x:c>
      <x:c r="B129" s="2" t="inlineStr">
        <x:is>
          <x:t xml:space="preserve">2</x:t>
        </x:is>
      </x:c>
      <x:c r="C129" s="2" t="inlineStr">
        <x:is>
          <x:t xml:space="preserve">Zone of Truth</x:t>
        </x:is>
      </x:c>
      <x:c r="D129" s="2" t="inlineStr">
        <x:is>
          <x:t xml:space="preserve">Enchantment</x:t>
        </x:is>
      </x:c>
      <x:c r="E129" s="2" t="inlineStr">
        <x:is>
          <x:t xml:space="preserve">From spell description class tags</x:t>
        </x:is>
      </x:c>
      <x:c r="F129" s="2" t="inlineStr">
        <x:is>
          <x:t xml:space="preserve">SRD 5.2.1</x:t>
        </x:is>
      </x:c>
    </x:row>
    <x:row r="130" ht="18" customHeight="1">
      <x:c r="A130" s="2" t="inlineStr">
        <x:is>
          <x:t xml:space="preserve">Cleric</x:t>
        </x:is>
      </x:c>
      <x:c r="B130" s="2" t="inlineStr">
        <x:is>
          <x:t xml:space="preserve">3</x:t>
        </x:is>
      </x:c>
      <x:c r="C130" s="2" t="inlineStr">
        <x:is>
          <x:t xml:space="preserve">Animate Dead</x:t>
        </x:is>
      </x:c>
      <x:c r="D130" s="2" t="inlineStr">
        <x:is>
          <x:t xml:space="preserve">Necromancy</x:t>
        </x:is>
      </x:c>
      <x:c r="E130" s="2" t="inlineStr">
        <x:is>
          <x:t xml:space="preserve">From spell description class tags</x:t>
        </x:is>
      </x:c>
      <x:c r="F130" s="2" t="inlineStr">
        <x:is>
          <x:t xml:space="preserve">SRD 5.2.1</x:t>
        </x:is>
      </x:c>
    </x:row>
    <x:row r="131" ht="18" customHeight="1">
      <x:c r="A131" s="2" t="inlineStr">
        <x:is>
          <x:t xml:space="preserve">Cleric</x:t>
        </x:is>
      </x:c>
      <x:c r="B131" s="2" t="inlineStr">
        <x:is>
          <x:t xml:space="preserve">3</x:t>
        </x:is>
      </x:c>
      <x:c r="C131" s="2" t="inlineStr">
        <x:is>
          <x:t xml:space="preserve">Beacon of Hope</x:t>
        </x:is>
      </x:c>
      <x:c r="D131" s="2" t="inlineStr">
        <x:is>
          <x:t xml:space="preserve">Abjuration</x:t>
        </x:is>
      </x:c>
      <x:c r="E131" s="2" t="inlineStr">
        <x:is>
          <x:t xml:space="preserve">From spell description class tags</x:t>
        </x:is>
      </x:c>
      <x:c r="F131" s="2" t="inlineStr">
        <x:is>
          <x:t xml:space="preserve">SRD 5.2.1</x:t>
        </x:is>
      </x:c>
    </x:row>
    <x:row r="132" ht="18" customHeight="1">
      <x:c r="A132" s="2" t="inlineStr">
        <x:is>
          <x:t xml:space="preserve">Cleric</x:t>
        </x:is>
      </x:c>
      <x:c r="B132" s="2" t="inlineStr">
        <x:is>
          <x:t xml:space="preserve">3</x:t>
        </x:is>
      </x:c>
      <x:c r="C132" s="2" t="inlineStr">
        <x:is>
          <x:t xml:space="preserve">Bestow Curse</x:t>
        </x:is>
      </x:c>
      <x:c r="D132" s="2" t="inlineStr">
        <x:is>
          <x:t xml:space="preserve">Necromancy</x:t>
        </x:is>
      </x:c>
      <x:c r="E132" s="2" t="inlineStr">
        <x:is>
          <x:t xml:space="preserve">From spell description class tags</x:t>
        </x:is>
      </x:c>
      <x:c r="F132" s="2" t="inlineStr">
        <x:is>
          <x:t xml:space="preserve">SRD 5.2.1</x:t>
        </x:is>
      </x:c>
    </x:row>
    <x:row r="133" ht="18" customHeight="1">
      <x:c r="A133" s="2" t="inlineStr">
        <x:is>
          <x:t xml:space="preserve">Cleric</x:t>
        </x:is>
      </x:c>
      <x:c r="B133" s="2" t="inlineStr">
        <x:is>
          <x:t xml:space="preserve">3</x:t>
        </x:is>
      </x:c>
      <x:c r="C133" s="2" t="inlineStr">
        <x:is>
          <x:t xml:space="preserve">Clairvoyance</x:t>
        </x:is>
      </x:c>
      <x:c r="D133" s="2" t="inlineStr">
        <x:is>
          <x:t xml:space="preserve">Divination</x:t>
        </x:is>
      </x:c>
      <x:c r="E133" s="2" t="inlineStr">
        <x:is>
          <x:t xml:space="preserve">From spell description class tags</x:t>
        </x:is>
      </x:c>
      <x:c r="F133" s="2" t="inlineStr">
        <x:is>
          <x:t xml:space="preserve">SRD 5.2.1</x:t>
        </x:is>
      </x:c>
    </x:row>
    <x:row r="134" ht="18" customHeight="1">
      <x:c r="A134" s="2" t="inlineStr">
        <x:is>
          <x:t xml:space="preserve">Cleric</x:t>
        </x:is>
      </x:c>
      <x:c r="B134" s="2" t="inlineStr">
        <x:is>
          <x:t xml:space="preserve">3</x:t>
        </x:is>
      </x:c>
      <x:c r="C134" s="2" t="inlineStr">
        <x:is>
          <x:t xml:space="preserve">Create Food and Water</x:t>
        </x:is>
      </x:c>
      <x:c r="D134" s="2" t="inlineStr">
        <x:is>
          <x:t xml:space="preserve">Conjuration</x:t>
        </x:is>
      </x:c>
      <x:c r="E134" s="2" t="inlineStr">
        <x:is>
          <x:t xml:space="preserve">From spell description class tags</x:t>
        </x:is>
      </x:c>
      <x:c r="F134" s="2" t="inlineStr">
        <x:is>
          <x:t xml:space="preserve">SRD 5.2.1</x:t>
        </x:is>
      </x:c>
    </x:row>
    <x:row r="135" ht="18" customHeight="1">
      <x:c r="A135" s="2" t="inlineStr">
        <x:is>
          <x:t xml:space="preserve">Cleric</x:t>
        </x:is>
      </x:c>
      <x:c r="B135" s="2" t="inlineStr">
        <x:is>
          <x:t xml:space="preserve">3</x:t>
        </x:is>
      </x:c>
      <x:c r="C135" s="2" t="inlineStr">
        <x:is>
          <x:t xml:space="preserve">Glyph of Warding</x:t>
        </x:is>
      </x:c>
      <x:c r="D135" s="2" t="inlineStr">
        <x:is>
          <x:t xml:space="preserve">Abjuration</x:t>
        </x:is>
      </x:c>
      <x:c r="E135" s="2" t="inlineStr">
        <x:is>
          <x:t xml:space="preserve">From spell description class tags</x:t>
        </x:is>
      </x:c>
      <x:c r="F135" s="2" t="inlineStr">
        <x:is>
          <x:t xml:space="preserve">SRD 5.2.1</x:t>
        </x:is>
      </x:c>
    </x:row>
    <x:row r="136" ht="18" customHeight="1">
      <x:c r="A136" s="2" t="inlineStr">
        <x:is>
          <x:t xml:space="preserve">Cleric</x:t>
        </x:is>
      </x:c>
      <x:c r="B136" s="2" t="inlineStr">
        <x:is>
          <x:t xml:space="preserve">3</x:t>
        </x:is>
      </x:c>
      <x:c r="C136" s="2" t="inlineStr">
        <x:is>
          <x:t xml:space="preserve">Magic Circle</x:t>
        </x:is>
      </x:c>
      <x:c r="D136" s="2" t="inlineStr">
        <x:is>
          <x:t xml:space="preserve">Abjuration</x:t>
        </x:is>
      </x:c>
      <x:c r="E136" s="2" t="inlineStr">
        <x:is>
          <x:t xml:space="preserve">From spell description class tags</x:t>
        </x:is>
      </x:c>
      <x:c r="F136" s="2" t="inlineStr">
        <x:is>
          <x:t xml:space="preserve">SRD 5.2.1</x:t>
        </x:is>
      </x:c>
    </x:row>
    <x:row r="137" ht="18" customHeight="1">
      <x:c r="A137" s="2" t="inlineStr">
        <x:is>
          <x:t xml:space="preserve">Cleric</x:t>
        </x:is>
      </x:c>
      <x:c r="B137" s="2" t="inlineStr">
        <x:is>
          <x:t xml:space="preserve">3</x:t>
        </x:is>
      </x:c>
      <x:c r="C137" s="2" t="inlineStr">
        <x:is>
          <x:t xml:space="preserve">Mass Healing Word</x:t>
        </x:is>
      </x:c>
      <x:c r="D137" s="2" t="inlineStr">
        <x:is>
          <x:t xml:space="preserve">Abjuration</x:t>
        </x:is>
      </x:c>
      <x:c r="E137" s="2" t="inlineStr">
        <x:is>
          <x:t xml:space="preserve">From spell description class tags</x:t>
        </x:is>
      </x:c>
      <x:c r="F137" s="2" t="inlineStr">
        <x:is>
          <x:t xml:space="preserve">SRD 5.2.1</x:t>
        </x:is>
      </x:c>
    </x:row>
    <x:row r="138" ht="18" customHeight="1">
      <x:c r="A138" s="2" t="inlineStr">
        <x:is>
          <x:t xml:space="preserve">Cleric</x:t>
        </x:is>
      </x:c>
      <x:c r="B138" s="2" t="inlineStr">
        <x:is>
          <x:t xml:space="preserve">3</x:t>
        </x:is>
      </x:c>
      <x:c r="C138" s="2" t="inlineStr">
        <x:is>
          <x:t xml:space="preserve">Meld into Stone</x:t>
        </x:is>
      </x:c>
      <x:c r="D138" s="2" t="inlineStr">
        <x:is>
          <x:t xml:space="preserve">Transmutation</x:t>
        </x:is>
      </x:c>
      <x:c r="E138" s="2" t="inlineStr">
        <x:is>
          <x:t xml:space="preserve">From spell description class tags</x:t>
        </x:is>
      </x:c>
      <x:c r="F138" s="2" t="inlineStr">
        <x:is>
          <x:t xml:space="preserve">SRD 5.2.1</x:t>
        </x:is>
      </x:c>
    </x:row>
    <x:row r="139" ht="18" customHeight="1">
      <x:c r="A139" s="2" t="inlineStr">
        <x:is>
          <x:t xml:space="preserve">Cleric</x:t>
        </x:is>
      </x:c>
      <x:c r="B139" s="2" t="inlineStr">
        <x:is>
          <x:t xml:space="preserve">3</x:t>
        </x:is>
      </x:c>
      <x:c r="C139" s="2" t="inlineStr">
        <x:is>
          <x:t xml:space="preserve">Remove Curse</x:t>
        </x:is>
      </x:c>
      <x:c r="D139" s="2" t="inlineStr">
        <x:is>
          <x:t xml:space="preserve">Abjuration</x:t>
        </x:is>
      </x:c>
      <x:c r="E139" s="2" t="inlineStr">
        <x:is>
          <x:t xml:space="preserve">From spell description class tags</x:t>
        </x:is>
      </x:c>
      <x:c r="F139" s="2" t="inlineStr">
        <x:is>
          <x:t xml:space="preserve">SRD 5.2.1</x:t>
        </x:is>
      </x:c>
    </x:row>
    <x:row r="140" ht="18" customHeight="1">
      <x:c r="A140" s="2" t="inlineStr">
        <x:is>
          <x:t xml:space="preserve">Cleric</x:t>
        </x:is>
      </x:c>
      <x:c r="B140" s="2" t="inlineStr">
        <x:is>
          <x:t xml:space="preserve">3</x:t>
        </x:is>
      </x:c>
      <x:c r="C140" s="2" t="inlineStr">
        <x:is>
          <x:t xml:space="preserve">Revivify</x:t>
        </x:is>
      </x:c>
      <x:c r="D140" s="2" t="inlineStr">
        <x:is>
          <x:t xml:space="preserve">Necromancy</x:t>
        </x:is>
      </x:c>
      <x:c r="E140" s="2" t="inlineStr">
        <x:is>
          <x:t xml:space="preserve">From spell description class tags</x:t>
        </x:is>
      </x:c>
      <x:c r="F140" s="2" t="inlineStr">
        <x:is>
          <x:t xml:space="preserve">SRD 5.2.1</x:t>
        </x:is>
      </x:c>
    </x:row>
    <x:row r="141" ht="18" customHeight="1">
      <x:c r="A141" s="2" t="inlineStr">
        <x:is>
          <x:t xml:space="preserve">Cleric</x:t>
        </x:is>
      </x:c>
      <x:c r="B141" s="2" t="inlineStr">
        <x:is>
          <x:t xml:space="preserve">3</x:t>
        </x:is>
      </x:c>
      <x:c r="C141" s="2" t="inlineStr">
        <x:is>
          <x:t xml:space="preserve">Sending</x:t>
        </x:is>
      </x:c>
      <x:c r="D141" s="2" t="inlineStr">
        <x:is>
          <x:t xml:space="preserve">Divination</x:t>
        </x:is>
      </x:c>
      <x:c r="E141" s="2" t="inlineStr">
        <x:is>
          <x:t xml:space="preserve">From spell description class tags</x:t>
        </x:is>
      </x:c>
      <x:c r="F141" s="2" t="inlineStr">
        <x:is>
          <x:t xml:space="preserve">SRD 5.2.1</x:t>
        </x:is>
      </x:c>
    </x:row>
    <x:row r="142" ht="18" customHeight="1">
      <x:c r="A142" s="2" t="inlineStr">
        <x:is>
          <x:t xml:space="preserve">Cleric</x:t>
        </x:is>
      </x:c>
      <x:c r="B142" s="2" t="inlineStr">
        <x:is>
          <x:t xml:space="preserve">3</x:t>
        </x:is>
      </x:c>
      <x:c r="C142" s="2" t="inlineStr">
        <x:is>
          <x:t xml:space="preserve">Speak with Dead</x:t>
        </x:is>
      </x:c>
      <x:c r="D142" s="2" t="inlineStr">
        <x:is>
          <x:t xml:space="preserve">Necromancy</x:t>
        </x:is>
      </x:c>
      <x:c r="E142" s="2" t="inlineStr">
        <x:is>
          <x:t xml:space="preserve">From spell description class tags</x:t>
        </x:is>
      </x:c>
      <x:c r="F142" s="2" t="inlineStr">
        <x:is>
          <x:t xml:space="preserve">SRD 5.2.1</x:t>
        </x:is>
      </x:c>
    </x:row>
    <x:row r="143" ht="18" customHeight="1">
      <x:c r="A143" s="2" t="inlineStr">
        <x:is>
          <x:t xml:space="preserve">Cleric</x:t>
        </x:is>
      </x:c>
      <x:c r="B143" s="2" t="inlineStr">
        <x:is>
          <x:t xml:space="preserve">3</x:t>
        </x:is>
      </x:c>
      <x:c r="C143" s="2" t="inlineStr">
        <x:is>
          <x:t xml:space="preserve">Spirit Guardians</x:t>
        </x:is>
      </x:c>
      <x:c r="D143" s="2" t="inlineStr">
        <x:is>
          <x:t xml:space="preserve">Conjuration</x:t>
        </x:is>
      </x:c>
      <x:c r="E143" s="2" t="inlineStr">
        <x:is>
          <x:t xml:space="preserve">From spell description class tags</x:t>
        </x:is>
      </x:c>
      <x:c r="F143" s="2" t="inlineStr">
        <x:is>
          <x:t xml:space="preserve">SRD 5.2.1</x:t>
        </x:is>
      </x:c>
    </x:row>
    <x:row r="144" ht="18" customHeight="1">
      <x:c r="A144" s="2" t="inlineStr">
        <x:is>
          <x:t xml:space="preserve">Cleric</x:t>
        </x:is>
      </x:c>
      <x:c r="B144" s="2" t="inlineStr">
        <x:is>
          <x:t xml:space="preserve">3</x:t>
        </x:is>
      </x:c>
      <x:c r="C144" s="2" t="inlineStr">
        <x:is>
          <x:t xml:space="preserve">Water Walk</x:t>
        </x:is>
      </x:c>
      <x:c r="D144" s="2" t="inlineStr">
        <x:is>
          <x:t xml:space="preserve">Transmutation</x:t>
        </x:is>
      </x:c>
      <x:c r="E144" s="2" t="inlineStr">
        <x:is>
          <x:t xml:space="preserve">From spell description class tags</x:t>
        </x:is>
      </x:c>
      <x:c r="F144" s="2" t="inlineStr">
        <x:is>
          <x:t xml:space="preserve">SRD 5.2.1</x:t>
        </x:is>
      </x:c>
    </x:row>
    <x:row r="145" ht="18" customHeight="1">
      <x:c r="A145" s="2" t="inlineStr">
        <x:is>
          <x:t xml:space="preserve">Cleric</x:t>
        </x:is>
      </x:c>
      <x:c r="B145" s="2" t="inlineStr">
        <x:is>
          <x:t xml:space="preserve">4</x:t>
        </x:is>
      </x:c>
      <x:c r="C145" s="2" t="inlineStr">
        <x:is>
          <x:t xml:space="preserve">Aura of Life</x:t>
        </x:is>
      </x:c>
      <x:c r="D145" s="2" t="inlineStr">
        <x:is>
          <x:t xml:space="preserve">Abjuration</x:t>
        </x:is>
      </x:c>
      <x:c r="E145" s="2" t="inlineStr">
        <x:is>
          <x:t xml:space="preserve">From spell description class tags</x:t>
        </x:is>
      </x:c>
      <x:c r="F145" s="2" t="inlineStr">
        <x:is>
          <x:t xml:space="preserve">SRD 5.2.1</x:t>
        </x:is>
      </x:c>
    </x:row>
    <x:row r="146" ht="18" customHeight="1">
      <x:c r="A146" s="2" t="inlineStr">
        <x:is>
          <x:t xml:space="preserve">Cleric</x:t>
        </x:is>
      </x:c>
      <x:c r="B146" s="2" t="inlineStr">
        <x:is>
          <x:t xml:space="preserve">4</x:t>
        </x:is>
      </x:c>
      <x:c r="C146" s="2" t="inlineStr">
        <x:is>
          <x:t xml:space="preserve">Control Water</x:t>
        </x:is>
      </x:c>
      <x:c r="D146" s="2" t="inlineStr">
        <x:is>
          <x:t xml:space="preserve">Transmutation</x:t>
        </x:is>
      </x:c>
      <x:c r="E146" s="2" t="inlineStr">
        <x:is>
          <x:t xml:space="preserve">From spell description class tags</x:t>
        </x:is>
      </x:c>
      <x:c r="F146" s="2" t="inlineStr">
        <x:is>
          <x:t xml:space="preserve">SRD 5.2.1</x:t>
        </x:is>
      </x:c>
    </x:row>
    <x:row r="147" ht="18" customHeight="1">
      <x:c r="A147" s="2" t="inlineStr">
        <x:is>
          <x:t xml:space="preserve">Cleric</x:t>
        </x:is>
      </x:c>
      <x:c r="B147" s="2" t="inlineStr">
        <x:is>
          <x:t xml:space="preserve">4</x:t>
        </x:is>
      </x:c>
      <x:c r="C147" s="2" t="inlineStr">
        <x:is>
          <x:t xml:space="preserve">Death Ward</x:t>
        </x:is>
      </x:c>
      <x:c r="D147" s="2" t="inlineStr">
        <x:is>
          <x:t xml:space="preserve">Abjuration</x:t>
        </x:is>
      </x:c>
      <x:c r="E147" s="2" t="inlineStr">
        <x:is>
          <x:t xml:space="preserve">From spell description class tags</x:t>
        </x:is>
      </x:c>
      <x:c r="F147" s="2" t="inlineStr">
        <x:is>
          <x:t xml:space="preserve">SRD 5.2.1</x:t>
        </x:is>
      </x:c>
    </x:row>
    <x:row r="148" ht="18" customHeight="1">
      <x:c r="A148" s="2" t="inlineStr">
        <x:is>
          <x:t xml:space="preserve">Cleric</x:t>
        </x:is>
      </x:c>
      <x:c r="B148" s="2" t="inlineStr">
        <x:is>
          <x:t xml:space="preserve">4</x:t>
        </x:is>
      </x:c>
      <x:c r="C148" s="2" t="inlineStr">
        <x:is>
          <x:t xml:space="preserve">Divination</x:t>
        </x:is>
      </x:c>
      <x:c r="D148" s="2" t="inlineStr">
        <x:is>
          <x:t xml:space="preserve">Divination</x:t>
        </x:is>
      </x:c>
      <x:c r="E148" s="2" t="inlineStr">
        <x:is>
          <x:t xml:space="preserve">From spell description class tags</x:t>
        </x:is>
      </x:c>
      <x:c r="F148" s="2" t="inlineStr">
        <x:is>
          <x:t xml:space="preserve">SRD 5.2.1</x:t>
        </x:is>
      </x:c>
    </x:row>
    <x:row r="149" ht="18" customHeight="1">
      <x:c r="A149" s="2" t="inlineStr">
        <x:is>
          <x:t xml:space="preserve">Cleric</x:t>
        </x:is>
      </x:c>
      <x:c r="B149" s="2" t="inlineStr">
        <x:is>
          <x:t xml:space="preserve">4</x:t>
        </x:is>
      </x:c>
      <x:c r="C149" s="2" t="inlineStr">
        <x:is>
          <x:t xml:space="preserve">Freedom of Movement</x:t>
        </x:is>
      </x:c>
      <x:c r="D149" s="2" t="inlineStr">
        <x:is>
          <x:t xml:space="preserve">Abjuration</x:t>
        </x:is>
      </x:c>
      <x:c r="E149" s="2" t="inlineStr">
        <x:is>
          <x:t xml:space="preserve">From spell description class tags</x:t>
        </x:is>
      </x:c>
      <x:c r="F149" s="2" t="inlineStr">
        <x:is>
          <x:t xml:space="preserve">SRD 5.2.1</x:t>
        </x:is>
      </x:c>
    </x:row>
    <x:row r="150" ht="18" customHeight="1">
      <x:c r="A150" s="2" t="inlineStr">
        <x:is>
          <x:t xml:space="preserve">Cleric</x:t>
        </x:is>
      </x:c>
      <x:c r="B150" s="2" t="inlineStr">
        <x:is>
          <x:t xml:space="preserve">4</x:t>
        </x:is>
      </x:c>
      <x:c r="C150" s="2" t="inlineStr">
        <x:is>
          <x:t xml:space="preserve">Guardian of Faith</x:t>
        </x:is>
      </x:c>
      <x:c r="D150" s="2" t="inlineStr">
        <x:is>
          <x:t xml:space="preserve">Conjuration</x:t>
        </x:is>
      </x:c>
      <x:c r="E150" s="2" t="inlineStr">
        <x:is>
          <x:t xml:space="preserve">From spell description class tags</x:t>
        </x:is>
      </x:c>
      <x:c r="F150" s="2" t="inlineStr">
        <x:is>
          <x:t xml:space="preserve">SRD 5.2.1</x:t>
        </x:is>
      </x:c>
    </x:row>
    <x:row r="151" ht="18" customHeight="1">
      <x:c r="A151" s="2" t="inlineStr">
        <x:is>
          <x:t xml:space="preserve">Cleric</x:t>
        </x:is>
      </x:c>
      <x:c r="B151" s="2" t="inlineStr">
        <x:is>
          <x:t xml:space="preserve">4</x:t>
        </x:is>
      </x:c>
      <x:c r="C151" s="2" t="inlineStr">
        <x:is>
          <x:t xml:space="preserve">Stone Shape</x:t>
        </x:is>
      </x:c>
      <x:c r="D151" s="2" t="inlineStr">
        <x:is>
          <x:t xml:space="preserve">Transmutation</x:t>
        </x:is>
      </x:c>
      <x:c r="E151" s="2" t="inlineStr">
        <x:is>
          <x:t xml:space="preserve">From spell description class tags</x:t>
        </x:is>
      </x:c>
      <x:c r="F151" s="2" t="inlineStr">
        <x:is>
          <x:t xml:space="preserve">SRD 5.2.1</x:t>
        </x:is>
      </x:c>
    </x:row>
    <x:row r="152" ht="18" customHeight="1">
      <x:c r="A152" s="2" t="inlineStr">
        <x:is>
          <x:t xml:space="preserve">Cleric</x:t>
        </x:is>
      </x:c>
      <x:c r="B152" s="2" t="inlineStr">
        <x:is>
          <x:t xml:space="preserve">5</x:t>
        </x:is>
      </x:c>
      <x:c r="C152" s="2" t="inlineStr">
        <x:is>
          <x:t xml:space="preserve">Commune</x:t>
        </x:is>
      </x:c>
      <x:c r="D152" s="2" t="inlineStr">
        <x:is>
          <x:t xml:space="preserve">Divination</x:t>
        </x:is>
      </x:c>
      <x:c r="E152" s="2" t="inlineStr">
        <x:is>
          <x:t xml:space="preserve">From spell description class tags</x:t>
        </x:is>
      </x:c>
      <x:c r="F152" s="2" t="inlineStr">
        <x:is>
          <x:t xml:space="preserve">SRD 5.2.1</x:t>
        </x:is>
      </x:c>
    </x:row>
    <x:row r="153" ht="18" customHeight="1">
      <x:c r="A153" s="2" t="inlineStr">
        <x:is>
          <x:t xml:space="preserve">Cleric</x:t>
        </x:is>
      </x:c>
      <x:c r="B153" s="2" t="inlineStr">
        <x:is>
          <x:t xml:space="preserve">5</x:t>
        </x:is>
      </x:c>
      <x:c r="C153" s="2" t="inlineStr">
        <x:is>
          <x:t xml:space="preserve">Contagion</x:t>
        </x:is>
      </x:c>
      <x:c r="D153" s="2" t="inlineStr">
        <x:is>
          <x:t xml:space="preserve">Necromancy</x:t>
        </x:is>
      </x:c>
      <x:c r="E153" s="2" t="inlineStr">
        <x:is>
          <x:t xml:space="preserve">From spell description class tags</x:t>
        </x:is>
      </x:c>
      <x:c r="F153" s="2" t="inlineStr">
        <x:is>
          <x:t xml:space="preserve">SRD 5.2.1</x:t>
        </x:is>
      </x:c>
    </x:row>
    <x:row r="154" ht="18" customHeight="1">
      <x:c r="A154" s="2" t="inlineStr">
        <x:is>
          <x:t xml:space="preserve">Cleric</x:t>
        </x:is>
      </x:c>
      <x:c r="B154" s="2" t="inlineStr">
        <x:is>
          <x:t xml:space="preserve">5</x:t>
        </x:is>
      </x:c>
      <x:c r="C154" s="2" t="inlineStr">
        <x:is>
          <x:t xml:space="preserve">Dispel Evil and Good</x:t>
        </x:is>
      </x:c>
      <x:c r="D154" s="2" t="inlineStr">
        <x:is>
          <x:t xml:space="preserve">Abjuration</x:t>
        </x:is>
      </x:c>
      <x:c r="E154" s="2" t="inlineStr">
        <x:is>
          <x:t xml:space="preserve">From spell description class tags</x:t>
        </x:is>
      </x:c>
      <x:c r="F154" s="2" t="inlineStr">
        <x:is>
          <x:t xml:space="preserve">SRD 5.2.1</x:t>
        </x:is>
      </x:c>
    </x:row>
    <x:row r="155" ht="18" customHeight="1">
      <x:c r="A155" s="2" t="inlineStr">
        <x:is>
          <x:t xml:space="preserve">Cleric</x:t>
        </x:is>
      </x:c>
      <x:c r="B155" s="2" t="inlineStr">
        <x:is>
          <x:t xml:space="preserve">5</x:t>
        </x:is>
      </x:c>
      <x:c r="C155" s="2" t="inlineStr">
        <x:is>
          <x:t xml:space="preserve">Flame Strike</x:t>
        </x:is>
      </x:c>
      <x:c r="D155" s="2" t="inlineStr">
        <x:is>
          <x:t xml:space="preserve">Evocation</x:t>
        </x:is>
      </x:c>
      <x:c r="E155" s="2" t="inlineStr">
        <x:is>
          <x:t xml:space="preserve">From spell description class tags</x:t>
        </x:is>
      </x:c>
      <x:c r="F155" s="2" t="inlineStr">
        <x:is>
          <x:t xml:space="preserve">SRD 5.2.1</x:t>
        </x:is>
      </x:c>
    </x:row>
    <x:row r="156" ht="18" customHeight="1">
      <x:c r="A156" s="2" t="inlineStr">
        <x:is>
          <x:t xml:space="preserve">Cleric</x:t>
        </x:is>
      </x:c>
      <x:c r="B156" s="2" t="inlineStr">
        <x:is>
          <x:t xml:space="preserve">5</x:t>
        </x:is>
      </x:c>
      <x:c r="C156" s="2" t="inlineStr">
        <x:is>
          <x:t xml:space="preserve">Hallow</x:t>
        </x:is>
      </x:c>
      <x:c r="D156" s="2" t="inlineStr">
        <x:is>
          <x:t xml:space="preserve">Abjuration</x:t>
        </x:is>
      </x:c>
      <x:c r="E156" s="2" t="inlineStr">
        <x:is>
          <x:t xml:space="preserve">From spell description class tags</x:t>
        </x:is>
      </x:c>
      <x:c r="F156" s="2" t="inlineStr">
        <x:is>
          <x:t xml:space="preserve">SRD 5.2.1</x:t>
        </x:is>
      </x:c>
    </x:row>
    <x:row r="157" ht="18" customHeight="1">
      <x:c r="A157" s="2" t="inlineStr">
        <x:is>
          <x:t xml:space="preserve">Cleric</x:t>
        </x:is>
      </x:c>
      <x:c r="B157" s="2" t="inlineStr">
        <x:is>
          <x:t xml:space="preserve">5</x:t>
        </x:is>
      </x:c>
      <x:c r="C157" s="2" t="inlineStr">
        <x:is>
          <x:t xml:space="preserve">Insect Plague</x:t>
        </x:is>
      </x:c>
      <x:c r="D157" s="2" t="inlineStr">
        <x:is>
          <x:t xml:space="preserve">Conjuration</x:t>
        </x:is>
      </x:c>
      <x:c r="E157" s="2" t="inlineStr">
        <x:is>
          <x:t xml:space="preserve">From spell description class tags</x:t>
        </x:is>
      </x:c>
      <x:c r="F157" s="2" t="inlineStr">
        <x:is>
          <x:t xml:space="preserve">SRD 5.2.1</x:t>
        </x:is>
      </x:c>
    </x:row>
    <x:row r="158" ht="18" customHeight="1">
      <x:c r="A158" s="2" t="inlineStr">
        <x:is>
          <x:t xml:space="preserve">Cleric</x:t>
        </x:is>
      </x:c>
      <x:c r="B158" s="2" t="inlineStr">
        <x:is>
          <x:t xml:space="preserve">5</x:t>
        </x:is>
      </x:c>
      <x:c r="C158" s="2" t="inlineStr">
        <x:is>
          <x:t xml:space="preserve">Legend Lore</x:t>
        </x:is>
      </x:c>
      <x:c r="D158" s="2" t="inlineStr">
        <x:is>
          <x:t xml:space="preserve">Divination</x:t>
        </x:is>
      </x:c>
      <x:c r="E158" s="2" t="inlineStr">
        <x:is>
          <x:t xml:space="preserve">From spell description class tags</x:t>
        </x:is>
      </x:c>
      <x:c r="F158" s="2" t="inlineStr">
        <x:is>
          <x:t xml:space="preserve">SRD 5.2.1</x:t>
        </x:is>
      </x:c>
    </x:row>
    <x:row r="159" ht="18" customHeight="1">
      <x:c r="A159" s="2" t="inlineStr">
        <x:is>
          <x:t xml:space="preserve">Cleric</x:t>
        </x:is>
      </x:c>
      <x:c r="B159" s="2" t="inlineStr">
        <x:is>
          <x:t xml:space="preserve">5</x:t>
        </x:is>
      </x:c>
      <x:c r="C159" s="2" t="inlineStr">
        <x:is>
          <x:t xml:space="preserve">Mass Cure Wounds</x:t>
        </x:is>
      </x:c>
      <x:c r="D159" s="2" t="inlineStr">
        <x:is>
          <x:t xml:space="preserve">Abjuration</x:t>
        </x:is>
      </x:c>
      <x:c r="E159" s="2" t="inlineStr">
        <x:is>
          <x:t xml:space="preserve">From spell description class tags</x:t>
        </x:is>
      </x:c>
      <x:c r="F159" s="2" t="inlineStr">
        <x:is>
          <x:t xml:space="preserve">SRD 5.2.1</x:t>
        </x:is>
      </x:c>
    </x:row>
    <x:row r="160" ht="18" customHeight="1">
      <x:c r="A160" s="2" t="inlineStr">
        <x:is>
          <x:t xml:space="preserve">Cleric</x:t>
        </x:is>
      </x:c>
      <x:c r="B160" s="2" t="inlineStr">
        <x:is>
          <x:t xml:space="preserve">5</x:t>
        </x:is>
      </x:c>
      <x:c r="C160" s="2" t="inlineStr">
        <x:is>
          <x:t xml:space="preserve">Raise Dead</x:t>
        </x:is>
      </x:c>
      <x:c r="D160" s="2" t="inlineStr">
        <x:is>
          <x:t xml:space="preserve">Necromancy</x:t>
        </x:is>
      </x:c>
      <x:c r="E160" s="2" t="inlineStr">
        <x:is>
          <x:t xml:space="preserve">From spell description class tags</x:t>
        </x:is>
      </x:c>
      <x:c r="F160" s="2" t="inlineStr">
        <x:is>
          <x:t xml:space="preserve">SRD 5.2.1</x:t>
        </x:is>
      </x:c>
    </x:row>
    <x:row r="161" ht="18" customHeight="1">
      <x:c r="A161" s="2" t="inlineStr">
        <x:is>
          <x:t xml:space="preserve">Cleric</x:t>
        </x:is>
      </x:c>
      <x:c r="B161" s="2" t="inlineStr">
        <x:is>
          <x:t xml:space="preserve">6</x:t>
        </x:is>
      </x:c>
      <x:c r="C161" s="2" t="inlineStr">
        <x:is>
          <x:t xml:space="preserve">Blade Barrier</x:t>
        </x:is>
      </x:c>
      <x:c r="D161" s="2" t="inlineStr">
        <x:is>
          <x:t xml:space="preserve">Evocation</x:t>
        </x:is>
      </x:c>
      <x:c r="E161" s="2" t="inlineStr">
        <x:is>
          <x:t xml:space="preserve">From spell description class tags</x:t>
        </x:is>
      </x:c>
      <x:c r="F161" s="2" t="inlineStr">
        <x:is>
          <x:t xml:space="preserve">SRD 5.2.1</x:t>
        </x:is>
      </x:c>
    </x:row>
    <x:row r="162" ht="18" customHeight="1">
      <x:c r="A162" s="2" t="inlineStr">
        <x:is>
          <x:t xml:space="preserve">Cleric</x:t>
        </x:is>
      </x:c>
      <x:c r="B162" s="2" t="inlineStr">
        <x:is>
          <x:t xml:space="preserve">6</x:t>
        </x:is>
      </x:c>
      <x:c r="C162" s="2" t="inlineStr">
        <x:is>
          <x:t xml:space="preserve">Create Undead</x:t>
        </x:is>
      </x:c>
      <x:c r="D162" s="2" t="inlineStr">
        <x:is>
          <x:t xml:space="preserve">Necromancy</x:t>
        </x:is>
      </x:c>
      <x:c r="E162" s="2" t="inlineStr">
        <x:is>
          <x:t xml:space="preserve">From spell description class tags</x:t>
        </x:is>
      </x:c>
      <x:c r="F162" s="2" t="inlineStr">
        <x:is>
          <x:t xml:space="preserve">SRD 5.2.1</x:t>
        </x:is>
      </x:c>
    </x:row>
    <x:row r="163" ht="18" customHeight="1">
      <x:c r="A163" s="2" t="inlineStr">
        <x:is>
          <x:t xml:space="preserve">Cleric</x:t>
        </x:is>
      </x:c>
      <x:c r="B163" s="2" t="inlineStr">
        <x:is>
          <x:t xml:space="preserve">6</x:t>
        </x:is>
      </x:c>
      <x:c r="C163" s="2" t="inlineStr">
        <x:is>
          <x:t xml:space="preserve">Find the Path</x:t>
        </x:is>
      </x:c>
      <x:c r="D163" s="2" t="inlineStr">
        <x:is>
          <x:t xml:space="preserve">Divination</x:t>
        </x:is>
      </x:c>
      <x:c r="E163" s="2" t="inlineStr">
        <x:is>
          <x:t xml:space="preserve">From spell description class tags</x:t>
        </x:is>
      </x:c>
      <x:c r="F163" s="2" t="inlineStr">
        <x:is>
          <x:t xml:space="preserve">SRD 5.2.1</x:t>
        </x:is>
      </x:c>
    </x:row>
    <x:row r="164" ht="18" customHeight="1">
      <x:c r="A164" s="2" t="inlineStr">
        <x:is>
          <x:t xml:space="preserve">Cleric</x:t>
        </x:is>
      </x:c>
      <x:c r="B164" s="2" t="inlineStr">
        <x:is>
          <x:t xml:space="preserve">6</x:t>
        </x:is>
      </x:c>
      <x:c r="C164" s="2" t="inlineStr">
        <x:is>
          <x:t xml:space="preserve">Forbiddance</x:t>
        </x:is>
      </x:c>
      <x:c r="D164" s="2" t="inlineStr">
        <x:is>
          <x:t xml:space="preserve">Abjuration</x:t>
        </x:is>
      </x:c>
      <x:c r="E164" s="2" t="inlineStr">
        <x:is>
          <x:t xml:space="preserve">From spell description class tags</x:t>
        </x:is>
      </x:c>
      <x:c r="F164" s="2" t="inlineStr">
        <x:is>
          <x:t xml:space="preserve">SRD 5.2.1</x:t>
        </x:is>
      </x:c>
    </x:row>
    <x:row r="165" ht="18" customHeight="1">
      <x:c r="A165" s="2" t="inlineStr">
        <x:is>
          <x:t xml:space="preserve">Cleric</x:t>
        </x:is>
      </x:c>
      <x:c r="B165" s="2" t="inlineStr">
        <x:is>
          <x:t xml:space="preserve">6</x:t>
        </x:is>
      </x:c>
      <x:c r="C165" s="2" t="inlineStr">
        <x:is>
          <x:t xml:space="preserve">Harm</x:t>
        </x:is>
      </x:c>
      <x:c r="D165" s="2" t="inlineStr">
        <x:is>
          <x:t xml:space="preserve">Necromancy</x:t>
        </x:is>
      </x:c>
      <x:c r="E165" s="2" t="inlineStr">
        <x:is>
          <x:t xml:space="preserve">From spell description class tags</x:t>
        </x:is>
      </x:c>
      <x:c r="F165" s="2" t="inlineStr">
        <x:is>
          <x:t xml:space="preserve">SRD 5.2.1</x:t>
        </x:is>
      </x:c>
    </x:row>
    <x:row r="166" ht="18" customHeight="1">
      <x:c r="A166" s="2" t="inlineStr">
        <x:is>
          <x:t xml:space="preserve">Cleric</x:t>
        </x:is>
      </x:c>
      <x:c r="B166" s="2" t="inlineStr">
        <x:is>
          <x:t xml:space="preserve">6</x:t>
        </x:is>
      </x:c>
      <x:c r="C166" s="2" t="inlineStr">
        <x:is>
          <x:t xml:space="preserve">Heal</x:t>
        </x:is>
      </x:c>
      <x:c r="D166" s="2" t="inlineStr">
        <x:is>
          <x:t xml:space="preserve">Abjuration</x:t>
        </x:is>
      </x:c>
      <x:c r="E166" s="2" t="inlineStr">
        <x:is>
          <x:t xml:space="preserve">From spell description class tags</x:t>
        </x:is>
      </x:c>
      <x:c r="F166" s="2" t="inlineStr">
        <x:is>
          <x:t xml:space="preserve">SRD 5.2.1</x:t>
        </x:is>
      </x:c>
    </x:row>
    <x:row r="167" ht="18" customHeight="1">
      <x:c r="A167" s="2" t="inlineStr">
        <x:is>
          <x:t xml:space="preserve">Cleric</x:t>
        </x:is>
      </x:c>
      <x:c r="B167" s="2" t="inlineStr">
        <x:is>
          <x:t xml:space="preserve">6</x:t>
        </x:is>
      </x:c>
      <x:c r="C167" s="2" t="inlineStr">
        <x:is>
          <x:t xml:space="preserve">Heroes’ Feast</x:t>
        </x:is>
      </x:c>
      <x:c r="D167" s="2" t="inlineStr">
        <x:is>
          <x:t xml:space="preserve">Conjuration</x:t>
        </x:is>
      </x:c>
      <x:c r="E167" s="2" t="inlineStr">
        <x:is>
          <x:t xml:space="preserve">From spell description class tags</x:t>
        </x:is>
      </x:c>
      <x:c r="F167" s="2" t="inlineStr">
        <x:is>
          <x:t xml:space="preserve">SRD 5.2.1</x:t>
        </x:is>
      </x:c>
    </x:row>
    <x:row r="168" ht="18" customHeight="1">
      <x:c r="A168" s="2" t="inlineStr">
        <x:is>
          <x:t xml:space="preserve">Cleric</x:t>
        </x:is>
      </x:c>
      <x:c r="B168" s="2" t="inlineStr">
        <x:is>
          <x:t xml:space="preserve">6</x:t>
        </x:is>
      </x:c>
      <x:c r="C168" s="2" t="inlineStr">
        <x:is>
          <x:t xml:space="preserve">Planar Ally</x:t>
        </x:is>
      </x:c>
      <x:c r="D168" s="2" t="inlineStr">
        <x:is>
          <x:t xml:space="preserve">Conjuration</x:t>
        </x:is>
      </x:c>
      <x:c r="E168" s="2" t="inlineStr">
        <x:is>
          <x:t xml:space="preserve">From spell description class tags</x:t>
        </x:is>
      </x:c>
      <x:c r="F168" s="2" t="inlineStr">
        <x:is>
          <x:t xml:space="preserve">SRD 5.2.1</x:t>
        </x:is>
      </x:c>
    </x:row>
    <x:row r="169" ht="18" customHeight="1">
      <x:c r="A169" s="2" t="inlineStr">
        <x:is>
          <x:t xml:space="preserve">Cleric</x:t>
        </x:is>
      </x:c>
      <x:c r="B169" s="2" t="inlineStr">
        <x:is>
          <x:t xml:space="preserve">6</x:t>
        </x:is>
      </x:c>
      <x:c r="C169" s="2" t="inlineStr">
        <x:is>
          <x:t xml:space="preserve">Sunbeam</x:t>
        </x:is>
      </x:c>
      <x:c r="D169" s="2" t="inlineStr">
        <x:is>
          <x:t xml:space="preserve">Evocation</x:t>
        </x:is>
      </x:c>
      <x:c r="E169" s="2" t="inlineStr">
        <x:is>
          <x:t xml:space="preserve">From spell description class tags</x:t>
        </x:is>
      </x:c>
      <x:c r="F169" s="2" t="inlineStr">
        <x:is>
          <x:t xml:space="preserve">SRD 5.2.1</x:t>
        </x:is>
      </x:c>
    </x:row>
    <x:row r="170" ht="18" customHeight="1">
      <x:c r="A170" s="2" t="inlineStr">
        <x:is>
          <x:t xml:space="preserve">Cleric</x:t>
        </x:is>
      </x:c>
      <x:c r="B170" s="2" t="inlineStr">
        <x:is>
          <x:t xml:space="preserve">6</x:t>
        </x:is>
      </x:c>
      <x:c r="C170" s="2" t="inlineStr">
        <x:is>
          <x:t xml:space="preserve">Word of Recall</x:t>
        </x:is>
      </x:c>
      <x:c r="D170" s="2" t="inlineStr">
        <x:is>
          <x:t xml:space="preserve">Conjuration</x:t>
        </x:is>
      </x:c>
      <x:c r="E170" s="2" t="inlineStr">
        <x:is>
          <x:t xml:space="preserve">From spell description class tags</x:t>
        </x:is>
      </x:c>
      <x:c r="F170" s="2" t="inlineStr">
        <x:is>
          <x:t xml:space="preserve">SRD 5.2.1</x:t>
        </x:is>
      </x:c>
    </x:row>
    <x:row r="171" ht="18" customHeight="1">
      <x:c r="A171" s="2" t="inlineStr">
        <x:is>
          <x:t xml:space="preserve">Cleric</x:t>
        </x:is>
      </x:c>
      <x:c r="B171" s="2" t="inlineStr">
        <x:is>
          <x:t xml:space="preserve">7</x:t>
        </x:is>
      </x:c>
      <x:c r="C171" s="2" t="inlineStr">
        <x:is>
          <x:t xml:space="preserve">Conjure Celestial</x:t>
        </x:is>
      </x:c>
      <x:c r="D171" s="2" t="inlineStr">
        <x:is>
          <x:t xml:space="preserve">Conjuration</x:t>
        </x:is>
      </x:c>
      <x:c r="E171" s="2" t="inlineStr">
        <x:is>
          <x:t xml:space="preserve">From spell description class tags</x:t>
        </x:is>
      </x:c>
      <x:c r="F171" s="2" t="inlineStr">
        <x:is>
          <x:t xml:space="preserve">SRD 5.2.1</x:t>
        </x:is>
      </x:c>
    </x:row>
    <x:row r="172" ht="18" customHeight="1">
      <x:c r="A172" s="2" t="inlineStr">
        <x:is>
          <x:t xml:space="preserve">Cleric</x:t>
        </x:is>
      </x:c>
      <x:c r="B172" s="2" t="inlineStr">
        <x:is>
          <x:t xml:space="preserve">7</x:t>
        </x:is>
      </x:c>
      <x:c r="C172" s="2" t="inlineStr">
        <x:is>
          <x:t xml:space="preserve">Divine Word</x:t>
        </x:is>
      </x:c>
      <x:c r="D172" s="2" t="inlineStr">
        <x:is>
          <x:t xml:space="preserve">Evocation</x:t>
        </x:is>
      </x:c>
      <x:c r="E172" s="2" t="inlineStr">
        <x:is>
          <x:t xml:space="preserve">From spell description class tags</x:t>
        </x:is>
      </x:c>
      <x:c r="F172" s="2" t="inlineStr">
        <x:is>
          <x:t xml:space="preserve">SRD 5.2.1</x:t>
        </x:is>
      </x:c>
    </x:row>
    <x:row r="173" ht="18" customHeight="1">
      <x:c r="A173" s="2" t="inlineStr">
        <x:is>
          <x:t xml:space="preserve">Cleric</x:t>
        </x:is>
      </x:c>
      <x:c r="B173" s="2" t="inlineStr">
        <x:is>
          <x:t xml:space="preserve">7</x:t>
        </x:is>
      </x:c>
      <x:c r="C173" s="2" t="inlineStr">
        <x:is>
          <x:t xml:space="preserve">Fire Storm</x:t>
        </x:is>
      </x:c>
      <x:c r="D173" s="2" t="inlineStr">
        <x:is>
          <x:t xml:space="preserve">Evocation</x:t>
        </x:is>
      </x:c>
      <x:c r="E173" s="2" t="inlineStr">
        <x:is>
          <x:t xml:space="preserve">From spell description class tags</x:t>
        </x:is>
      </x:c>
      <x:c r="F173" s="2" t="inlineStr">
        <x:is>
          <x:t xml:space="preserve">SRD 5.2.1</x:t>
        </x:is>
      </x:c>
    </x:row>
    <x:row r="174" ht="18" customHeight="1">
      <x:c r="A174" s="2" t="inlineStr">
        <x:is>
          <x:t xml:space="preserve">Cleric</x:t>
        </x:is>
      </x:c>
      <x:c r="B174" s="2" t="inlineStr">
        <x:is>
          <x:t xml:space="preserve">7</x:t>
        </x:is>
      </x:c>
      <x:c r="C174" s="2" t="inlineStr">
        <x:is>
          <x:t xml:space="preserve">Regenerate</x:t>
        </x:is>
      </x:c>
      <x:c r="D174" s="2" t="inlineStr">
        <x:is>
          <x:t xml:space="preserve">Transmutation</x:t>
        </x:is>
      </x:c>
      <x:c r="E174" s="2" t="inlineStr">
        <x:is>
          <x:t xml:space="preserve">From spell description class tags</x:t>
        </x:is>
      </x:c>
      <x:c r="F174" s="2" t="inlineStr">
        <x:is>
          <x:t xml:space="preserve">SRD 5.2.1</x:t>
        </x:is>
      </x:c>
    </x:row>
    <x:row r="175" ht="18" customHeight="1">
      <x:c r="A175" s="2" t="inlineStr">
        <x:is>
          <x:t xml:space="preserve">Cleric</x:t>
        </x:is>
      </x:c>
      <x:c r="B175" s="2" t="inlineStr">
        <x:is>
          <x:t xml:space="preserve">7</x:t>
        </x:is>
      </x:c>
      <x:c r="C175" s="2" t="inlineStr">
        <x:is>
          <x:t xml:space="preserve">Resurrection</x:t>
        </x:is>
      </x:c>
      <x:c r="D175" s="2" t="inlineStr">
        <x:is>
          <x:t xml:space="preserve">Necromancy</x:t>
        </x:is>
      </x:c>
      <x:c r="E175" s="2" t="inlineStr">
        <x:is>
          <x:t xml:space="preserve">From spell description class tags</x:t>
        </x:is>
      </x:c>
      <x:c r="F175" s="2" t="inlineStr">
        <x:is>
          <x:t xml:space="preserve">SRD 5.2.1</x:t>
        </x:is>
      </x:c>
    </x:row>
    <x:row r="176" ht="18" customHeight="1">
      <x:c r="A176" s="2" t="inlineStr">
        <x:is>
          <x:t xml:space="preserve">Cleric</x:t>
        </x:is>
      </x:c>
      <x:c r="B176" s="2" t="inlineStr">
        <x:is>
          <x:t xml:space="preserve">7</x:t>
        </x:is>
      </x:c>
      <x:c r="C176" s="2" t="inlineStr">
        <x:is>
          <x:t xml:space="preserve">Symbol</x:t>
        </x:is>
      </x:c>
      <x:c r="D176" s="2" t="inlineStr">
        <x:is>
          <x:t xml:space="preserve">Abjuration</x:t>
        </x:is>
      </x:c>
      <x:c r="E176" s="2" t="inlineStr">
        <x:is>
          <x:t xml:space="preserve">From spell description class tags</x:t>
        </x:is>
      </x:c>
      <x:c r="F176" s="2" t="inlineStr">
        <x:is>
          <x:t xml:space="preserve">SRD 5.2.1</x:t>
        </x:is>
      </x:c>
    </x:row>
    <x:row r="177" ht="18" customHeight="1">
      <x:c r="A177" s="2" t="inlineStr">
        <x:is>
          <x:t xml:space="preserve">Cleric</x:t>
        </x:is>
      </x:c>
      <x:c r="B177" s="2" t="inlineStr">
        <x:is>
          <x:t xml:space="preserve">8</x:t>
        </x:is>
      </x:c>
      <x:c r="C177" s="2" t="inlineStr">
        <x:is>
          <x:t xml:space="preserve">Antimagic Field</x:t>
        </x:is>
      </x:c>
      <x:c r="D177" s="2" t="inlineStr">
        <x:is>
          <x:t xml:space="preserve">Abjuration</x:t>
        </x:is>
      </x:c>
      <x:c r="E177" s="2" t="inlineStr">
        <x:is>
          <x:t xml:space="preserve">From spell description class tags</x:t>
        </x:is>
      </x:c>
      <x:c r="F177" s="2" t="inlineStr">
        <x:is>
          <x:t xml:space="preserve">SRD 5.2.1</x:t>
        </x:is>
      </x:c>
    </x:row>
    <x:row r="178" ht="18" customHeight="1">
      <x:c r="A178" s="2" t="inlineStr">
        <x:is>
          <x:t xml:space="preserve">Cleric</x:t>
        </x:is>
      </x:c>
      <x:c r="B178" s="2" t="inlineStr">
        <x:is>
          <x:t xml:space="preserve">8</x:t>
        </x:is>
      </x:c>
      <x:c r="C178" s="2" t="inlineStr">
        <x:is>
          <x:t xml:space="preserve">Control Weather</x:t>
        </x:is>
      </x:c>
      <x:c r="D178" s="2" t="inlineStr">
        <x:is>
          <x:t xml:space="preserve">Transmutation</x:t>
        </x:is>
      </x:c>
      <x:c r="E178" s="2" t="inlineStr">
        <x:is>
          <x:t xml:space="preserve">From spell description class tags</x:t>
        </x:is>
      </x:c>
      <x:c r="F178" s="2" t="inlineStr">
        <x:is>
          <x:t xml:space="preserve">SRD 5.2.1</x:t>
        </x:is>
      </x:c>
    </x:row>
    <x:row r="179" ht="18" customHeight="1">
      <x:c r="A179" s="2" t="inlineStr">
        <x:is>
          <x:t xml:space="preserve">Cleric</x:t>
        </x:is>
      </x:c>
      <x:c r="B179" s="2" t="inlineStr">
        <x:is>
          <x:t xml:space="preserve">8</x:t>
        </x:is>
      </x:c>
      <x:c r="C179" s="2" t="inlineStr">
        <x:is>
          <x:t xml:space="preserve">Earthquake</x:t>
        </x:is>
      </x:c>
      <x:c r="D179" s="2" t="inlineStr">
        <x:is>
          <x:t xml:space="preserve">Transmutation</x:t>
        </x:is>
      </x:c>
      <x:c r="E179" s="2" t="inlineStr">
        <x:is>
          <x:t xml:space="preserve">From spell description class tags</x:t>
        </x:is>
      </x:c>
      <x:c r="F179" s="2" t="inlineStr">
        <x:is>
          <x:t xml:space="preserve">SRD 5.2.1</x:t>
        </x:is>
      </x:c>
    </x:row>
    <x:row r="180" ht="18" customHeight="1">
      <x:c r="A180" s="2" t="inlineStr">
        <x:is>
          <x:t xml:space="preserve">Cleric</x:t>
        </x:is>
      </x:c>
      <x:c r="B180" s="2" t="inlineStr">
        <x:is>
          <x:t xml:space="preserve">8</x:t>
        </x:is>
      </x:c>
      <x:c r="C180" s="2" t="inlineStr">
        <x:is>
          <x:t xml:space="preserve">Holy Aura</x:t>
        </x:is>
      </x:c>
      <x:c r="D180" s="2" t="inlineStr">
        <x:is>
          <x:t xml:space="preserve">Abjuration</x:t>
        </x:is>
      </x:c>
      <x:c r="E180" s="2" t="inlineStr">
        <x:is>
          <x:t xml:space="preserve">From spell description class tags</x:t>
        </x:is>
      </x:c>
      <x:c r="F180" s="2" t="inlineStr">
        <x:is>
          <x:t xml:space="preserve">SRD 5.2.1</x:t>
        </x:is>
      </x:c>
    </x:row>
    <x:row r="181" ht="18" customHeight="1">
      <x:c r="A181" s="2" t="inlineStr">
        <x:is>
          <x:t xml:space="preserve">Cleric</x:t>
        </x:is>
      </x:c>
      <x:c r="B181" s="2" t="inlineStr">
        <x:is>
          <x:t xml:space="preserve">8</x:t>
        </x:is>
      </x:c>
      <x:c r="C181" s="2" t="inlineStr">
        <x:is>
          <x:t xml:space="preserve">Sunburst</x:t>
        </x:is>
      </x:c>
      <x:c r="D181" s="2" t="inlineStr">
        <x:is>
          <x:t xml:space="preserve">Evocation</x:t>
        </x:is>
      </x:c>
      <x:c r="E181" s="2" t="inlineStr">
        <x:is>
          <x:t xml:space="preserve">From spell description class tags</x:t>
        </x:is>
      </x:c>
      <x:c r="F181" s="2" t="inlineStr">
        <x:is>
          <x:t xml:space="preserve">SRD 5.2.1</x:t>
        </x:is>
      </x:c>
    </x:row>
    <x:row r="182" ht="18" customHeight="1">
      <x:c r="A182" s="2" t="inlineStr">
        <x:is>
          <x:t xml:space="preserve">Cleric</x:t>
        </x:is>
      </x:c>
      <x:c r="B182" s="2" t="inlineStr">
        <x:is>
          <x:t xml:space="preserve">9</x:t>
        </x:is>
      </x:c>
      <x:c r="C182" s="2" t="inlineStr">
        <x:is>
          <x:t xml:space="preserve">Astral Projection</x:t>
        </x:is>
      </x:c>
      <x:c r="D182" s="2" t="inlineStr">
        <x:is>
          <x:t xml:space="preserve">Necromancy</x:t>
        </x:is>
      </x:c>
      <x:c r="E182" s="2" t="inlineStr">
        <x:is>
          <x:t xml:space="preserve">From spell description class tags</x:t>
        </x:is>
      </x:c>
      <x:c r="F182" s="2" t="inlineStr">
        <x:is>
          <x:t xml:space="preserve">SRD 5.2.1</x:t>
        </x:is>
      </x:c>
    </x:row>
    <x:row r="183" ht="18" customHeight="1">
      <x:c r="A183" s="2" t="inlineStr">
        <x:is>
          <x:t xml:space="preserve">Cleric</x:t>
        </x:is>
      </x:c>
      <x:c r="B183" s="2" t="inlineStr">
        <x:is>
          <x:t xml:space="preserve">9</x:t>
        </x:is>
      </x:c>
      <x:c r="C183" s="2" t="inlineStr">
        <x:is>
          <x:t xml:space="preserve">Gate</x:t>
        </x:is>
      </x:c>
      <x:c r="D183" s="2" t="inlineStr">
        <x:is>
          <x:t xml:space="preserve">Conjuration</x:t>
        </x:is>
      </x:c>
      <x:c r="E183" s="2" t="inlineStr">
        <x:is>
          <x:t xml:space="preserve">From spell description class tags</x:t>
        </x:is>
      </x:c>
      <x:c r="F183" s="2" t="inlineStr">
        <x:is>
          <x:t xml:space="preserve">SRD 5.2.1</x:t>
        </x:is>
      </x:c>
    </x:row>
    <x:row r="184" ht="18" customHeight="1">
      <x:c r="A184" s="2" t="inlineStr">
        <x:is>
          <x:t xml:space="preserve">Cleric</x:t>
        </x:is>
      </x:c>
      <x:c r="B184" s="2" t="inlineStr">
        <x:is>
          <x:t xml:space="preserve">9</x:t>
        </x:is>
      </x:c>
      <x:c r="C184" s="2" t="inlineStr">
        <x:is>
          <x:t xml:space="preserve">Mass Heal</x:t>
        </x:is>
      </x:c>
      <x:c r="D184" s="2" t="inlineStr">
        <x:is>
          <x:t xml:space="preserve">Abjuration</x:t>
        </x:is>
      </x:c>
      <x:c r="E184" s="2" t="inlineStr">
        <x:is>
          <x:t xml:space="preserve">From spell description class tags</x:t>
        </x:is>
      </x:c>
      <x:c r="F184" s="2" t="inlineStr">
        <x:is>
          <x:t xml:space="preserve">SRD 5.2.1</x:t>
        </x:is>
      </x:c>
    </x:row>
    <x:row r="185" ht="18" customHeight="1">
      <x:c r="A185" s="2" t="inlineStr">
        <x:is>
          <x:t xml:space="preserve">Cleric</x:t>
        </x:is>
      </x:c>
      <x:c r="B185" s="2" t="inlineStr">
        <x:is>
          <x:t xml:space="preserve">9</x:t>
        </x:is>
      </x:c>
      <x:c r="C185" s="2" t="inlineStr">
        <x:is>
          <x:t xml:space="preserve">Power Word Heal</x:t>
        </x:is>
      </x:c>
      <x:c r="D185" s="2" t="inlineStr">
        <x:is>
          <x:t xml:space="preserve">Enchantment</x:t>
        </x:is>
      </x:c>
      <x:c r="E185" s="2" t="inlineStr">
        <x:is>
          <x:t xml:space="preserve">From spell description class tags</x:t>
        </x:is>
      </x:c>
      <x:c r="F185" s="2" t="inlineStr">
        <x:is>
          <x:t xml:space="preserve">SRD 5.2.1</x:t>
        </x:is>
      </x:c>
    </x:row>
    <x:row r="186" ht="18" customHeight="1">
      <x:c r="A186" s="2" t="inlineStr">
        <x:is>
          <x:t xml:space="preserve">Cleric</x:t>
        </x:is>
      </x:c>
      <x:c r="B186" s="2" t="inlineStr">
        <x:is>
          <x:t xml:space="preserve">9</x:t>
        </x:is>
      </x:c>
      <x:c r="C186" s="2" t="inlineStr">
        <x:is>
          <x:t xml:space="preserve">True Resurrection</x:t>
        </x:is>
      </x:c>
      <x:c r="D186" s="2" t="inlineStr">
        <x:is>
          <x:t xml:space="preserve">Necromancy</x:t>
        </x:is>
      </x:c>
      <x:c r="E186" s="2" t="inlineStr">
        <x:is>
          <x:t xml:space="preserve">From spell description class tags</x:t>
        </x:is>
      </x:c>
      <x:c r="F186" s="2" t="inlineStr">
        <x:is>
          <x:t xml:space="preserve">SRD 5.2.1</x:t>
        </x:is>
      </x:c>
    </x:row>
    <x:row r="187" ht="18" customHeight="1">
      <x:c r="A187" s="2" t="inlineStr">
        <x:is>
          <x:t xml:space="preserve">Cleric</x:t>
        </x:is>
      </x:c>
      <x:c r="B187" s="2" t="inlineStr">
        <x:is>
          <x:t xml:space="preserve">Cantrip</x:t>
        </x:is>
      </x:c>
      <x:c r="C187" s="2" t="inlineStr">
        <x:is>
          <x:t xml:space="preserve">Guidance</x:t>
        </x:is>
      </x:c>
      <x:c r="D187" s="2" t="inlineStr">
        <x:is>
          <x:t xml:space="preserve">Divination</x:t>
        </x:is>
      </x:c>
      <x:c r="E187" s="2" t="inlineStr">
        <x:is>
          <x:t xml:space="preserve">From spell description class tags</x:t>
        </x:is>
      </x:c>
      <x:c r="F187" s="2" t="inlineStr">
        <x:is>
          <x:t xml:space="preserve">SRD 5.2.1</x:t>
        </x:is>
      </x:c>
    </x:row>
    <x:row r="188" ht="18" customHeight="1">
      <x:c r="A188" s="2" t="inlineStr">
        <x:is>
          <x:t xml:space="preserve">Cleric</x:t>
        </x:is>
      </x:c>
      <x:c r="B188" s="2" t="inlineStr">
        <x:is>
          <x:t xml:space="preserve">Cantrip</x:t>
        </x:is>
      </x:c>
      <x:c r="C188" s="2" t="inlineStr">
        <x:is>
          <x:t xml:space="preserve">Light</x:t>
        </x:is>
      </x:c>
      <x:c r="D188" s="2" t="inlineStr">
        <x:is>
          <x:t xml:space="preserve">Evocation</x:t>
        </x:is>
      </x:c>
      <x:c r="E188" s="2" t="inlineStr">
        <x:is>
          <x:t xml:space="preserve">From spell description class tags</x:t>
        </x:is>
      </x:c>
      <x:c r="F188" s="2" t="inlineStr">
        <x:is>
          <x:t xml:space="preserve">SRD 5.2.1</x:t>
        </x:is>
      </x:c>
    </x:row>
    <x:row r="189" ht="18" customHeight="1">
      <x:c r="A189" s="2" t="inlineStr">
        <x:is>
          <x:t xml:space="preserve">Cleric</x:t>
        </x:is>
      </x:c>
      <x:c r="B189" s="2" t="inlineStr">
        <x:is>
          <x:t xml:space="preserve">Cantrip</x:t>
        </x:is>
      </x:c>
      <x:c r="C189" s="2" t="inlineStr">
        <x:is>
          <x:t xml:space="preserve">Resistance</x:t>
        </x:is>
      </x:c>
      <x:c r="D189" s="2" t="inlineStr">
        <x:is>
          <x:t xml:space="preserve">Abjuration</x:t>
        </x:is>
      </x:c>
      <x:c r="E189" s="2" t="inlineStr">
        <x:is>
          <x:t xml:space="preserve">From spell description class tags</x:t>
        </x:is>
      </x:c>
      <x:c r="F189" s="2" t="inlineStr">
        <x:is>
          <x:t xml:space="preserve">SRD 5.2.1</x:t>
        </x:is>
      </x:c>
    </x:row>
    <x:row r="190" ht="18" customHeight="1">
      <x:c r="A190" s="2" t="inlineStr">
        <x:is>
          <x:t xml:space="preserve">Cleric</x:t>
        </x:is>
      </x:c>
      <x:c r="B190" s="2" t="inlineStr">
        <x:is>
          <x:t xml:space="preserve">Cantrip</x:t>
        </x:is>
      </x:c>
      <x:c r="C190" s="2" t="inlineStr">
        <x:is>
          <x:t xml:space="preserve">Sacred Flame</x:t>
        </x:is>
      </x:c>
      <x:c r="D190" s="2" t="inlineStr">
        <x:is>
          <x:t xml:space="preserve">Evocation</x:t>
        </x:is>
      </x:c>
      <x:c r="E190" s="2" t="inlineStr">
        <x:is>
          <x:t xml:space="preserve">From spell description class tags</x:t>
        </x:is>
      </x:c>
      <x:c r="F190" s="2" t="inlineStr">
        <x:is>
          <x:t xml:space="preserve">SRD 5.2.1</x:t>
        </x:is>
      </x:c>
    </x:row>
    <x:row r="191" ht="18" customHeight="1">
      <x:c r="A191" s="2" t="inlineStr">
        <x:is>
          <x:t xml:space="preserve">Cleric</x:t>
        </x:is>
      </x:c>
      <x:c r="B191" s="2" t="inlineStr">
        <x:is>
          <x:t xml:space="preserve">Cantrip</x:t>
        </x:is>
      </x:c>
      <x:c r="C191" s="2" t="inlineStr">
        <x:is>
          <x:t xml:space="preserve">Spare the Dying</x:t>
        </x:is>
      </x:c>
      <x:c r="D191" s="2" t="inlineStr">
        <x:is>
          <x:t xml:space="preserve">Necromancy</x:t>
        </x:is>
      </x:c>
      <x:c r="E191" s="2" t="inlineStr">
        <x:is>
          <x:t xml:space="preserve">From spell description class tags</x:t>
        </x:is>
      </x:c>
      <x:c r="F191" s="2" t="inlineStr">
        <x:is>
          <x:t xml:space="preserve">SRD 5.2.1</x:t>
        </x:is>
      </x:c>
    </x:row>
    <x:row r="192" ht="18" customHeight="1">
      <x:c r="A192" s="2" t="inlineStr">
        <x:is>
          <x:t xml:space="preserve">Cleric</x:t>
        </x:is>
      </x:c>
      <x:c r="B192" s="2" t="inlineStr">
        <x:is>
          <x:t xml:space="preserve">Cantrip</x:t>
        </x:is>
      </x:c>
      <x:c r="C192" s="2" t="inlineStr">
        <x:is>
          <x:t xml:space="preserve">Thaumaturgy</x:t>
        </x:is>
      </x:c>
      <x:c r="D192" s="2" t="inlineStr">
        <x:is>
          <x:t xml:space="preserve">Transmutation</x:t>
        </x:is>
      </x:c>
      <x:c r="E192" s="2" t="inlineStr">
        <x:is>
          <x:t xml:space="preserve">From spell description class tags</x:t>
        </x:is>
      </x:c>
      <x:c r="F192" s="2" t="inlineStr">
        <x:is>
          <x:t xml:space="preserve">SRD 5.2.1</x:t>
        </x:is>
      </x:c>
    </x:row>
    <x:row r="193" ht="18" customHeight="1">
      <x:c r="A193" s="2" t="inlineStr">
        <x:is>
          <x:t xml:space="preserve">Druid</x:t>
        </x:is>
      </x:c>
      <x:c r="B193" s="2" t="inlineStr">
        <x:is>
          <x:t xml:space="preserve">1</x:t>
        </x:is>
      </x:c>
      <x:c r="C193" s="2" t="inlineStr">
        <x:is>
          <x:t xml:space="preserve">Animal Friendship</x:t>
        </x:is>
      </x:c>
      <x:c r="D193" s="2" t="inlineStr">
        <x:is>
          <x:t xml:space="preserve">Enchantment</x:t>
        </x:is>
      </x:c>
      <x:c r="E193" s="2" t="inlineStr">
        <x:is>
          <x:t xml:space="preserve">From spell description class tags</x:t>
        </x:is>
      </x:c>
      <x:c r="F193" s="2" t="inlineStr">
        <x:is>
          <x:t xml:space="preserve">SRD 5.2.1</x:t>
        </x:is>
      </x:c>
    </x:row>
    <x:row r="194" ht="18" customHeight="1">
      <x:c r="A194" s="2" t="inlineStr">
        <x:is>
          <x:t xml:space="preserve">Druid</x:t>
        </x:is>
      </x:c>
      <x:c r="B194" s="2" t="inlineStr">
        <x:is>
          <x:t xml:space="preserve">1</x:t>
        </x:is>
      </x:c>
      <x:c r="C194" s="2" t="inlineStr">
        <x:is>
          <x:t xml:space="preserve">Create or Destroy Water</x:t>
        </x:is>
      </x:c>
      <x:c r="D194" s="2" t="inlineStr">
        <x:is>
          <x:t xml:space="preserve">Transmutation</x:t>
        </x:is>
      </x:c>
      <x:c r="E194" s="2" t="inlineStr">
        <x:is>
          <x:t xml:space="preserve">From spell description class tags</x:t>
        </x:is>
      </x:c>
      <x:c r="F194" s="2" t="inlineStr">
        <x:is>
          <x:t xml:space="preserve">SRD 5.2.1</x:t>
        </x:is>
      </x:c>
    </x:row>
    <x:row r="195" ht="18" customHeight="1">
      <x:c r="A195" s="2" t="inlineStr">
        <x:is>
          <x:t xml:space="preserve">Druid</x:t>
        </x:is>
      </x:c>
      <x:c r="B195" s="2" t="inlineStr">
        <x:is>
          <x:t xml:space="preserve">1</x:t>
        </x:is>
      </x:c>
      <x:c r="C195" s="2" t="inlineStr">
        <x:is>
          <x:t xml:space="preserve">Detect Poison and Disease</x:t>
        </x:is>
      </x:c>
      <x:c r="D195" s="2" t="inlineStr">
        <x:is>
          <x:t xml:space="preserve">Divination</x:t>
        </x:is>
      </x:c>
      <x:c r="E195" s="2" t="inlineStr">
        <x:is>
          <x:t xml:space="preserve">From spell description class tags</x:t>
        </x:is>
      </x:c>
      <x:c r="F195" s="2" t="inlineStr">
        <x:is>
          <x:t xml:space="preserve">SRD 5.2.1</x:t>
        </x:is>
      </x:c>
    </x:row>
    <x:row r="196" ht="18" customHeight="1">
      <x:c r="A196" s="2" t="inlineStr">
        <x:is>
          <x:t xml:space="preserve">Druid</x:t>
        </x:is>
      </x:c>
      <x:c r="B196" s="2" t="inlineStr">
        <x:is>
          <x:t xml:space="preserve">1</x:t>
        </x:is>
      </x:c>
      <x:c r="C196" s="2" t="inlineStr">
        <x:is>
          <x:t xml:space="preserve">Entangle</x:t>
        </x:is>
      </x:c>
      <x:c r="D196" s="2" t="inlineStr">
        <x:is>
          <x:t xml:space="preserve">Conjuration</x:t>
        </x:is>
      </x:c>
      <x:c r="E196" s="2" t="inlineStr">
        <x:is>
          <x:t xml:space="preserve">From spell description class tags</x:t>
        </x:is>
      </x:c>
      <x:c r="F196" s="2" t="inlineStr">
        <x:is>
          <x:t xml:space="preserve">SRD 5.2.1</x:t>
        </x:is>
      </x:c>
    </x:row>
    <x:row r="197" ht="18" customHeight="1">
      <x:c r="A197" s="2" t="inlineStr">
        <x:is>
          <x:t xml:space="preserve">Druid</x:t>
        </x:is>
      </x:c>
      <x:c r="B197" s="2" t="inlineStr">
        <x:is>
          <x:t xml:space="preserve">1</x:t>
        </x:is>
      </x:c>
      <x:c r="C197" s="2" t="inlineStr">
        <x:is>
          <x:t xml:space="preserve">Faerie Fire</x:t>
        </x:is>
      </x:c>
      <x:c r="D197" s="2" t="inlineStr">
        <x:is>
          <x:t xml:space="preserve">Evocation</x:t>
        </x:is>
      </x:c>
      <x:c r="E197" s="2" t="inlineStr">
        <x:is>
          <x:t xml:space="preserve">From spell description class tags</x:t>
        </x:is>
      </x:c>
      <x:c r="F197" s="2" t="inlineStr">
        <x:is>
          <x:t xml:space="preserve">SRD 5.2.1</x:t>
        </x:is>
      </x:c>
    </x:row>
    <x:row r="198" ht="18" customHeight="1">
      <x:c r="A198" s="2" t="inlineStr">
        <x:is>
          <x:t xml:space="preserve">Druid</x:t>
        </x:is>
      </x:c>
      <x:c r="B198" s="2" t="inlineStr">
        <x:is>
          <x:t xml:space="preserve">1</x:t>
        </x:is>
      </x:c>
      <x:c r="C198" s="2" t="inlineStr">
        <x:is>
          <x:t xml:space="preserve">Fog Cloud</x:t>
        </x:is>
      </x:c>
      <x:c r="D198" s="2" t="inlineStr">
        <x:is>
          <x:t xml:space="preserve">Conjuration</x:t>
        </x:is>
      </x:c>
      <x:c r="E198" s="2" t="inlineStr">
        <x:is>
          <x:t xml:space="preserve">From spell description class tags</x:t>
        </x:is>
      </x:c>
      <x:c r="F198" s="2" t="inlineStr">
        <x:is>
          <x:t xml:space="preserve">SRD 5.2.1</x:t>
        </x:is>
      </x:c>
    </x:row>
    <x:row r="199" ht="18" customHeight="1">
      <x:c r="A199" s="2" t="inlineStr">
        <x:is>
          <x:t xml:space="preserve">Druid</x:t>
        </x:is>
      </x:c>
      <x:c r="B199" s="2" t="inlineStr">
        <x:is>
          <x:t xml:space="preserve">1</x:t>
        </x:is>
      </x:c>
      <x:c r="C199" s="2" t="inlineStr">
        <x:is>
          <x:t xml:space="preserve">Goodberry</x:t>
        </x:is>
      </x:c>
      <x:c r="D199" s="2" t="inlineStr">
        <x:is>
          <x:t xml:space="preserve">Conjuration</x:t>
        </x:is>
      </x:c>
      <x:c r="E199" s="2" t="inlineStr">
        <x:is>
          <x:t xml:space="preserve">From spell description class tags</x:t>
        </x:is>
      </x:c>
      <x:c r="F199" s="2" t="inlineStr">
        <x:is>
          <x:t xml:space="preserve">SRD 5.2.1</x:t>
        </x:is>
      </x:c>
    </x:row>
    <x:row r="200" ht="18" customHeight="1">
      <x:c r="A200" s="2" t="inlineStr">
        <x:is>
          <x:t xml:space="preserve">Druid</x:t>
        </x:is>
      </x:c>
      <x:c r="B200" s="2" t="inlineStr">
        <x:is>
          <x:t xml:space="preserve">1</x:t>
        </x:is>
      </x:c>
      <x:c r="C200" s="2" t="inlineStr">
        <x:is>
          <x:t xml:space="preserve">Healing Word</x:t>
        </x:is>
      </x:c>
      <x:c r="D200" s="2" t="inlineStr">
        <x:is>
          <x:t xml:space="preserve">Abjuration</x:t>
        </x:is>
      </x:c>
      <x:c r="E200" s="2" t="inlineStr">
        <x:is>
          <x:t xml:space="preserve">From spell description class tags</x:t>
        </x:is>
      </x:c>
      <x:c r="F200" s="2" t="inlineStr">
        <x:is>
          <x:t xml:space="preserve">SRD 5.2.1</x:t>
        </x:is>
      </x:c>
    </x:row>
    <x:row r="201" ht="18" customHeight="1">
      <x:c r="A201" s="2" t="inlineStr">
        <x:is>
          <x:t xml:space="preserve">Druid</x:t>
        </x:is>
      </x:c>
      <x:c r="B201" s="2" t="inlineStr">
        <x:is>
          <x:t xml:space="preserve">1</x:t>
        </x:is>
      </x:c>
      <x:c r="C201" s="2" t="inlineStr">
        <x:is>
          <x:t xml:space="preserve">Ice Knife</x:t>
        </x:is>
      </x:c>
      <x:c r="D201" s="2" t="inlineStr">
        <x:is>
          <x:t xml:space="preserve">Conjuration</x:t>
        </x:is>
      </x:c>
      <x:c r="E201" s="2" t="inlineStr">
        <x:is>
          <x:t xml:space="preserve">From spell description class tags</x:t>
        </x:is>
      </x:c>
      <x:c r="F201" s="2" t="inlineStr">
        <x:is>
          <x:t xml:space="preserve">SRD 5.2.1</x:t>
        </x:is>
      </x:c>
    </x:row>
    <x:row r="202" ht="18" customHeight="1">
      <x:c r="A202" s="2" t="inlineStr">
        <x:is>
          <x:t xml:space="preserve">Druid</x:t>
        </x:is>
      </x:c>
      <x:c r="B202" s="2" t="inlineStr">
        <x:is>
          <x:t xml:space="preserve">1</x:t>
        </x:is>
      </x:c>
      <x:c r="C202" s="2" t="inlineStr">
        <x:is>
          <x:t xml:space="preserve">Longstrider</x:t>
        </x:is>
      </x:c>
      <x:c r="D202" s="2" t="inlineStr">
        <x:is>
          <x:t xml:space="preserve">Transmutation</x:t>
        </x:is>
      </x:c>
      <x:c r="E202" s="2" t="inlineStr">
        <x:is>
          <x:t xml:space="preserve">From spell description class tags</x:t>
        </x:is>
      </x:c>
      <x:c r="F202" s="2" t="inlineStr">
        <x:is>
          <x:t xml:space="preserve">SRD 5.2.1</x:t>
        </x:is>
      </x:c>
    </x:row>
    <x:row r="203" ht="18" customHeight="1">
      <x:c r="A203" s="2" t="inlineStr">
        <x:is>
          <x:t xml:space="preserve">Druid</x:t>
        </x:is>
      </x:c>
      <x:c r="B203" s="2" t="inlineStr">
        <x:is>
          <x:t xml:space="preserve">1</x:t>
        </x:is>
      </x:c>
      <x:c r="C203" s="2" t="inlineStr">
        <x:is>
          <x:t xml:space="preserve">Purify Food and Drink</x:t>
        </x:is>
      </x:c>
      <x:c r="D203" s="2" t="inlineStr">
        <x:is>
          <x:t xml:space="preserve">Transmutation</x:t>
        </x:is>
      </x:c>
      <x:c r="E203" s="2" t="inlineStr">
        <x:is>
          <x:t xml:space="preserve">From spell description class tags</x:t>
        </x:is>
      </x:c>
      <x:c r="F203" s="2" t="inlineStr">
        <x:is>
          <x:t xml:space="preserve">SRD 5.2.1</x:t>
        </x:is>
      </x:c>
    </x:row>
    <x:row r="204" ht="18" customHeight="1">
      <x:c r="A204" s="2" t="inlineStr">
        <x:is>
          <x:t xml:space="preserve">Druid</x:t>
        </x:is>
      </x:c>
      <x:c r="B204" s="2" t="inlineStr">
        <x:is>
          <x:t xml:space="preserve">1</x:t>
        </x:is>
      </x:c>
      <x:c r="C204" s="2" t="inlineStr">
        <x:is>
          <x:t xml:space="preserve">Speak with Animals</x:t>
        </x:is>
      </x:c>
      <x:c r="D204" s="2" t="inlineStr">
        <x:is>
          <x:t xml:space="preserve">Divination</x:t>
        </x:is>
      </x:c>
      <x:c r="E204" s="2" t="inlineStr">
        <x:is>
          <x:t xml:space="preserve">From spell description class tags</x:t>
        </x:is>
      </x:c>
      <x:c r="F204" s="2" t="inlineStr">
        <x:is>
          <x:t xml:space="preserve">SRD 5.2.1</x:t>
        </x:is>
      </x:c>
    </x:row>
    <x:row r="205" ht="18" customHeight="1">
      <x:c r="A205" s="2" t="inlineStr">
        <x:is>
          <x:t xml:space="preserve">Druid</x:t>
        </x:is>
      </x:c>
      <x:c r="B205" s="2" t="inlineStr">
        <x:is>
          <x:t xml:space="preserve">1</x:t>
        </x:is>
      </x:c>
      <x:c r="C205" s="2" t="inlineStr">
        <x:is>
          <x:t xml:space="preserve">Thunderwave</x:t>
        </x:is>
      </x:c>
      <x:c r="D205" s="2" t="inlineStr">
        <x:is>
          <x:t xml:space="preserve">Evocation</x:t>
        </x:is>
      </x:c>
      <x:c r="E205" s="2" t="inlineStr">
        <x:is>
          <x:t xml:space="preserve">From spell description class tags</x:t>
        </x:is>
      </x:c>
      <x:c r="F205" s="2" t="inlineStr">
        <x:is>
          <x:t xml:space="preserve">SRD 5.2.1</x:t>
        </x:is>
      </x:c>
    </x:row>
    <x:row r="206" ht="18" customHeight="1">
      <x:c r="A206" s="2" t="inlineStr">
        <x:is>
          <x:t xml:space="preserve">Druid</x:t>
        </x:is>
      </x:c>
      <x:c r="B206" s="2" t="inlineStr">
        <x:is>
          <x:t xml:space="preserve">2</x:t>
        </x:is>
      </x:c>
      <x:c r="C206" s="2" t="inlineStr">
        <x:is>
          <x:t xml:space="preserve">Animal Messenger</x:t>
        </x:is>
      </x:c>
      <x:c r="D206" s="2" t="inlineStr">
        <x:is>
          <x:t xml:space="preserve">Enchantment</x:t>
        </x:is>
      </x:c>
      <x:c r="E206" s="2" t="inlineStr">
        <x:is>
          <x:t xml:space="preserve">From spell description class tags</x:t>
        </x:is>
      </x:c>
      <x:c r="F206" s="2" t="inlineStr">
        <x:is>
          <x:t xml:space="preserve">SRD 5.2.1</x:t>
        </x:is>
      </x:c>
    </x:row>
    <x:row r="207" ht="18" customHeight="1">
      <x:c r="A207" s="2" t="inlineStr">
        <x:is>
          <x:t xml:space="preserve">Druid</x:t>
        </x:is>
      </x:c>
      <x:c r="B207" s="2" t="inlineStr">
        <x:is>
          <x:t xml:space="preserve">2</x:t>
        </x:is>
      </x:c>
      <x:c r="C207" s="2" t="inlineStr">
        <x:is>
          <x:t xml:space="preserve">Augury</x:t>
        </x:is>
      </x:c>
      <x:c r="D207" s="2" t="inlineStr">
        <x:is>
          <x:t xml:space="preserve">Divination</x:t>
        </x:is>
      </x:c>
      <x:c r="E207" s="2" t="inlineStr">
        <x:is>
          <x:t xml:space="preserve">From spell description class tags</x:t>
        </x:is>
      </x:c>
      <x:c r="F207" s="2" t="inlineStr">
        <x:is>
          <x:t xml:space="preserve">SRD 5.2.1</x:t>
        </x:is>
      </x:c>
    </x:row>
    <x:row r="208" ht="18" customHeight="1">
      <x:c r="A208" s="2" t="inlineStr">
        <x:is>
          <x:t xml:space="preserve">Druid</x:t>
        </x:is>
      </x:c>
      <x:c r="B208" s="2" t="inlineStr">
        <x:is>
          <x:t xml:space="preserve">2</x:t>
        </x:is>
      </x:c>
      <x:c r="C208" s="2" t="inlineStr">
        <x:is>
          <x:t xml:space="preserve">Barkskin</x:t>
        </x:is>
      </x:c>
      <x:c r="D208" s="2" t="inlineStr">
        <x:is>
          <x:t xml:space="preserve">Transmutation</x:t>
        </x:is>
      </x:c>
      <x:c r="E208" s="2" t="inlineStr">
        <x:is>
          <x:t xml:space="preserve">From spell description class tags</x:t>
        </x:is>
      </x:c>
      <x:c r="F208" s="2" t="inlineStr">
        <x:is>
          <x:t xml:space="preserve">SRD 5.2.1</x:t>
        </x:is>
      </x:c>
    </x:row>
    <x:row r="209" ht="18" customHeight="1">
      <x:c r="A209" s="2" t="inlineStr">
        <x:is>
          <x:t xml:space="preserve">Druid</x:t>
        </x:is>
      </x:c>
      <x:c r="B209" s="2" t="inlineStr">
        <x:is>
          <x:t xml:space="preserve">2</x:t>
        </x:is>
      </x:c>
      <x:c r="C209" s="2" t="inlineStr">
        <x:is>
          <x:t xml:space="preserve">Continual Flame</x:t>
        </x:is>
      </x:c>
      <x:c r="D209" s="2" t="inlineStr">
        <x:is>
          <x:t xml:space="preserve">Evocation</x:t>
        </x:is>
      </x:c>
      <x:c r="E209" s="2" t="inlineStr">
        <x:is>
          <x:t xml:space="preserve">From spell description class tags</x:t>
        </x:is>
      </x:c>
      <x:c r="F209" s="2" t="inlineStr">
        <x:is>
          <x:t xml:space="preserve">SRD 5.2.1</x:t>
        </x:is>
      </x:c>
    </x:row>
    <x:row r="210" ht="18" customHeight="1">
      <x:c r="A210" s="2" t="inlineStr">
        <x:is>
          <x:t xml:space="preserve">Druid</x:t>
        </x:is>
      </x:c>
      <x:c r="B210" s="2" t="inlineStr">
        <x:is>
          <x:t xml:space="preserve">2</x:t>
        </x:is>
      </x:c>
      <x:c r="C210" s="2" t="inlineStr">
        <x:is>
          <x:t xml:space="preserve">Enlarge/Reduce</x:t>
        </x:is>
      </x:c>
      <x:c r="D210" s="2" t="inlineStr">
        <x:is>
          <x:t xml:space="preserve">Transmutation</x:t>
        </x:is>
      </x:c>
      <x:c r="E210" s="2" t="inlineStr">
        <x:is>
          <x:t xml:space="preserve">From spell description class tags</x:t>
        </x:is>
      </x:c>
      <x:c r="F210" s="2" t="inlineStr">
        <x:is>
          <x:t xml:space="preserve">SRD 5.2.1</x:t>
        </x:is>
      </x:c>
    </x:row>
    <x:row r="211" ht="18" customHeight="1">
      <x:c r="A211" s="2" t="inlineStr">
        <x:is>
          <x:t xml:space="preserve">Druid</x:t>
        </x:is>
      </x:c>
      <x:c r="B211" s="2" t="inlineStr">
        <x:is>
          <x:t xml:space="preserve">2</x:t>
        </x:is>
      </x:c>
      <x:c r="C211" s="2" t="inlineStr">
        <x:is>
          <x:t xml:space="preserve">Find Traps</x:t>
        </x:is>
      </x:c>
      <x:c r="D211" s="2" t="inlineStr">
        <x:is>
          <x:t xml:space="preserve">Divination</x:t>
        </x:is>
      </x:c>
      <x:c r="E211" s="2" t="inlineStr">
        <x:is>
          <x:t xml:space="preserve">From spell description class tags</x:t>
        </x:is>
      </x:c>
      <x:c r="F211" s="2" t="inlineStr">
        <x:is>
          <x:t xml:space="preserve">SRD 5.2.1</x:t>
        </x:is>
      </x:c>
    </x:row>
    <x:row r="212" ht="18" customHeight="1">
      <x:c r="A212" s="2" t="inlineStr">
        <x:is>
          <x:t xml:space="preserve">Druid</x:t>
        </x:is>
      </x:c>
      <x:c r="B212" s="2" t="inlineStr">
        <x:is>
          <x:t xml:space="preserve">2</x:t>
        </x:is>
      </x:c>
      <x:c r="C212" s="2" t="inlineStr">
        <x:is>
          <x:t xml:space="preserve">Flame Blade</x:t>
        </x:is>
      </x:c>
      <x:c r="D212" s="2" t="inlineStr">
        <x:is>
          <x:t xml:space="preserve">Evocation</x:t>
        </x:is>
      </x:c>
      <x:c r="E212" s="2" t="inlineStr">
        <x:is>
          <x:t xml:space="preserve">From spell description class tags</x:t>
        </x:is>
      </x:c>
      <x:c r="F212" s="2" t="inlineStr">
        <x:is>
          <x:t xml:space="preserve">SRD 5.2.1</x:t>
        </x:is>
      </x:c>
    </x:row>
    <x:row r="213" ht="18" customHeight="1">
      <x:c r="A213" s="2" t="inlineStr">
        <x:is>
          <x:t xml:space="preserve">Druid</x:t>
        </x:is>
      </x:c>
      <x:c r="B213" s="2" t="inlineStr">
        <x:is>
          <x:t xml:space="preserve">2</x:t>
        </x:is>
      </x:c>
      <x:c r="C213" s="2" t="inlineStr">
        <x:is>
          <x:t xml:space="preserve">Flaming Sphere</x:t>
        </x:is>
      </x:c>
      <x:c r="D213" s="2" t="inlineStr">
        <x:is>
          <x:t xml:space="preserve">Conjuration</x:t>
        </x:is>
      </x:c>
      <x:c r="E213" s="2" t="inlineStr">
        <x:is>
          <x:t xml:space="preserve">From spell description class tags</x:t>
        </x:is>
      </x:c>
      <x:c r="F213" s="2" t="inlineStr">
        <x:is>
          <x:t xml:space="preserve">SRD 5.2.1</x:t>
        </x:is>
      </x:c>
    </x:row>
    <x:row r="214" ht="18" customHeight="1">
      <x:c r="A214" s="2" t="inlineStr">
        <x:is>
          <x:t xml:space="preserve">Druid</x:t>
        </x:is>
      </x:c>
      <x:c r="B214" s="2" t="inlineStr">
        <x:is>
          <x:t xml:space="preserve">2</x:t>
        </x:is>
      </x:c>
      <x:c r="C214" s="2" t="inlineStr">
        <x:is>
          <x:t xml:space="preserve">Gust of Wind</x:t>
        </x:is>
      </x:c>
      <x:c r="D214" s="2" t="inlineStr">
        <x:is>
          <x:t xml:space="preserve">Evocation</x:t>
        </x:is>
      </x:c>
      <x:c r="E214" s="2" t="inlineStr">
        <x:is>
          <x:t xml:space="preserve">From spell description class tags</x:t>
        </x:is>
      </x:c>
      <x:c r="F214" s="2" t="inlineStr">
        <x:is>
          <x:t xml:space="preserve">SRD 5.2.1</x:t>
        </x:is>
      </x:c>
    </x:row>
    <x:row r="215" ht="18" customHeight="1">
      <x:c r="A215" s="2" t="inlineStr">
        <x:is>
          <x:t xml:space="preserve">Druid</x:t>
        </x:is>
      </x:c>
      <x:c r="B215" s="2" t="inlineStr">
        <x:is>
          <x:t xml:space="preserve">2</x:t>
        </x:is>
      </x:c>
      <x:c r="C215" s="2" t="inlineStr">
        <x:is>
          <x:t xml:space="preserve">Heat Metal</x:t>
        </x:is>
      </x:c>
      <x:c r="D215" s="2" t="inlineStr">
        <x:is>
          <x:t xml:space="preserve">Transmutation</x:t>
        </x:is>
      </x:c>
      <x:c r="E215" s="2" t="inlineStr">
        <x:is>
          <x:t xml:space="preserve">From spell description class tags</x:t>
        </x:is>
      </x:c>
      <x:c r="F215" s="2" t="inlineStr">
        <x:is>
          <x:t xml:space="preserve">SRD 5.2.1</x:t>
        </x:is>
      </x:c>
    </x:row>
    <x:row r="216" ht="18" customHeight="1">
      <x:c r="A216" s="2" t="inlineStr">
        <x:is>
          <x:t xml:space="preserve">Druid</x:t>
        </x:is>
      </x:c>
      <x:c r="B216" s="2" t="inlineStr">
        <x:is>
          <x:t xml:space="preserve">2</x:t>
        </x:is>
      </x:c>
      <x:c r="C216" s="2" t="inlineStr">
        <x:is>
          <x:t xml:space="preserve">Locate Animals or Plants</x:t>
        </x:is>
      </x:c>
      <x:c r="D216" s="2" t="inlineStr">
        <x:is>
          <x:t xml:space="preserve">Divination</x:t>
        </x:is>
      </x:c>
      <x:c r="E216" s="2" t="inlineStr">
        <x:is>
          <x:t xml:space="preserve">From spell description class tags</x:t>
        </x:is>
      </x:c>
      <x:c r="F216" s="2" t="inlineStr">
        <x:is>
          <x:t xml:space="preserve">SRD 5.2.1</x:t>
        </x:is>
      </x:c>
    </x:row>
    <x:row r="217" ht="18" customHeight="1">
      <x:c r="A217" s="2" t="inlineStr">
        <x:is>
          <x:t xml:space="preserve">Druid</x:t>
        </x:is>
      </x:c>
      <x:c r="B217" s="2" t="inlineStr">
        <x:is>
          <x:t xml:space="preserve">2</x:t>
        </x:is>
      </x:c>
      <x:c r="C217" s="2" t="inlineStr">
        <x:is>
          <x:t xml:space="preserve">Moonbeam</x:t>
        </x:is>
      </x:c>
      <x:c r="D217" s="2" t="inlineStr">
        <x:is>
          <x:t xml:space="preserve">Evocation</x:t>
        </x:is>
      </x:c>
      <x:c r="E217" s="2" t="inlineStr">
        <x:is>
          <x:t xml:space="preserve">From spell description class tags</x:t>
        </x:is>
      </x:c>
      <x:c r="F217" s="2" t="inlineStr">
        <x:is>
          <x:t xml:space="preserve">SRD 5.2.1</x:t>
        </x:is>
      </x:c>
    </x:row>
    <x:row r="218" ht="18" customHeight="1">
      <x:c r="A218" s="2" t="inlineStr">
        <x:is>
          <x:t xml:space="preserve">Druid</x:t>
        </x:is>
      </x:c>
      <x:c r="B218" s="2" t="inlineStr">
        <x:is>
          <x:t xml:space="preserve">2</x:t>
        </x:is>
      </x:c>
      <x:c r="C218" s="2" t="inlineStr">
        <x:is>
          <x:t xml:space="preserve">Pass without Trace</x:t>
        </x:is>
      </x:c>
      <x:c r="D218" s="2" t="inlineStr">
        <x:is>
          <x:t xml:space="preserve">Abjuration</x:t>
        </x:is>
      </x:c>
      <x:c r="E218" s="2" t="inlineStr">
        <x:is>
          <x:t xml:space="preserve">From spell description class tags</x:t>
        </x:is>
      </x:c>
      <x:c r="F218" s="2" t="inlineStr">
        <x:is>
          <x:t xml:space="preserve">SRD 5.2.1</x:t>
        </x:is>
      </x:c>
    </x:row>
    <x:row r="219" ht="18" customHeight="1">
      <x:c r="A219" s="2" t="inlineStr">
        <x:is>
          <x:t xml:space="preserve">Druid</x:t>
        </x:is>
      </x:c>
      <x:c r="B219" s="2" t="inlineStr">
        <x:is>
          <x:t xml:space="preserve">2</x:t>
        </x:is>
      </x:c>
      <x:c r="C219" s="2" t="inlineStr">
        <x:is>
          <x:t xml:space="preserve">Protection from Poison</x:t>
        </x:is>
      </x:c>
      <x:c r="D219" s="2" t="inlineStr">
        <x:is>
          <x:t xml:space="preserve">Abjuration</x:t>
        </x:is>
      </x:c>
      <x:c r="E219" s="2" t="inlineStr">
        <x:is>
          <x:t xml:space="preserve">From spell description class tags</x:t>
        </x:is>
      </x:c>
      <x:c r="F219" s="2" t="inlineStr">
        <x:is>
          <x:t xml:space="preserve">SRD 5.2.1</x:t>
        </x:is>
      </x:c>
    </x:row>
    <x:row r="220" ht="18" customHeight="1">
      <x:c r="A220" s="2" t="inlineStr">
        <x:is>
          <x:t xml:space="preserve">Druid</x:t>
        </x:is>
      </x:c>
      <x:c r="B220" s="2" t="inlineStr">
        <x:is>
          <x:t xml:space="preserve">2</x:t>
        </x:is>
      </x:c>
      <x:c r="C220" s="2" t="inlineStr">
        <x:is>
          <x:t xml:space="preserve">Spike Growth</x:t>
        </x:is>
      </x:c>
      <x:c r="D220" s="2" t="inlineStr">
        <x:is>
          <x:t xml:space="preserve">Transmutation</x:t>
        </x:is>
      </x:c>
      <x:c r="E220" s="2" t="inlineStr">
        <x:is>
          <x:t xml:space="preserve">From spell description class tags</x:t>
        </x:is>
      </x:c>
      <x:c r="F220" s="2" t="inlineStr">
        <x:is>
          <x:t xml:space="preserve">SRD 5.2.1</x:t>
        </x:is>
      </x:c>
    </x:row>
    <x:row r="221" ht="18" customHeight="1">
      <x:c r="A221" s="2" t="inlineStr">
        <x:is>
          <x:t xml:space="preserve">Druid</x:t>
        </x:is>
      </x:c>
      <x:c r="B221" s="2" t="inlineStr">
        <x:is>
          <x:t xml:space="preserve">3</x:t>
        </x:is>
      </x:c>
      <x:c r="C221" s="2" t="inlineStr">
        <x:is>
          <x:t xml:space="preserve">Call Lightning</x:t>
        </x:is>
      </x:c>
      <x:c r="D221" s="2" t="inlineStr">
        <x:is>
          <x:t xml:space="preserve">Conjuration</x:t>
        </x:is>
      </x:c>
      <x:c r="E221" s="2" t="inlineStr">
        <x:is>
          <x:t xml:space="preserve">From spell description class tags</x:t>
        </x:is>
      </x:c>
      <x:c r="F221" s="2" t="inlineStr">
        <x:is>
          <x:t xml:space="preserve">SRD 5.2.1</x:t>
        </x:is>
      </x:c>
    </x:row>
    <x:row r="222" ht="18" customHeight="1">
      <x:c r="A222" s="2" t="inlineStr">
        <x:is>
          <x:t xml:space="preserve">Druid</x:t>
        </x:is>
      </x:c>
      <x:c r="B222" s="2" t="inlineStr">
        <x:is>
          <x:t xml:space="preserve">3</x:t>
        </x:is>
      </x:c>
      <x:c r="C222" s="2" t="inlineStr">
        <x:is>
          <x:t xml:space="preserve">Conjure Animals</x:t>
        </x:is>
      </x:c>
      <x:c r="D222" s="2" t="inlineStr">
        <x:is>
          <x:t xml:space="preserve">Conjuration</x:t>
        </x:is>
      </x:c>
      <x:c r="E222" s="2" t="inlineStr">
        <x:is>
          <x:t xml:space="preserve">From spell description class tags</x:t>
        </x:is>
      </x:c>
      <x:c r="F222" s="2" t="inlineStr">
        <x:is>
          <x:t xml:space="preserve">SRD 5.2.1</x:t>
        </x:is>
      </x:c>
    </x:row>
    <x:row r="223" ht="18" customHeight="1">
      <x:c r="A223" s="2" t="inlineStr">
        <x:is>
          <x:t xml:space="preserve">Druid</x:t>
        </x:is>
      </x:c>
      <x:c r="B223" s="2" t="inlineStr">
        <x:is>
          <x:t xml:space="preserve">3</x:t>
        </x:is>
      </x:c>
      <x:c r="C223" s="2" t="inlineStr">
        <x:is>
          <x:t xml:space="preserve">Meld into Stone</x:t>
        </x:is>
      </x:c>
      <x:c r="D223" s="2" t="inlineStr">
        <x:is>
          <x:t xml:space="preserve">Transmutation</x:t>
        </x:is>
      </x:c>
      <x:c r="E223" s="2" t="inlineStr">
        <x:is>
          <x:t xml:space="preserve">From spell description class tags</x:t>
        </x:is>
      </x:c>
      <x:c r="F223" s="2" t="inlineStr">
        <x:is>
          <x:t xml:space="preserve">SRD 5.2.1</x:t>
        </x:is>
      </x:c>
    </x:row>
    <x:row r="224" ht="18" customHeight="1">
      <x:c r="A224" s="2" t="inlineStr">
        <x:is>
          <x:t xml:space="preserve">Druid</x:t>
        </x:is>
      </x:c>
      <x:c r="B224" s="2" t="inlineStr">
        <x:is>
          <x:t xml:space="preserve">3</x:t>
        </x:is>
      </x:c>
      <x:c r="C224" s="2" t="inlineStr">
        <x:is>
          <x:t xml:space="preserve">Plant Growth</x:t>
        </x:is>
      </x:c>
      <x:c r="D224" s="2" t="inlineStr">
        <x:is>
          <x:t xml:space="preserve">Transmutation</x:t>
        </x:is>
      </x:c>
      <x:c r="E224" s="2" t="inlineStr">
        <x:is>
          <x:t xml:space="preserve">From spell description class tags</x:t>
        </x:is>
      </x:c>
      <x:c r="F224" s="2" t="inlineStr">
        <x:is>
          <x:t xml:space="preserve">SRD 5.2.1</x:t>
        </x:is>
      </x:c>
    </x:row>
    <x:row r="225" ht="18" customHeight="1">
      <x:c r="A225" s="2" t="inlineStr">
        <x:is>
          <x:t xml:space="preserve">Druid</x:t>
        </x:is>
      </x:c>
      <x:c r="B225" s="2" t="inlineStr">
        <x:is>
          <x:t xml:space="preserve">3</x:t>
        </x:is>
      </x:c>
      <x:c r="C225" s="2" t="inlineStr">
        <x:is>
          <x:t xml:space="preserve">Revivify</x:t>
        </x:is>
      </x:c>
      <x:c r="D225" s="2" t="inlineStr">
        <x:is>
          <x:t xml:space="preserve">Necromancy</x:t>
        </x:is>
      </x:c>
      <x:c r="E225" s="2" t="inlineStr">
        <x:is>
          <x:t xml:space="preserve">From spell description class tags</x:t>
        </x:is>
      </x:c>
      <x:c r="F225" s="2" t="inlineStr">
        <x:is>
          <x:t xml:space="preserve">SRD 5.2.1</x:t>
        </x:is>
      </x:c>
    </x:row>
    <x:row r="226" ht="18" customHeight="1">
      <x:c r="A226" s="2" t="inlineStr">
        <x:is>
          <x:t xml:space="preserve">Druid</x:t>
        </x:is>
      </x:c>
      <x:c r="B226" s="2" t="inlineStr">
        <x:is>
          <x:t xml:space="preserve">3</x:t>
        </x:is>
      </x:c>
      <x:c r="C226" s="2" t="inlineStr">
        <x:is>
          <x:t xml:space="preserve">Sleet Storm</x:t>
        </x:is>
      </x:c>
      <x:c r="D226" s="2" t="inlineStr">
        <x:is>
          <x:t xml:space="preserve">Conjuration</x:t>
        </x:is>
      </x:c>
      <x:c r="E226" s="2" t="inlineStr">
        <x:is>
          <x:t xml:space="preserve">From spell description class tags</x:t>
        </x:is>
      </x:c>
      <x:c r="F226" s="2" t="inlineStr">
        <x:is>
          <x:t xml:space="preserve">SRD 5.2.1</x:t>
        </x:is>
      </x:c>
    </x:row>
    <x:row r="227" ht="18" customHeight="1">
      <x:c r="A227" s="2" t="inlineStr">
        <x:is>
          <x:t xml:space="preserve">Druid</x:t>
        </x:is>
      </x:c>
      <x:c r="B227" s="2" t="inlineStr">
        <x:is>
          <x:t xml:space="preserve">3</x:t>
        </x:is>
      </x:c>
      <x:c r="C227" s="2" t="inlineStr">
        <x:is>
          <x:t xml:space="preserve">Speak with Plants</x:t>
        </x:is>
      </x:c>
      <x:c r="D227" s="2" t="inlineStr">
        <x:is>
          <x:t xml:space="preserve">Transmutation</x:t>
        </x:is>
      </x:c>
      <x:c r="E227" s="2" t="inlineStr">
        <x:is>
          <x:t xml:space="preserve">From spell description class tags</x:t>
        </x:is>
      </x:c>
      <x:c r="F227" s="2" t="inlineStr">
        <x:is>
          <x:t xml:space="preserve">SRD 5.2.1</x:t>
        </x:is>
      </x:c>
    </x:row>
    <x:row r="228" ht="18" customHeight="1">
      <x:c r="A228" s="2" t="inlineStr">
        <x:is>
          <x:t xml:space="preserve">Druid</x:t>
        </x:is>
      </x:c>
      <x:c r="B228" s="2" t="inlineStr">
        <x:is>
          <x:t xml:space="preserve">3</x:t>
        </x:is>
      </x:c>
      <x:c r="C228" s="2" t="inlineStr">
        <x:is>
          <x:t xml:space="preserve">Water Walk</x:t>
        </x:is>
      </x:c>
      <x:c r="D228" s="2" t="inlineStr">
        <x:is>
          <x:t xml:space="preserve">Transmutation</x:t>
        </x:is>
      </x:c>
      <x:c r="E228" s="2" t="inlineStr">
        <x:is>
          <x:t xml:space="preserve">From spell description class tags</x:t>
        </x:is>
      </x:c>
      <x:c r="F228" s="2" t="inlineStr">
        <x:is>
          <x:t xml:space="preserve">SRD 5.2.1</x:t>
        </x:is>
      </x:c>
    </x:row>
    <x:row r="229" ht="18" customHeight="1">
      <x:c r="A229" s="2" t="inlineStr">
        <x:is>
          <x:t xml:space="preserve">Druid</x:t>
        </x:is>
      </x:c>
      <x:c r="B229" s="2" t="inlineStr">
        <x:is>
          <x:t xml:space="preserve">3</x:t>
        </x:is>
      </x:c>
      <x:c r="C229" s="2" t="inlineStr">
        <x:is>
          <x:t xml:space="preserve">Wind Wall</x:t>
        </x:is>
      </x:c>
      <x:c r="D229" s="2" t="inlineStr">
        <x:is>
          <x:t xml:space="preserve">Evocation</x:t>
        </x:is>
      </x:c>
      <x:c r="E229" s="2" t="inlineStr">
        <x:is>
          <x:t xml:space="preserve">From spell description class tags</x:t>
        </x:is>
      </x:c>
      <x:c r="F229" s="2" t="inlineStr">
        <x:is>
          <x:t xml:space="preserve">SRD 5.2.1</x:t>
        </x:is>
      </x:c>
    </x:row>
    <x:row r="230" ht="18" customHeight="1">
      <x:c r="A230" s="2" t="inlineStr">
        <x:is>
          <x:t xml:space="preserve">Druid</x:t>
        </x:is>
      </x:c>
      <x:c r="B230" s="2" t="inlineStr">
        <x:is>
          <x:t xml:space="preserve">4</x:t>
        </x:is>
      </x:c>
      <x:c r="C230" s="2" t="inlineStr">
        <x:is>
          <x:t xml:space="preserve">Confusion</x:t>
        </x:is>
      </x:c>
      <x:c r="D230" s="2" t="inlineStr">
        <x:is>
          <x:t xml:space="preserve">Enchantment</x:t>
        </x:is>
      </x:c>
      <x:c r="E230" s="2" t="inlineStr">
        <x:is>
          <x:t xml:space="preserve">From spell description class tags</x:t>
        </x:is>
      </x:c>
      <x:c r="F230" s="2" t="inlineStr">
        <x:is>
          <x:t xml:space="preserve">SRD 5.2.1</x:t>
        </x:is>
      </x:c>
    </x:row>
    <x:row r="231" ht="18" customHeight="1">
      <x:c r="A231" s="2" t="inlineStr">
        <x:is>
          <x:t xml:space="preserve">Druid</x:t>
        </x:is>
      </x:c>
      <x:c r="B231" s="2" t="inlineStr">
        <x:is>
          <x:t xml:space="preserve">4</x:t>
        </x:is>
      </x:c>
      <x:c r="C231" s="2" t="inlineStr">
        <x:is>
          <x:t xml:space="preserve">Conjure Minor Elementals</x:t>
        </x:is>
      </x:c>
      <x:c r="D231" s="2" t="inlineStr">
        <x:is>
          <x:t xml:space="preserve">Conjuration</x:t>
        </x:is>
      </x:c>
      <x:c r="E231" s="2" t="inlineStr">
        <x:is>
          <x:t xml:space="preserve">From spell description class tags</x:t>
        </x:is>
      </x:c>
      <x:c r="F231" s="2" t="inlineStr">
        <x:is>
          <x:t xml:space="preserve">SRD 5.2.1</x:t>
        </x:is>
      </x:c>
    </x:row>
    <x:row r="232" ht="18" customHeight="1">
      <x:c r="A232" s="2" t="inlineStr">
        <x:is>
          <x:t xml:space="preserve">Druid</x:t>
        </x:is>
      </x:c>
      <x:c r="B232" s="2" t="inlineStr">
        <x:is>
          <x:t xml:space="preserve">4</x:t>
        </x:is>
      </x:c>
      <x:c r="C232" s="2" t="inlineStr">
        <x:is>
          <x:t xml:space="preserve">Conjure Woodland Beings</x:t>
        </x:is>
      </x:c>
      <x:c r="D232" s="2" t="inlineStr">
        <x:is>
          <x:t xml:space="preserve">Conjuration</x:t>
        </x:is>
      </x:c>
      <x:c r="E232" s="2" t="inlineStr">
        <x:is>
          <x:t xml:space="preserve">From spell description class tags</x:t>
        </x:is>
      </x:c>
      <x:c r="F232" s="2" t="inlineStr">
        <x:is>
          <x:t xml:space="preserve">SRD 5.2.1</x:t>
        </x:is>
      </x:c>
    </x:row>
    <x:row r="233" ht="18" customHeight="1">
      <x:c r="A233" s="2" t="inlineStr">
        <x:is>
          <x:t xml:space="preserve">Druid</x:t>
        </x:is>
      </x:c>
      <x:c r="B233" s="2" t="inlineStr">
        <x:is>
          <x:t xml:space="preserve">4</x:t>
        </x:is>
      </x:c>
      <x:c r="C233" s="2" t="inlineStr">
        <x:is>
          <x:t xml:space="preserve">Control Water</x:t>
        </x:is>
      </x:c>
      <x:c r="D233" s="2" t="inlineStr">
        <x:is>
          <x:t xml:space="preserve">Transmutation</x:t>
        </x:is>
      </x:c>
      <x:c r="E233" s="2" t="inlineStr">
        <x:is>
          <x:t xml:space="preserve">From spell description class tags</x:t>
        </x:is>
      </x:c>
      <x:c r="F233" s="2" t="inlineStr">
        <x:is>
          <x:t xml:space="preserve">SRD 5.2.1</x:t>
        </x:is>
      </x:c>
    </x:row>
    <x:row r="234" ht="18" customHeight="1">
      <x:c r="A234" s="2" t="inlineStr">
        <x:is>
          <x:t xml:space="preserve">Druid</x:t>
        </x:is>
      </x:c>
      <x:c r="B234" s="2" t="inlineStr">
        <x:is>
          <x:t xml:space="preserve">4</x:t>
        </x:is>
      </x:c>
      <x:c r="C234" s="2" t="inlineStr">
        <x:is>
          <x:t xml:space="preserve">Divination</x:t>
        </x:is>
      </x:c>
      <x:c r="D234" s="2" t="inlineStr">
        <x:is>
          <x:t xml:space="preserve">Divination</x:t>
        </x:is>
      </x:c>
      <x:c r="E234" s="2" t="inlineStr">
        <x:is>
          <x:t xml:space="preserve">From spell description class tags</x:t>
        </x:is>
      </x:c>
      <x:c r="F234" s="2" t="inlineStr">
        <x:is>
          <x:t xml:space="preserve">SRD 5.2.1</x:t>
        </x:is>
      </x:c>
    </x:row>
    <x:row r="235" ht="18" customHeight="1">
      <x:c r="A235" s="2" t="inlineStr">
        <x:is>
          <x:t xml:space="preserve">Druid</x:t>
        </x:is>
      </x:c>
      <x:c r="B235" s="2" t="inlineStr">
        <x:is>
          <x:t xml:space="preserve">4</x:t>
        </x:is>
      </x:c>
      <x:c r="C235" s="2" t="inlineStr">
        <x:is>
          <x:t xml:space="preserve">Dominate Beast</x:t>
        </x:is>
      </x:c>
      <x:c r="D235" s="2" t="inlineStr">
        <x:is>
          <x:t xml:space="preserve">Enchantment</x:t>
        </x:is>
      </x:c>
      <x:c r="E235" s="2" t="inlineStr">
        <x:is>
          <x:t xml:space="preserve">From spell description class tags</x:t>
        </x:is>
      </x:c>
      <x:c r="F235" s="2" t="inlineStr">
        <x:is>
          <x:t xml:space="preserve">SRD 5.2.1</x:t>
        </x:is>
      </x:c>
    </x:row>
    <x:row r="236" ht="18" customHeight="1">
      <x:c r="A236" s="2" t="inlineStr">
        <x:is>
          <x:t xml:space="preserve">Druid</x:t>
        </x:is>
      </x:c>
      <x:c r="B236" s="2" t="inlineStr">
        <x:is>
          <x:t xml:space="preserve">4</x:t>
        </x:is>
      </x:c>
      <x:c r="C236" s="2" t="inlineStr">
        <x:is>
          <x:t xml:space="preserve">Fire Shield</x:t>
        </x:is>
      </x:c>
      <x:c r="D236" s="2" t="inlineStr">
        <x:is>
          <x:t xml:space="preserve">Evocation</x:t>
        </x:is>
      </x:c>
      <x:c r="E236" s="2" t="inlineStr">
        <x:is>
          <x:t xml:space="preserve">From spell description class tags</x:t>
        </x:is>
      </x:c>
      <x:c r="F236" s="2" t="inlineStr">
        <x:is>
          <x:t xml:space="preserve">SRD 5.2.1</x:t>
        </x:is>
      </x:c>
    </x:row>
    <x:row r="237" ht="18" customHeight="1">
      <x:c r="A237" s="2" t="inlineStr">
        <x:is>
          <x:t xml:space="preserve">Druid</x:t>
        </x:is>
      </x:c>
      <x:c r="B237" s="2" t="inlineStr">
        <x:is>
          <x:t xml:space="preserve">4</x:t>
        </x:is>
      </x:c>
      <x:c r="C237" s="2" t="inlineStr">
        <x:is>
          <x:t xml:space="preserve">Freedom of Movement</x:t>
        </x:is>
      </x:c>
      <x:c r="D237" s="2" t="inlineStr">
        <x:is>
          <x:t xml:space="preserve">Abjuration</x:t>
        </x:is>
      </x:c>
      <x:c r="E237" s="2" t="inlineStr">
        <x:is>
          <x:t xml:space="preserve">From spell description class tags</x:t>
        </x:is>
      </x:c>
      <x:c r="F237" s="2" t="inlineStr">
        <x:is>
          <x:t xml:space="preserve">SRD 5.2.1</x:t>
        </x:is>
      </x:c>
    </x:row>
    <x:row r="238" ht="18" customHeight="1">
      <x:c r="A238" s="2" t="inlineStr">
        <x:is>
          <x:t xml:space="preserve">Druid</x:t>
        </x:is>
      </x:c>
      <x:c r="B238" s="2" t="inlineStr">
        <x:is>
          <x:t xml:space="preserve">4</x:t>
        </x:is>
      </x:c>
      <x:c r="C238" s="2" t="inlineStr">
        <x:is>
          <x:t xml:space="preserve">Giant Insect</x:t>
        </x:is>
      </x:c>
      <x:c r="D238" s="2" t="inlineStr">
        <x:is>
          <x:t xml:space="preserve">Conjuration</x:t>
        </x:is>
      </x:c>
      <x:c r="E238" s="2" t="inlineStr">
        <x:is>
          <x:t xml:space="preserve">From spell description class tags</x:t>
        </x:is>
      </x:c>
      <x:c r="F238" s="2" t="inlineStr">
        <x:is>
          <x:t xml:space="preserve">SRD 5.2.1</x:t>
        </x:is>
      </x:c>
    </x:row>
    <x:row r="239" ht="18" customHeight="1">
      <x:c r="A239" s="2" t="inlineStr">
        <x:is>
          <x:t xml:space="preserve">Druid</x:t>
        </x:is>
      </x:c>
      <x:c r="B239" s="2" t="inlineStr">
        <x:is>
          <x:t xml:space="preserve">4</x:t>
        </x:is>
      </x:c>
      <x:c r="C239" s="2" t="inlineStr">
        <x:is>
          <x:t xml:space="preserve">Hallucinatory Terrain</x:t>
        </x:is>
      </x:c>
      <x:c r="D239" s="2" t="inlineStr">
        <x:is>
          <x:t xml:space="preserve">Illusion</x:t>
        </x:is>
      </x:c>
      <x:c r="E239" s="2" t="inlineStr">
        <x:is>
          <x:t xml:space="preserve">From spell description class tags</x:t>
        </x:is>
      </x:c>
      <x:c r="F239" s="2" t="inlineStr">
        <x:is>
          <x:t xml:space="preserve">SRD 5.2.1</x:t>
        </x:is>
      </x:c>
    </x:row>
    <x:row r="240" ht="18" customHeight="1">
      <x:c r="A240" s="2" t="inlineStr">
        <x:is>
          <x:t xml:space="preserve">Druid</x:t>
        </x:is>
      </x:c>
      <x:c r="B240" s="2" t="inlineStr">
        <x:is>
          <x:t xml:space="preserve">4</x:t>
        </x:is>
      </x:c>
      <x:c r="C240" s="2" t="inlineStr">
        <x:is>
          <x:t xml:space="preserve">Ice Storm</x:t>
        </x:is>
      </x:c>
      <x:c r="D240" s="2" t="inlineStr">
        <x:is>
          <x:t xml:space="preserve">Evocation</x:t>
        </x:is>
      </x:c>
      <x:c r="E240" s="2" t="inlineStr">
        <x:is>
          <x:t xml:space="preserve">From spell description class tags</x:t>
        </x:is>
      </x:c>
      <x:c r="F240" s="2" t="inlineStr">
        <x:is>
          <x:t xml:space="preserve">SRD 5.2.1</x:t>
        </x:is>
      </x:c>
    </x:row>
    <x:row r="241" ht="18" customHeight="1">
      <x:c r="A241" s="2" t="inlineStr">
        <x:is>
          <x:t xml:space="preserve">Druid</x:t>
        </x:is>
      </x:c>
      <x:c r="B241" s="2" t="inlineStr">
        <x:is>
          <x:t xml:space="preserve">4</x:t>
        </x:is>
      </x:c>
      <x:c r="C241" s="2" t="inlineStr">
        <x:is>
          <x:t xml:space="preserve">Polymorph</x:t>
        </x:is>
      </x:c>
      <x:c r="D241" s="2" t="inlineStr">
        <x:is>
          <x:t xml:space="preserve">Transmutation</x:t>
        </x:is>
      </x:c>
      <x:c r="E241" s="2" t="inlineStr">
        <x:is>
          <x:t xml:space="preserve">From spell description class tags</x:t>
        </x:is>
      </x:c>
      <x:c r="F241" s="2" t="inlineStr">
        <x:is>
          <x:t xml:space="preserve">SRD 5.2.1</x:t>
        </x:is>
      </x:c>
    </x:row>
    <x:row r="242" ht="18" customHeight="1">
      <x:c r="A242" s="2" t="inlineStr">
        <x:is>
          <x:t xml:space="preserve">Druid</x:t>
        </x:is>
      </x:c>
      <x:c r="B242" s="2" t="inlineStr">
        <x:is>
          <x:t xml:space="preserve">4</x:t>
        </x:is>
      </x:c>
      <x:c r="C242" s="2" t="inlineStr">
        <x:is>
          <x:t xml:space="preserve">Stone Shape</x:t>
        </x:is>
      </x:c>
      <x:c r="D242" s="2" t="inlineStr">
        <x:is>
          <x:t xml:space="preserve">Transmutation</x:t>
        </x:is>
      </x:c>
      <x:c r="E242" s="2" t="inlineStr">
        <x:is>
          <x:t xml:space="preserve">From spell description class tags</x:t>
        </x:is>
      </x:c>
      <x:c r="F242" s="2" t="inlineStr">
        <x:is>
          <x:t xml:space="preserve">SRD 5.2.1</x:t>
        </x:is>
      </x:c>
    </x:row>
    <x:row r="243" ht="18" customHeight="1">
      <x:c r="A243" s="2" t="inlineStr">
        <x:is>
          <x:t xml:space="preserve">Druid</x:t>
        </x:is>
      </x:c>
      <x:c r="B243" s="2" t="inlineStr">
        <x:is>
          <x:t xml:space="preserve">4</x:t>
        </x:is>
      </x:c>
      <x:c r="C243" s="2" t="inlineStr">
        <x:is>
          <x:t xml:space="preserve">Wall of Fire</x:t>
        </x:is>
      </x:c>
      <x:c r="D243" s="2" t="inlineStr">
        <x:is>
          <x:t xml:space="preserve">Evocation</x:t>
        </x:is>
      </x:c>
      <x:c r="E243" s="2" t="inlineStr">
        <x:is>
          <x:t xml:space="preserve">From spell description class tags</x:t>
        </x:is>
      </x:c>
      <x:c r="F243" s="2" t="inlineStr">
        <x:is>
          <x:t xml:space="preserve">SRD 5.2.1</x:t>
        </x:is>
      </x:c>
    </x:row>
    <x:row r="244" ht="18" customHeight="1">
      <x:c r="A244" s="2" t="inlineStr">
        <x:is>
          <x:t xml:space="preserve">Druid</x:t>
        </x:is>
      </x:c>
      <x:c r="B244" s="2" t="inlineStr">
        <x:is>
          <x:t xml:space="preserve">5</x:t>
        </x:is>
      </x:c>
      <x:c r="C244" s="2" t="inlineStr">
        <x:is>
          <x:t xml:space="preserve">Antilife Shell</x:t>
        </x:is>
      </x:c>
      <x:c r="D244" s="2" t="inlineStr">
        <x:is>
          <x:t xml:space="preserve">Abjuration</x:t>
        </x:is>
      </x:c>
      <x:c r="E244" s="2" t="inlineStr">
        <x:is>
          <x:t xml:space="preserve">From spell description class tags</x:t>
        </x:is>
      </x:c>
      <x:c r="F244" s="2" t="inlineStr">
        <x:is>
          <x:t xml:space="preserve">SRD 5.2.1</x:t>
        </x:is>
      </x:c>
    </x:row>
    <x:row r="245" ht="18" customHeight="1">
      <x:c r="A245" s="2" t="inlineStr">
        <x:is>
          <x:t xml:space="preserve">Druid</x:t>
        </x:is>
      </x:c>
      <x:c r="B245" s="2" t="inlineStr">
        <x:is>
          <x:t xml:space="preserve">5</x:t>
        </x:is>
      </x:c>
      <x:c r="C245" s="2" t="inlineStr">
        <x:is>
          <x:t xml:space="preserve">Awaken</x:t>
        </x:is>
      </x:c>
      <x:c r="D245" s="2" t="inlineStr">
        <x:is>
          <x:t xml:space="preserve">Transmutation</x:t>
        </x:is>
      </x:c>
      <x:c r="E245" s="2" t="inlineStr">
        <x:is>
          <x:t xml:space="preserve">From spell description class tags</x:t>
        </x:is>
      </x:c>
      <x:c r="F245" s="2" t="inlineStr">
        <x:is>
          <x:t xml:space="preserve">SRD 5.2.1</x:t>
        </x:is>
      </x:c>
    </x:row>
    <x:row r="246" ht="18" customHeight="1">
      <x:c r="A246" s="2" t="inlineStr">
        <x:is>
          <x:t xml:space="preserve">Druid</x:t>
        </x:is>
      </x:c>
      <x:c r="B246" s="2" t="inlineStr">
        <x:is>
          <x:t xml:space="preserve">5</x:t>
        </x:is>
      </x:c>
      <x:c r="C246" s="2" t="inlineStr">
        <x:is>
          <x:t xml:space="preserve">Commune with Nature</x:t>
        </x:is>
      </x:c>
      <x:c r="D246" s="2" t="inlineStr">
        <x:is>
          <x:t xml:space="preserve">Divination</x:t>
        </x:is>
      </x:c>
      <x:c r="E246" s="2" t="inlineStr">
        <x:is>
          <x:t xml:space="preserve">From spell description class tags</x:t>
        </x:is>
      </x:c>
      <x:c r="F246" s="2" t="inlineStr">
        <x:is>
          <x:t xml:space="preserve">SRD 5.2.1</x:t>
        </x:is>
      </x:c>
    </x:row>
    <x:row r="247" ht="18" customHeight="1">
      <x:c r="A247" s="2" t="inlineStr">
        <x:is>
          <x:t xml:space="preserve">Druid</x:t>
        </x:is>
      </x:c>
      <x:c r="B247" s="2" t="inlineStr">
        <x:is>
          <x:t xml:space="preserve">5</x:t>
        </x:is>
      </x:c>
      <x:c r="C247" s="2" t="inlineStr">
        <x:is>
          <x:t xml:space="preserve">Cone of Cold</x:t>
        </x:is>
      </x:c>
      <x:c r="D247" s="2" t="inlineStr">
        <x:is>
          <x:t xml:space="preserve">Evocation</x:t>
        </x:is>
      </x:c>
      <x:c r="E247" s="2" t="inlineStr">
        <x:is>
          <x:t xml:space="preserve">From spell description class tags</x:t>
        </x:is>
      </x:c>
      <x:c r="F247" s="2" t="inlineStr">
        <x:is>
          <x:t xml:space="preserve">SRD 5.2.1</x:t>
        </x:is>
      </x:c>
    </x:row>
    <x:row r="248" ht="18" customHeight="1">
      <x:c r="A248" s="2" t="inlineStr">
        <x:is>
          <x:t xml:space="preserve">Druid</x:t>
        </x:is>
      </x:c>
      <x:c r="B248" s="2" t="inlineStr">
        <x:is>
          <x:t xml:space="preserve">5</x:t>
        </x:is>
      </x:c>
      <x:c r="C248" s="2" t="inlineStr">
        <x:is>
          <x:t xml:space="preserve">Conjure Elemental</x:t>
        </x:is>
      </x:c>
      <x:c r="D248" s="2" t="inlineStr">
        <x:is>
          <x:t xml:space="preserve">Conjuration</x:t>
        </x:is>
      </x:c>
      <x:c r="E248" s="2" t="inlineStr">
        <x:is>
          <x:t xml:space="preserve">From spell description class tags</x:t>
        </x:is>
      </x:c>
      <x:c r="F248" s="2" t="inlineStr">
        <x:is>
          <x:t xml:space="preserve">SRD 5.2.1</x:t>
        </x:is>
      </x:c>
    </x:row>
    <x:row r="249" ht="18" customHeight="1">
      <x:c r="A249" s="2" t="inlineStr">
        <x:is>
          <x:t xml:space="preserve">Druid</x:t>
        </x:is>
      </x:c>
      <x:c r="B249" s="2" t="inlineStr">
        <x:is>
          <x:t xml:space="preserve">5</x:t>
        </x:is>
      </x:c>
      <x:c r="C249" s="2" t="inlineStr">
        <x:is>
          <x:t xml:space="preserve">Contagion</x:t>
        </x:is>
      </x:c>
      <x:c r="D249" s="2" t="inlineStr">
        <x:is>
          <x:t xml:space="preserve">Necromancy</x:t>
        </x:is>
      </x:c>
      <x:c r="E249" s="2" t="inlineStr">
        <x:is>
          <x:t xml:space="preserve">From spell description class tags</x:t>
        </x:is>
      </x:c>
      <x:c r="F249" s="2" t="inlineStr">
        <x:is>
          <x:t xml:space="preserve">SRD 5.2.1</x:t>
        </x:is>
      </x:c>
    </x:row>
    <x:row r="250" ht="18" customHeight="1">
      <x:c r="A250" s="2" t="inlineStr">
        <x:is>
          <x:t xml:space="preserve">Druid</x:t>
        </x:is>
      </x:c>
      <x:c r="B250" s="2" t="inlineStr">
        <x:is>
          <x:t xml:space="preserve">5</x:t>
        </x:is>
      </x:c>
      <x:c r="C250" s="2" t="inlineStr">
        <x:is>
          <x:t xml:space="preserve">Insect Plague</x:t>
        </x:is>
      </x:c>
      <x:c r="D250" s="2" t="inlineStr">
        <x:is>
          <x:t xml:space="preserve">Conjuration</x:t>
        </x:is>
      </x:c>
      <x:c r="E250" s="2" t="inlineStr">
        <x:is>
          <x:t xml:space="preserve">From spell description class tags</x:t>
        </x:is>
      </x:c>
      <x:c r="F250" s="2" t="inlineStr">
        <x:is>
          <x:t xml:space="preserve">SRD 5.2.1</x:t>
        </x:is>
      </x:c>
    </x:row>
    <x:row r="251" ht="18" customHeight="1">
      <x:c r="A251" s="2" t="inlineStr">
        <x:is>
          <x:t xml:space="preserve">Druid</x:t>
        </x:is>
      </x:c>
      <x:c r="B251" s="2" t="inlineStr">
        <x:is>
          <x:t xml:space="preserve">5</x:t>
        </x:is>
      </x:c>
      <x:c r="C251" s="2" t="inlineStr">
        <x:is>
          <x:t xml:space="preserve">Mass Cure Wounds</x:t>
        </x:is>
      </x:c>
      <x:c r="D251" s="2" t="inlineStr">
        <x:is>
          <x:t xml:space="preserve">Abjuration</x:t>
        </x:is>
      </x:c>
      <x:c r="E251" s="2" t="inlineStr">
        <x:is>
          <x:t xml:space="preserve">From spell description class tags</x:t>
        </x:is>
      </x:c>
      <x:c r="F251" s="2" t="inlineStr">
        <x:is>
          <x:t xml:space="preserve">SRD 5.2.1</x:t>
        </x:is>
      </x:c>
    </x:row>
    <x:row r="252" ht="18" customHeight="1">
      <x:c r="A252" s="2" t="inlineStr">
        <x:is>
          <x:t xml:space="preserve">Druid</x:t>
        </x:is>
      </x:c>
      <x:c r="B252" s="2" t="inlineStr">
        <x:is>
          <x:t xml:space="preserve">5</x:t>
        </x:is>
      </x:c>
      <x:c r="C252" s="2" t="inlineStr">
        <x:is>
          <x:t xml:space="preserve">Reincarnate</x:t>
        </x:is>
      </x:c>
      <x:c r="D252" s="2" t="inlineStr">
        <x:is>
          <x:t xml:space="preserve">Necromancy</x:t>
        </x:is>
      </x:c>
      <x:c r="E252" s="2" t="inlineStr">
        <x:is>
          <x:t xml:space="preserve">From spell description class tags</x:t>
        </x:is>
      </x:c>
      <x:c r="F252" s="2" t="inlineStr">
        <x:is>
          <x:t xml:space="preserve">SRD 5.2.1</x:t>
        </x:is>
      </x:c>
    </x:row>
    <x:row r="253" ht="18" customHeight="1">
      <x:c r="A253" s="2" t="inlineStr">
        <x:is>
          <x:t xml:space="preserve">Druid</x:t>
        </x:is>
      </x:c>
      <x:c r="B253" s="2" t="inlineStr">
        <x:is>
          <x:t xml:space="preserve">5</x:t>
        </x:is>
      </x:c>
      <x:c r="C253" s="2" t="inlineStr">
        <x:is>
          <x:t xml:space="preserve">Tree Stride</x:t>
        </x:is>
      </x:c>
      <x:c r="D253" s="2" t="inlineStr">
        <x:is>
          <x:t xml:space="preserve">Conjuration</x:t>
        </x:is>
      </x:c>
      <x:c r="E253" s="2" t="inlineStr">
        <x:is>
          <x:t xml:space="preserve">From spell description class tags</x:t>
        </x:is>
      </x:c>
      <x:c r="F253" s="2" t="inlineStr">
        <x:is>
          <x:t xml:space="preserve">SRD 5.2.1</x:t>
        </x:is>
      </x:c>
    </x:row>
    <x:row r="254" ht="18" customHeight="1">
      <x:c r="A254" s="2" t="inlineStr">
        <x:is>
          <x:t xml:space="preserve">Druid</x:t>
        </x:is>
      </x:c>
      <x:c r="B254" s="2" t="inlineStr">
        <x:is>
          <x:t xml:space="preserve">5</x:t>
        </x:is>
      </x:c>
      <x:c r="C254" s="2" t="inlineStr">
        <x:is>
          <x:t xml:space="preserve">Wall of Stone</x:t>
        </x:is>
      </x:c>
      <x:c r="D254" s="2" t="inlineStr">
        <x:is>
          <x:t xml:space="preserve">Evocation</x:t>
        </x:is>
      </x:c>
      <x:c r="E254" s="2" t="inlineStr">
        <x:is>
          <x:t xml:space="preserve">From spell description class tags</x:t>
        </x:is>
      </x:c>
      <x:c r="F254" s="2" t="inlineStr">
        <x:is>
          <x:t xml:space="preserve">SRD 5.2.1</x:t>
        </x:is>
      </x:c>
    </x:row>
    <x:row r="255" ht="18" customHeight="1">
      <x:c r="A255" s="2" t="inlineStr">
        <x:is>
          <x:t xml:space="preserve">Druid</x:t>
        </x:is>
      </x:c>
      <x:c r="B255" s="2" t="inlineStr">
        <x:is>
          <x:t xml:space="preserve">6</x:t>
        </x:is>
      </x:c>
      <x:c r="C255" s="2" t="inlineStr">
        <x:is>
          <x:t xml:space="preserve">Conjure Fey</x:t>
        </x:is>
      </x:c>
      <x:c r="D255" s="2" t="inlineStr">
        <x:is>
          <x:t xml:space="preserve">Conjuration</x:t>
        </x:is>
      </x:c>
      <x:c r="E255" s="2" t="inlineStr">
        <x:is>
          <x:t xml:space="preserve">From spell description class tags</x:t>
        </x:is>
      </x:c>
      <x:c r="F255" s="2" t="inlineStr">
        <x:is>
          <x:t xml:space="preserve">SRD 5.2.1</x:t>
        </x:is>
      </x:c>
    </x:row>
    <x:row r="256" ht="18" customHeight="1">
      <x:c r="A256" s="2" t="inlineStr">
        <x:is>
          <x:t xml:space="preserve">Druid</x:t>
        </x:is>
      </x:c>
      <x:c r="B256" s="2" t="inlineStr">
        <x:is>
          <x:t xml:space="preserve">6</x:t>
        </x:is>
      </x:c>
      <x:c r="C256" s="2" t="inlineStr">
        <x:is>
          <x:t xml:space="preserve">Find the Path</x:t>
        </x:is>
      </x:c>
      <x:c r="D256" s="2" t="inlineStr">
        <x:is>
          <x:t xml:space="preserve">Divination</x:t>
        </x:is>
      </x:c>
      <x:c r="E256" s="2" t="inlineStr">
        <x:is>
          <x:t xml:space="preserve">From spell description class tags</x:t>
        </x:is>
      </x:c>
      <x:c r="F256" s="2" t="inlineStr">
        <x:is>
          <x:t xml:space="preserve">SRD 5.2.1</x:t>
        </x:is>
      </x:c>
    </x:row>
    <x:row r="257" ht="18" customHeight="1">
      <x:c r="A257" s="2" t="inlineStr">
        <x:is>
          <x:t xml:space="preserve">Druid</x:t>
        </x:is>
      </x:c>
      <x:c r="B257" s="2" t="inlineStr">
        <x:is>
          <x:t xml:space="preserve">6</x:t>
        </x:is>
      </x:c>
      <x:c r="C257" s="2" t="inlineStr">
        <x:is>
          <x:t xml:space="preserve">Flesh to Stone</x:t>
        </x:is>
      </x:c>
      <x:c r="D257" s="2" t="inlineStr">
        <x:is>
          <x:t xml:space="preserve">Transmutation</x:t>
        </x:is>
      </x:c>
      <x:c r="E257" s="2" t="inlineStr">
        <x:is>
          <x:t xml:space="preserve">From spell description class tags</x:t>
        </x:is>
      </x:c>
      <x:c r="F257" s="2" t="inlineStr">
        <x:is>
          <x:t xml:space="preserve">SRD 5.2.1</x:t>
        </x:is>
      </x:c>
    </x:row>
    <x:row r="258" ht="18" customHeight="1">
      <x:c r="A258" s="2" t="inlineStr">
        <x:is>
          <x:t xml:space="preserve">Druid</x:t>
        </x:is>
      </x:c>
      <x:c r="B258" s="2" t="inlineStr">
        <x:is>
          <x:t xml:space="preserve">6</x:t>
        </x:is>
      </x:c>
      <x:c r="C258" s="2" t="inlineStr">
        <x:is>
          <x:t xml:space="preserve">Heal</x:t>
        </x:is>
      </x:c>
      <x:c r="D258" s="2" t="inlineStr">
        <x:is>
          <x:t xml:space="preserve">Abjuration</x:t>
        </x:is>
      </x:c>
      <x:c r="E258" s="2" t="inlineStr">
        <x:is>
          <x:t xml:space="preserve">From spell description class tags</x:t>
        </x:is>
      </x:c>
      <x:c r="F258" s="2" t="inlineStr">
        <x:is>
          <x:t xml:space="preserve">SRD 5.2.1</x:t>
        </x:is>
      </x:c>
    </x:row>
    <x:row r="259" ht="18" customHeight="1">
      <x:c r="A259" s="2" t="inlineStr">
        <x:is>
          <x:t xml:space="preserve">Druid</x:t>
        </x:is>
      </x:c>
      <x:c r="B259" s="2" t="inlineStr">
        <x:is>
          <x:t xml:space="preserve">6</x:t>
        </x:is>
      </x:c>
      <x:c r="C259" s="2" t="inlineStr">
        <x:is>
          <x:t xml:space="preserve">Heroes’ Feast</x:t>
        </x:is>
      </x:c>
      <x:c r="D259" s="2" t="inlineStr">
        <x:is>
          <x:t xml:space="preserve">Conjuration</x:t>
        </x:is>
      </x:c>
      <x:c r="E259" s="2" t="inlineStr">
        <x:is>
          <x:t xml:space="preserve">From spell description class tags</x:t>
        </x:is>
      </x:c>
      <x:c r="F259" s="2" t="inlineStr">
        <x:is>
          <x:t xml:space="preserve">SRD 5.2.1</x:t>
        </x:is>
      </x:c>
    </x:row>
    <x:row r="260" ht="18" customHeight="1">
      <x:c r="A260" s="2" t="inlineStr">
        <x:is>
          <x:t xml:space="preserve">Druid</x:t>
        </x:is>
      </x:c>
      <x:c r="B260" s="2" t="inlineStr">
        <x:is>
          <x:t xml:space="preserve">6</x:t>
        </x:is>
      </x:c>
      <x:c r="C260" s="2" t="inlineStr">
        <x:is>
          <x:t xml:space="preserve">Move Earth</x:t>
        </x:is>
      </x:c>
      <x:c r="D260" s="2" t="inlineStr">
        <x:is>
          <x:t xml:space="preserve">Transmutation</x:t>
        </x:is>
      </x:c>
      <x:c r="E260" s="2" t="inlineStr">
        <x:is>
          <x:t xml:space="preserve">From spell description class tags</x:t>
        </x:is>
      </x:c>
      <x:c r="F260" s="2" t="inlineStr">
        <x:is>
          <x:t xml:space="preserve">SRD 5.2.1</x:t>
        </x:is>
      </x:c>
    </x:row>
    <x:row r="261" ht="18" customHeight="1">
      <x:c r="A261" s="2" t="inlineStr">
        <x:is>
          <x:t xml:space="preserve">Druid</x:t>
        </x:is>
      </x:c>
      <x:c r="B261" s="2" t="inlineStr">
        <x:is>
          <x:t xml:space="preserve">6</x:t>
        </x:is>
      </x:c>
      <x:c r="C261" s="2" t="inlineStr">
        <x:is>
          <x:t xml:space="preserve">Sunbeam</x:t>
        </x:is>
      </x:c>
      <x:c r="D261" s="2" t="inlineStr">
        <x:is>
          <x:t xml:space="preserve">Evocation</x:t>
        </x:is>
      </x:c>
      <x:c r="E261" s="2" t="inlineStr">
        <x:is>
          <x:t xml:space="preserve">From spell description class tags</x:t>
        </x:is>
      </x:c>
      <x:c r="F261" s="2" t="inlineStr">
        <x:is>
          <x:t xml:space="preserve">SRD 5.2.1</x:t>
        </x:is>
      </x:c>
    </x:row>
    <x:row r="262" ht="18" customHeight="1">
      <x:c r="A262" s="2" t="inlineStr">
        <x:is>
          <x:t xml:space="preserve">Druid</x:t>
        </x:is>
      </x:c>
      <x:c r="B262" s="2" t="inlineStr">
        <x:is>
          <x:t xml:space="preserve">6</x:t>
        </x:is>
      </x:c>
      <x:c r="C262" s="2" t="inlineStr">
        <x:is>
          <x:t xml:space="preserve">Transport via Plants</x:t>
        </x:is>
      </x:c>
      <x:c r="D262" s="2" t="inlineStr">
        <x:is>
          <x:t xml:space="preserve">Conjuration</x:t>
        </x:is>
      </x:c>
      <x:c r="E262" s="2" t="inlineStr">
        <x:is>
          <x:t xml:space="preserve">From spell description class tags</x:t>
        </x:is>
      </x:c>
      <x:c r="F262" s="2" t="inlineStr">
        <x:is>
          <x:t xml:space="preserve">SRD 5.2.1</x:t>
        </x:is>
      </x:c>
    </x:row>
    <x:row r="263" ht="18" customHeight="1">
      <x:c r="A263" s="2" t="inlineStr">
        <x:is>
          <x:t xml:space="preserve">Druid</x:t>
        </x:is>
      </x:c>
      <x:c r="B263" s="2" t="inlineStr">
        <x:is>
          <x:t xml:space="preserve">6</x:t>
        </x:is>
      </x:c>
      <x:c r="C263" s="2" t="inlineStr">
        <x:is>
          <x:t xml:space="preserve">Wall of Thorns</x:t>
        </x:is>
      </x:c>
      <x:c r="D263" s="2" t="inlineStr">
        <x:is>
          <x:t xml:space="preserve">Conjuration</x:t>
        </x:is>
      </x:c>
      <x:c r="E263" s="2" t="inlineStr">
        <x:is>
          <x:t xml:space="preserve">From spell description class tags</x:t>
        </x:is>
      </x:c>
      <x:c r="F263" s="2" t="inlineStr">
        <x:is>
          <x:t xml:space="preserve">SRD 5.2.1</x:t>
        </x:is>
      </x:c>
    </x:row>
    <x:row r="264" ht="18" customHeight="1">
      <x:c r="A264" s="2" t="inlineStr">
        <x:is>
          <x:t xml:space="preserve">Druid</x:t>
        </x:is>
      </x:c>
      <x:c r="B264" s="2" t="inlineStr">
        <x:is>
          <x:t xml:space="preserve">6</x:t>
        </x:is>
      </x:c>
      <x:c r="C264" s="2" t="inlineStr">
        <x:is>
          <x:t xml:space="preserve">Wind Walk</x:t>
        </x:is>
      </x:c>
      <x:c r="D264" s="2" t="inlineStr">
        <x:is>
          <x:t xml:space="preserve">Transmutation</x:t>
        </x:is>
      </x:c>
      <x:c r="E264" s="2" t="inlineStr">
        <x:is>
          <x:t xml:space="preserve">From spell description class tags</x:t>
        </x:is>
      </x:c>
      <x:c r="F264" s="2" t="inlineStr">
        <x:is>
          <x:t xml:space="preserve">SRD 5.2.1</x:t>
        </x:is>
      </x:c>
    </x:row>
    <x:row r="265" ht="18" customHeight="1">
      <x:c r="A265" s="2" t="inlineStr">
        <x:is>
          <x:t xml:space="preserve">Druid</x:t>
        </x:is>
      </x:c>
      <x:c r="B265" s="2" t="inlineStr">
        <x:is>
          <x:t xml:space="preserve">7</x:t>
        </x:is>
      </x:c>
      <x:c r="C265" s="2" t="inlineStr">
        <x:is>
          <x:t xml:space="preserve">Fire Storm</x:t>
        </x:is>
      </x:c>
      <x:c r="D265" s="2" t="inlineStr">
        <x:is>
          <x:t xml:space="preserve">Evocation</x:t>
        </x:is>
      </x:c>
      <x:c r="E265" s="2" t="inlineStr">
        <x:is>
          <x:t xml:space="preserve">From spell description class tags</x:t>
        </x:is>
      </x:c>
      <x:c r="F265" s="2" t="inlineStr">
        <x:is>
          <x:t xml:space="preserve">SRD 5.2.1</x:t>
        </x:is>
      </x:c>
    </x:row>
    <x:row r="266" ht="18" customHeight="1">
      <x:c r="A266" s="2" t="inlineStr">
        <x:is>
          <x:t xml:space="preserve">Druid</x:t>
        </x:is>
      </x:c>
      <x:c r="B266" s="2" t="inlineStr">
        <x:is>
          <x:t xml:space="preserve">7</x:t>
        </x:is>
      </x:c>
      <x:c r="C266" s="2" t="inlineStr">
        <x:is>
          <x:t xml:space="preserve">Mirage Arcane</x:t>
        </x:is>
      </x:c>
      <x:c r="D266" s="2" t="inlineStr">
        <x:is>
          <x:t xml:space="preserve">Illusion</x:t>
        </x:is>
      </x:c>
      <x:c r="E266" s="2" t="inlineStr">
        <x:is>
          <x:t xml:space="preserve">From spell description class tags</x:t>
        </x:is>
      </x:c>
      <x:c r="F266" s="2" t="inlineStr">
        <x:is>
          <x:t xml:space="preserve">SRD 5.2.1</x:t>
        </x:is>
      </x:c>
    </x:row>
    <x:row r="267" ht="18" customHeight="1">
      <x:c r="A267" s="2" t="inlineStr">
        <x:is>
          <x:t xml:space="preserve">Druid</x:t>
        </x:is>
      </x:c>
      <x:c r="B267" s="2" t="inlineStr">
        <x:is>
          <x:t xml:space="preserve">7</x:t>
        </x:is>
      </x:c>
      <x:c r="C267" s="2" t="inlineStr">
        <x:is>
          <x:t xml:space="preserve">Regenerate</x:t>
        </x:is>
      </x:c>
      <x:c r="D267" s="2" t="inlineStr">
        <x:is>
          <x:t xml:space="preserve">Transmutation</x:t>
        </x:is>
      </x:c>
      <x:c r="E267" s="2" t="inlineStr">
        <x:is>
          <x:t xml:space="preserve">From spell description class tags</x:t>
        </x:is>
      </x:c>
      <x:c r="F267" s="2" t="inlineStr">
        <x:is>
          <x:t xml:space="preserve">SRD 5.2.1</x:t>
        </x:is>
      </x:c>
    </x:row>
    <x:row r="268" ht="18" customHeight="1">
      <x:c r="A268" s="2" t="inlineStr">
        <x:is>
          <x:t xml:space="preserve">Druid</x:t>
        </x:is>
      </x:c>
      <x:c r="B268" s="2" t="inlineStr">
        <x:is>
          <x:t xml:space="preserve">7</x:t>
        </x:is>
      </x:c>
      <x:c r="C268" s="2" t="inlineStr">
        <x:is>
          <x:t xml:space="preserve">Reverse Gravity</x:t>
        </x:is>
      </x:c>
      <x:c r="D268" s="2" t="inlineStr">
        <x:is>
          <x:t xml:space="preserve">Transmutation</x:t>
        </x:is>
      </x:c>
      <x:c r="E268" s="2" t="inlineStr">
        <x:is>
          <x:t xml:space="preserve">From spell description class tags</x:t>
        </x:is>
      </x:c>
      <x:c r="F268" s="2" t="inlineStr">
        <x:is>
          <x:t xml:space="preserve">SRD 5.2.1</x:t>
        </x:is>
      </x:c>
    </x:row>
    <x:row r="269" ht="18" customHeight="1">
      <x:c r="A269" s="2" t="inlineStr">
        <x:is>
          <x:t xml:space="preserve">Druid</x:t>
        </x:is>
      </x:c>
      <x:c r="B269" s="2" t="inlineStr">
        <x:is>
          <x:t xml:space="preserve">7</x:t>
        </x:is>
      </x:c>
      <x:c r="C269" s="2" t="inlineStr">
        <x:is>
          <x:t xml:space="preserve">Symbol</x:t>
        </x:is>
      </x:c>
      <x:c r="D269" s="2" t="inlineStr">
        <x:is>
          <x:t xml:space="preserve">Abjuration</x:t>
        </x:is>
      </x:c>
      <x:c r="E269" s="2" t="inlineStr">
        <x:is>
          <x:t xml:space="preserve">From spell description class tags</x:t>
        </x:is>
      </x:c>
      <x:c r="F269" s="2" t="inlineStr">
        <x:is>
          <x:t xml:space="preserve">SRD 5.2.1</x:t>
        </x:is>
      </x:c>
    </x:row>
    <x:row r="270" ht="18" customHeight="1">
      <x:c r="A270" s="2" t="inlineStr">
        <x:is>
          <x:t xml:space="preserve">Druid</x:t>
        </x:is>
      </x:c>
      <x:c r="B270" s="2" t="inlineStr">
        <x:is>
          <x:t xml:space="preserve">8</x:t>
        </x:is>
      </x:c>
      <x:c r="C270" s="2" t="inlineStr">
        <x:is>
          <x:t xml:space="preserve">Animal Shapes</x:t>
        </x:is>
      </x:c>
      <x:c r="D270" s="2" t="inlineStr">
        <x:is>
          <x:t xml:space="preserve">Transmutation</x:t>
        </x:is>
      </x:c>
      <x:c r="E270" s="2" t="inlineStr">
        <x:is>
          <x:t xml:space="preserve">From spell description class tags</x:t>
        </x:is>
      </x:c>
      <x:c r="F270" s="2" t="inlineStr">
        <x:is>
          <x:t xml:space="preserve">SRD 5.2.1</x:t>
        </x:is>
      </x:c>
    </x:row>
    <x:row r="271" ht="18" customHeight="1">
      <x:c r="A271" s="2" t="inlineStr">
        <x:is>
          <x:t xml:space="preserve">Druid</x:t>
        </x:is>
      </x:c>
      <x:c r="B271" s="2" t="inlineStr">
        <x:is>
          <x:t xml:space="preserve">8</x:t>
        </x:is>
      </x:c>
      <x:c r="C271" s="2" t="inlineStr">
        <x:is>
          <x:t xml:space="preserve">Antipathy/Sympathy</x:t>
        </x:is>
      </x:c>
      <x:c r="D271" s="2" t="inlineStr">
        <x:is>
          <x:t xml:space="preserve">Enchantment</x:t>
        </x:is>
      </x:c>
      <x:c r="E271" s="2" t="inlineStr">
        <x:is>
          <x:t xml:space="preserve">From spell description class tags</x:t>
        </x:is>
      </x:c>
      <x:c r="F271" s="2" t="inlineStr">
        <x:is>
          <x:t xml:space="preserve">SRD 5.2.1</x:t>
        </x:is>
      </x:c>
    </x:row>
    <x:row r="272" ht="18" customHeight="1">
      <x:c r="A272" s="2" t="inlineStr">
        <x:is>
          <x:t xml:space="preserve">Druid</x:t>
        </x:is>
      </x:c>
      <x:c r="B272" s="2" t="inlineStr">
        <x:is>
          <x:t xml:space="preserve">8</x:t>
        </x:is>
      </x:c>
      <x:c r="C272" s="2" t="inlineStr">
        <x:is>
          <x:t xml:space="preserve">Befuddlement</x:t>
        </x:is>
      </x:c>
      <x:c r="D272" s="2" t="inlineStr">
        <x:is>
          <x:t xml:space="preserve">Enchantment</x:t>
        </x:is>
      </x:c>
      <x:c r="E272" s="2" t="inlineStr">
        <x:is>
          <x:t xml:space="preserve">From spell description class tags</x:t>
        </x:is>
      </x:c>
      <x:c r="F272" s="2" t="inlineStr">
        <x:is>
          <x:t xml:space="preserve">SRD 5.2.1</x:t>
        </x:is>
      </x:c>
    </x:row>
    <x:row r="273" ht="18" customHeight="1">
      <x:c r="A273" s="2" t="inlineStr">
        <x:is>
          <x:t xml:space="preserve">Druid</x:t>
        </x:is>
      </x:c>
      <x:c r="B273" s="2" t="inlineStr">
        <x:is>
          <x:t xml:space="preserve">8</x:t>
        </x:is>
      </x:c>
      <x:c r="C273" s="2" t="inlineStr">
        <x:is>
          <x:t xml:space="preserve">Control Weather</x:t>
        </x:is>
      </x:c>
      <x:c r="D273" s="2" t="inlineStr">
        <x:is>
          <x:t xml:space="preserve">Transmutation</x:t>
        </x:is>
      </x:c>
      <x:c r="E273" s="2" t="inlineStr">
        <x:is>
          <x:t xml:space="preserve">From spell description class tags</x:t>
        </x:is>
      </x:c>
      <x:c r="F273" s="2" t="inlineStr">
        <x:is>
          <x:t xml:space="preserve">SRD 5.2.1</x:t>
        </x:is>
      </x:c>
    </x:row>
    <x:row r="274" ht="18" customHeight="1">
      <x:c r="A274" s="2" t="inlineStr">
        <x:is>
          <x:t xml:space="preserve">Druid</x:t>
        </x:is>
      </x:c>
      <x:c r="B274" s="2" t="inlineStr">
        <x:is>
          <x:t xml:space="preserve">8</x:t>
        </x:is>
      </x:c>
      <x:c r="C274" s="2" t="inlineStr">
        <x:is>
          <x:t xml:space="preserve">Earthquake</x:t>
        </x:is>
      </x:c>
      <x:c r="D274" s="2" t="inlineStr">
        <x:is>
          <x:t xml:space="preserve">Transmutation</x:t>
        </x:is>
      </x:c>
      <x:c r="E274" s="2" t="inlineStr">
        <x:is>
          <x:t xml:space="preserve">From spell description class tags</x:t>
        </x:is>
      </x:c>
      <x:c r="F274" s="2" t="inlineStr">
        <x:is>
          <x:t xml:space="preserve">SRD 5.2.1</x:t>
        </x:is>
      </x:c>
    </x:row>
    <x:row r="275" ht="18" customHeight="1">
      <x:c r="A275" s="2" t="inlineStr">
        <x:is>
          <x:t xml:space="preserve">Druid</x:t>
        </x:is>
      </x:c>
      <x:c r="B275" s="2" t="inlineStr">
        <x:is>
          <x:t xml:space="preserve">8</x:t>
        </x:is>
      </x:c>
      <x:c r="C275" s="2" t="inlineStr">
        <x:is>
          <x:t xml:space="preserve">Incendiary Cloud</x:t>
        </x:is>
      </x:c>
      <x:c r="D275" s="2" t="inlineStr">
        <x:is>
          <x:t xml:space="preserve">Conjuration</x:t>
        </x:is>
      </x:c>
      <x:c r="E275" s="2" t="inlineStr">
        <x:is>
          <x:t xml:space="preserve">From spell description class tags</x:t>
        </x:is>
      </x:c>
      <x:c r="F275" s="2" t="inlineStr">
        <x:is>
          <x:t xml:space="preserve">SRD 5.2.1</x:t>
        </x:is>
      </x:c>
    </x:row>
    <x:row r="276" ht="18" customHeight="1">
      <x:c r="A276" s="2" t="inlineStr">
        <x:is>
          <x:t xml:space="preserve">Druid</x:t>
        </x:is>
      </x:c>
      <x:c r="B276" s="2" t="inlineStr">
        <x:is>
          <x:t xml:space="preserve">8</x:t>
        </x:is>
      </x:c>
      <x:c r="C276" s="2" t="inlineStr">
        <x:is>
          <x:t xml:space="preserve">Sunburst</x:t>
        </x:is>
      </x:c>
      <x:c r="D276" s="2" t="inlineStr">
        <x:is>
          <x:t xml:space="preserve">Evocation</x:t>
        </x:is>
      </x:c>
      <x:c r="E276" s="2" t="inlineStr">
        <x:is>
          <x:t xml:space="preserve">From spell description class tags</x:t>
        </x:is>
      </x:c>
      <x:c r="F276" s="2" t="inlineStr">
        <x:is>
          <x:t xml:space="preserve">SRD 5.2.1</x:t>
        </x:is>
      </x:c>
    </x:row>
    <x:row r="277" ht="18" customHeight="1">
      <x:c r="A277" s="2" t="inlineStr">
        <x:is>
          <x:t xml:space="preserve">Druid</x:t>
        </x:is>
      </x:c>
      <x:c r="B277" s="2" t="inlineStr">
        <x:is>
          <x:t xml:space="preserve">8</x:t>
        </x:is>
      </x:c>
      <x:c r="C277" s="2" t="inlineStr">
        <x:is>
          <x:t xml:space="preserve">Tsunami</x:t>
        </x:is>
      </x:c>
      <x:c r="D277" s="2" t="inlineStr">
        <x:is>
          <x:t xml:space="preserve">Conjuration</x:t>
        </x:is>
      </x:c>
      <x:c r="E277" s="2" t="inlineStr">
        <x:is>
          <x:t xml:space="preserve">From spell description class tags</x:t>
        </x:is>
      </x:c>
      <x:c r="F277" s="2" t="inlineStr">
        <x:is>
          <x:t xml:space="preserve">SRD 5.2.1</x:t>
        </x:is>
      </x:c>
    </x:row>
    <x:row r="278" ht="18" customHeight="1">
      <x:c r="A278" s="2" t="inlineStr">
        <x:is>
          <x:t xml:space="preserve">Druid</x:t>
        </x:is>
      </x:c>
      <x:c r="B278" s="2" t="inlineStr">
        <x:is>
          <x:t xml:space="preserve">9</x:t>
        </x:is>
      </x:c>
      <x:c r="C278" s="2" t="inlineStr">
        <x:is>
          <x:t xml:space="preserve">Foresight</x:t>
        </x:is>
      </x:c>
      <x:c r="D278" s="2" t="inlineStr">
        <x:is>
          <x:t xml:space="preserve">Divination</x:t>
        </x:is>
      </x:c>
      <x:c r="E278" s="2" t="inlineStr">
        <x:is>
          <x:t xml:space="preserve">From spell description class tags</x:t>
        </x:is>
      </x:c>
      <x:c r="F278" s="2" t="inlineStr">
        <x:is>
          <x:t xml:space="preserve">SRD 5.2.1</x:t>
        </x:is>
      </x:c>
    </x:row>
    <x:row r="279" ht="18" customHeight="1">
      <x:c r="A279" s="2" t="inlineStr">
        <x:is>
          <x:t xml:space="preserve">Druid</x:t>
        </x:is>
      </x:c>
      <x:c r="B279" s="2" t="inlineStr">
        <x:is>
          <x:t xml:space="preserve">9</x:t>
        </x:is>
      </x:c>
      <x:c r="C279" s="2" t="inlineStr">
        <x:is>
          <x:t xml:space="preserve">Shapechange</x:t>
        </x:is>
      </x:c>
      <x:c r="D279" s="2" t="inlineStr">
        <x:is>
          <x:t xml:space="preserve">Transmutation</x:t>
        </x:is>
      </x:c>
      <x:c r="E279" s="2" t="inlineStr">
        <x:is>
          <x:t xml:space="preserve">From spell description class tags</x:t>
        </x:is>
      </x:c>
      <x:c r="F279" s="2" t="inlineStr">
        <x:is>
          <x:t xml:space="preserve">SRD 5.2.1</x:t>
        </x:is>
      </x:c>
    </x:row>
    <x:row r="280" ht="18" customHeight="1">
      <x:c r="A280" s="2" t="inlineStr">
        <x:is>
          <x:t xml:space="preserve">Druid</x:t>
        </x:is>
      </x:c>
      <x:c r="B280" s="2" t="inlineStr">
        <x:is>
          <x:t xml:space="preserve">9</x:t>
        </x:is>
      </x:c>
      <x:c r="C280" s="2" t="inlineStr">
        <x:is>
          <x:t xml:space="preserve">Storm of Vengeance</x:t>
        </x:is>
      </x:c>
      <x:c r="D280" s="2" t="inlineStr">
        <x:is>
          <x:t xml:space="preserve">Conjuration</x:t>
        </x:is>
      </x:c>
      <x:c r="E280" s="2" t="inlineStr">
        <x:is>
          <x:t xml:space="preserve">From spell description class tags</x:t>
        </x:is>
      </x:c>
      <x:c r="F280" s="2" t="inlineStr">
        <x:is>
          <x:t xml:space="preserve">SRD 5.2.1</x:t>
        </x:is>
      </x:c>
    </x:row>
    <x:row r="281" ht="18" customHeight="1">
      <x:c r="A281" s="2" t="inlineStr">
        <x:is>
          <x:t xml:space="preserve">Druid</x:t>
        </x:is>
      </x:c>
      <x:c r="B281" s="2" t="inlineStr">
        <x:is>
          <x:t xml:space="preserve">9</x:t>
        </x:is>
      </x:c>
      <x:c r="C281" s="2" t="inlineStr">
        <x:is>
          <x:t xml:space="preserve">True Resurrection</x:t>
        </x:is>
      </x:c>
      <x:c r="D281" s="2" t="inlineStr">
        <x:is>
          <x:t xml:space="preserve">Necromancy</x:t>
        </x:is>
      </x:c>
      <x:c r="E281" s="2" t="inlineStr">
        <x:is>
          <x:t xml:space="preserve">From spell description class tags</x:t>
        </x:is>
      </x:c>
      <x:c r="F281" s="2" t="inlineStr">
        <x:is>
          <x:t xml:space="preserve">SRD 5.2.1</x:t>
        </x:is>
      </x:c>
    </x:row>
    <x:row r="282" ht="18" customHeight="1">
      <x:c r="A282" s="2" t="inlineStr">
        <x:is>
          <x:t xml:space="preserve">Druid</x:t>
        </x:is>
      </x:c>
      <x:c r="B282" s="2" t="inlineStr">
        <x:is>
          <x:t xml:space="preserve">Cantrip</x:t>
        </x:is>
      </x:c>
      <x:c r="C282" s="2" t="inlineStr">
        <x:is>
          <x:t xml:space="preserve">Druidcraft</x:t>
        </x:is>
      </x:c>
      <x:c r="D282" s="2" t="inlineStr">
        <x:is>
          <x:t xml:space="preserve">Transmutation</x:t>
        </x:is>
      </x:c>
      <x:c r="E282" s="2" t="inlineStr">
        <x:is>
          <x:t xml:space="preserve">From spell description class tags</x:t>
        </x:is>
      </x:c>
      <x:c r="F282" s="2" t="inlineStr">
        <x:is>
          <x:t xml:space="preserve">SRD 5.2.1</x:t>
        </x:is>
      </x:c>
    </x:row>
    <x:row r="283" ht="18" customHeight="1">
      <x:c r="A283" s="2" t="inlineStr">
        <x:is>
          <x:t xml:space="preserve">Druid</x:t>
        </x:is>
      </x:c>
      <x:c r="B283" s="2" t="inlineStr">
        <x:is>
          <x:t xml:space="preserve">Cantrip</x:t>
        </x:is>
      </x:c>
      <x:c r="C283" s="2" t="inlineStr">
        <x:is>
          <x:t xml:space="preserve">Elementalism</x:t>
        </x:is>
      </x:c>
      <x:c r="D283" s="2" t="inlineStr">
        <x:is>
          <x:t xml:space="preserve">Transmutation</x:t>
        </x:is>
      </x:c>
      <x:c r="E283" s="2" t="inlineStr">
        <x:is>
          <x:t xml:space="preserve">From spell description class tags</x:t>
        </x:is>
      </x:c>
      <x:c r="F283" s="2" t="inlineStr">
        <x:is>
          <x:t xml:space="preserve">SRD 5.2.1</x:t>
        </x:is>
      </x:c>
    </x:row>
    <x:row r="284" ht="18" customHeight="1">
      <x:c r="A284" s="2" t="inlineStr">
        <x:is>
          <x:t xml:space="preserve">Druid</x:t>
        </x:is>
      </x:c>
      <x:c r="B284" s="2" t="inlineStr">
        <x:is>
          <x:t xml:space="preserve">Cantrip</x:t>
        </x:is>
      </x:c>
      <x:c r="C284" s="2" t="inlineStr">
        <x:is>
          <x:t xml:space="preserve">Guidance</x:t>
        </x:is>
      </x:c>
      <x:c r="D284" s="2" t="inlineStr">
        <x:is>
          <x:t xml:space="preserve">Divination</x:t>
        </x:is>
      </x:c>
      <x:c r="E284" s="2" t="inlineStr">
        <x:is>
          <x:t xml:space="preserve">From spell description class tags</x:t>
        </x:is>
      </x:c>
      <x:c r="F284" s="2" t="inlineStr">
        <x:is>
          <x:t xml:space="preserve">SRD 5.2.1</x:t>
        </x:is>
      </x:c>
    </x:row>
    <x:row r="285" ht="18" customHeight="1">
      <x:c r="A285" s="2" t="inlineStr">
        <x:is>
          <x:t xml:space="preserve">Druid</x:t>
        </x:is>
      </x:c>
      <x:c r="B285" s="2" t="inlineStr">
        <x:is>
          <x:t xml:space="preserve">Cantrip</x:t>
        </x:is>
      </x:c>
      <x:c r="C285" s="2" t="inlineStr">
        <x:is>
          <x:t xml:space="preserve">Produce Flame</x:t>
        </x:is>
      </x:c>
      <x:c r="D285" s="2" t="inlineStr">
        <x:is>
          <x:t xml:space="preserve">Conjuration</x:t>
        </x:is>
      </x:c>
      <x:c r="E285" s="2" t="inlineStr">
        <x:is>
          <x:t xml:space="preserve">From spell description class tags</x:t>
        </x:is>
      </x:c>
      <x:c r="F285" s="2" t="inlineStr">
        <x:is>
          <x:t xml:space="preserve">SRD 5.2.1</x:t>
        </x:is>
      </x:c>
    </x:row>
    <x:row r="286" ht="18" customHeight="1">
      <x:c r="A286" s="2" t="inlineStr">
        <x:is>
          <x:t xml:space="preserve">Druid</x:t>
        </x:is>
      </x:c>
      <x:c r="B286" s="2" t="inlineStr">
        <x:is>
          <x:t xml:space="preserve">Cantrip</x:t>
        </x:is>
      </x:c>
      <x:c r="C286" s="2" t="inlineStr">
        <x:is>
          <x:t xml:space="preserve">Resistance</x:t>
        </x:is>
      </x:c>
      <x:c r="D286" s="2" t="inlineStr">
        <x:is>
          <x:t xml:space="preserve">Abjuration</x:t>
        </x:is>
      </x:c>
      <x:c r="E286" s="2" t="inlineStr">
        <x:is>
          <x:t xml:space="preserve">From spell description class tags</x:t>
        </x:is>
      </x:c>
      <x:c r="F286" s="2" t="inlineStr">
        <x:is>
          <x:t xml:space="preserve">SRD 5.2.1</x:t>
        </x:is>
      </x:c>
    </x:row>
    <x:row r="287" ht="18" customHeight="1">
      <x:c r="A287" s="2" t="inlineStr">
        <x:is>
          <x:t xml:space="preserve">Druid</x:t>
        </x:is>
      </x:c>
      <x:c r="B287" s="2" t="inlineStr">
        <x:is>
          <x:t xml:space="preserve">Cantrip</x:t>
        </x:is>
      </x:c>
      <x:c r="C287" s="2" t="inlineStr">
        <x:is>
          <x:t xml:space="preserve">Shillelagh</x:t>
        </x:is>
      </x:c>
      <x:c r="D287" s="2" t="inlineStr">
        <x:is>
          <x:t xml:space="preserve">Transmutation</x:t>
        </x:is>
      </x:c>
      <x:c r="E287" s="2" t="inlineStr">
        <x:is>
          <x:t xml:space="preserve">From spell description class tags</x:t>
        </x:is>
      </x:c>
      <x:c r="F287" s="2" t="inlineStr">
        <x:is>
          <x:t xml:space="preserve">SRD 5.2.1</x:t>
        </x:is>
      </x:c>
    </x:row>
    <x:row r="288" ht="18" customHeight="1">
      <x:c r="A288" s="2" t="inlineStr">
        <x:is>
          <x:t xml:space="preserve">Druid</x:t>
        </x:is>
      </x:c>
      <x:c r="B288" s="2" t="inlineStr">
        <x:is>
          <x:t xml:space="preserve">Cantrip</x:t>
        </x:is>
      </x:c>
      <x:c r="C288" s="2" t="inlineStr">
        <x:is>
          <x:t xml:space="preserve">Spare the Dying</x:t>
        </x:is>
      </x:c>
      <x:c r="D288" s="2" t="inlineStr">
        <x:is>
          <x:t xml:space="preserve">Necromancy</x:t>
        </x:is>
      </x:c>
      <x:c r="E288" s="2" t="inlineStr">
        <x:is>
          <x:t xml:space="preserve">From spell description class tags</x:t>
        </x:is>
      </x:c>
      <x:c r="F288" s="2" t="inlineStr">
        <x:is>
          <x:t xml:space="preserve">SRD 5.2.1</x:t>
        </x:is>
      </x:c>
    </x:row>
    <x:row r="289" ht="18" customHeight="1">
      <x:c r="A289" s="2" t="inlineStr">
        <x:is>
          <x:t xml:space="preserve">Druid</x:t>
        </x:is>
      </x:c>
      <x:c r="B289" s="2" t="inlineStr">
        <x:is>
          <x:t xml:space="preserve">Cantrip</x:t>
        </x:is>
      </x:c>
      <x:c r="C289" s="2" t="inlineStr">
        <x:is>
          <x:t xml:space="preserve">Starry Wisp</x:t>
        </x:is>
      </x:c>
      <x:c r="D289" s="2" t="inlineStr">
        <x:is>
          <x:t xml:space="preserve">Evocation</x:t>
        </x:is>
      </x:c>
      <x:c r="E289" s="2" t="inlineStr">
        <x:is>
          <x:t xml:space="preserve">From spell description class tags</x:t>
        </x:is>
      </x:c>
      <x:c r="F289" s="2" t="inlineStr">
        <x:is>
          <x:t xml:space="preserve">SRD 5.2.1</x:t>
        </x:is>
      </x:c>
    </x:row>
    <x:row r="290" ht="18" customHeight="1">
      <x:c r="A290" s="2" t="inlineStr">
        <x:is>
          <x:t xml:space="preserve">Paladin</x:t>
        </x:is>
      </x:c>
      <x:c r="B290" s="2" t="inlineStr">
        <x:is>
          <x:t xml:space="preserve">1</x:t>
        </x:is>
      </x:c>
      <x:c r="C290" s="2" t="inlineStr">
        <x:is>
          <x:t xml:space="preserve">Bless</x:t>
        </x:is>
      </x:c>
      <x:c r="D290" s="2" t="inlineStr">
        <x:is>
          <x:t xml:space="preserve">Enchantment</x:t>
        </x:is>
      </x:c>
      <x:c r="E290" s="2" t="inlineStr">
        <x:is>
          <x:t xml:space="preserve">From spell description class tags</x:t>
        </x:is>
      </x:c>
      <x:c r="F290" s="2" t="inlineStr">
        <x:is>
          <x:t xml:space="preserve">SRD 5.2.1</x:t>
        </x:is>
      </x:c>
    </x:row>
    <x:row r="291" ht="18" customHeight="1">
      <x:c r="A291" s="2" t="inlineStr">
        <x:is>
          <x:t xml:space="preserve">Paladin</x:t>
        </x:is>
      </x:c>
      <x:c r="B291" s="2" t="inlineStr">
        <x:is>
          <x:t xml:space="preserve">1</x:t>
        </x:is>
      </x:c>
      <x:c r="C291" s="2" t="inlineStr">
        <x:is>
          <x:t xml:space="preserve">Command</x:t>
        </x:is>
      </x:c>
      <x:c r="D291" s="2" t="inlineStr">
        <x:is>
          <x:t xml:space="preserve">Enchantment</x:t>
        </x:is>
      </x:c>
      <x:c r="E291" s="2" t="inlineStr">
        <x:is>
          <x:t xml:space="preserve">From spell description class tags</x:t>
        </x:is>
      </x:c>
      <x:c r="F291" s="2" t="inlineStr">
        <x:is>
          <x:t xml:space="preserve">SRD 5.2.1</x:t>
        </x:is>
      </x:c>
    </x:row>
    <x:row r="292" ht="18" customHeight="1">
      <x:c r="A292" s="2" t="inlineStr">
        <x:is>
          <x:t xml:space="preserve">Paladin</x:t>
        </x:is>
      </x:c>
      <x:c r="B292" s="2" t="inlineStr">
        <x:is>
          <x:t xml:space="preserve">1</x:t>
        </x:is>
      </x:c>
      <x:c r="C292" s="2" t="inlineStr">
        <x:is>
          <x:t xml:space="preserve">Detect Evil and Good</x:t>
        </x:is>
      </x:c>
      <x:c r="D292" s="2" t="inlineStr">
        <x:is>
          <x:t xml:space="preserve">Divination</x:t>
        </x:is>
      </x:c>
      <x:c r="E292" s="2" t="inlineStr">
        <x:is>
          <x:t xml:space="preserve">From spell description class tags</x:t>
        </x:is>
      </x:c>
      <x:c r="F292" s="2" t="inlineStr">
        <x:is>
          <x:t xml:space="preserve">SRD 5.2.1</x:t>
        </x:is>
      </x:c>
    </x:row>
    <x:row r="293" ht="18" customHeight="1">
      <x:c r="A293" s="2" t="inlineStr">
        <x:is>
          <x:t xml:space="preserve">Paladin</x:t>
        </x:is>
      </x:c>
      <x:c r="B293" s="2" t="inlineStr">
        <x:is>
          <x:t xml:space="preserve">1</x:t>
        </x:is>
      </x:c>
      <x:c r="C293" s="2" t="inlineStr">
        <x:is>
          <x:t xml:space="preserve">Detect Poison and Disease</x:t>
        </x:is>
      </x:c>
      <x:c r="D293" s="2" t="inlineStr">
        <x:is>
          <x:t xml:space="preserve">Divination</x:t>
        </x:is>
      </x:c>
      <x:c r="E293" s="2" t="inlineStr">
        <x:is>
          <x:t xml:space="preserve">From spell description class tags</x:t>
        </x:is>
      </x:c>
      <x:c r="F293" s="2" t="inlineStr">
        <x:is>
          <x:t xml:space="preserve">SRD 5.2.1</x:t>
        </x:is>
      </x:c>
    </x:row>
    <x:row r="294" ht="18" customHeight="1">
      <x:c r="A294" s="2" t="inlineStr">
        <x:is>
          <x:t xml:space="preserve">Paladin</x:t>
        </x:is>
      </x:c>
      <x:c r="B294" s="2" t="inlineStr">
        <x:is>
          <x:t xml:space="preserve">1</x:t>
        </x:is>
      </x:c>
      <x:c r="C294" s="2" t="inlineStr">
        <x:is>
          <x:t xml:space="preserve">Divine Favor</x:t>
        </x:is>
      </x:c>
      <x:c r="D294" s="2" t="inlineStr">
        <x:is>
          <x:t xml:space="preserve">Transmutation</x:t>
        </x:is>
      </x:c>
      <x:c r="E294" s="2" t="inlineStr">
        <x:is>
          <x:t xml:space="preserve">From spell description class tags</x:t>
        </x:is>
      </x:c>
      <x:c r="F294" s="2" t="inlineStr">
        <x:is>
          <x:t xml:space="preserve">SRD 5.2.1</x:t>
        </x:is>
      </x:c>
    </x:row>
    <x:row r="295" ht="18" customHeight="1">
      <x:c r="A295" s="2" t="inlineStr">
        <x:is>
          <x:t xml:space="preserve">Paladin</x:t>
        </x:is>
      </x:c>
      <x:c r="B295" s="2" t="inlineStr">
        <x:is>
          <x:t xml:space="preserve">1</x:t>
        </x:is>
      </x:c>
      <x:c r="C295" s="2" t="inlineStr">
        <x:is>
          <x:t xml:space="preserve">Divine Smite</x:t>
        </x:is>
      </x:c>
      <x:c r="D295" s="2" t="inlineStr">
        <x:is>
          <x:t xml:space="preserve">Evocation</x:t>
        </x:is>
      </x:c>
      <x:c r="E295" s="2" t="inlineStr">
        <x:is>
          <x:t xml:space="preserve">From spell description class tags</x:t>
        </x:is>
      </x:c>
      <x:c r="F295" s="2" t="inlineStr">
        <x:is>
          <x:t xml:space="preserve">SRD 5.2.1</x:t>
        </x:is>
      </x:c>
    </x:row>
    <x:row r="296" ht="18" customHeight="1">
      <x:c r="A296" s="2" t="inlineStr">
        <x:is>
          <x:t xml:space="preserve">Paladin</x:t>
        </x:is>
      </x:c>
      <x:c r="B296" s="2" t="inlineStr">
        <x:is>
          <x:t xml:space="preserve">1</x:t>
        </x:is>
      </x:c>
      <x:c r="C296" s="2" t="inlineStr">
        <x:is>
          <x:t xml:space="preserve">Heroism</x:t>
        </x:is>
      </x:c>
      <x:c r="D296" s="2" t="inlineStr">
        <x:is>
          <x:t xml:space="preserve">Enchantment</x:t>
        </x:is>
      </x:c>
      <x:c r="E296" s="2" t="inlineStr">
        <x:is>
          <x:t xml:space="preserve">From spell description class tags</x:t>
        </x:is>
      </x:c>
      <x:c r="F296" s="2" t="inlineStr">
        <x:is>
          <x:t xml:space="preserve">SRD 5.2.1</x:t>
        </x:is>
      </x:c>
    </x:row>
    <x:row r="297" ht="18" customHeight="1">
      <x:c r="A297" s="2" t="inlineStr">
        <x:is>
          <x:t xml:space="preserve">Paladin</x:t>
        </x:is>
      </x:c>
      <x:c r="B297" s="2" t="inlineStr">
        <x:is>
          <x:t xml:space="preserve">1</x:t>
        </x:is>
      </x:c>
      <x:c r="C297" s="2" t="inlineStr">
        <x:is>
          <x:t xml:space="preserve">Purify Food and Drink</x:t>
        </x:is>
      </x:c>
      <x:c r="D297" s="2" t="inlineStr">
        <x:is>
          <x:t xml:space="preserve">Transmutation</x:t>
        </x:is>
      </x:c>
      <x:c r="E297" s="2" t="inlineStr">
        <x:is>
          <x:t xml:space="preserve">From spell description class tags</x:t>
        </x:is>
      </x:c>
      <x:c r="F297" s="2" t="inlineStr">
        <x:is>
          <x:t xml:space="preserve">SRD 5.2.1</x:t>
        </x:is>
      </x:c>
    </x:row>
    <x:row r="298" ht="18" customHeight="1">
      <x:c r="A298" s="2" t="inlineStr">
        <x:is>
          <x:t xml:space="preserve">Paladin</x:t>
        </x:is>
      </x:c>
      <x:c r="B298" s="2" t="inlineStr">
        <x:is>
          <x:t xml:space="preserve">1</x:t>
        </x:is>
      </x:c>
      <x:c r="C298" s="2" t="inlineStr">
        <x:is>
          <x:t xml:space="preserve">Searing Smite</x:t>
        </x:is>
      </x:c>
      <x:c r="D298" s="2" t="inlineStr">
        <x:is>
          <x:t xml:space="preserve">Evocation</x:t>
        </x:is>
      </x:c>
      <x:c r="E298" s="2" t="inlineStr">
        <x:is>
          <x:t xml:space="preserve">From spell description class tags</x:t>
        </x:is>
      </x:c>
      <x:c r="F298" s="2" t="inlineStr">
        <x:is>
          <x:t xml:space="preserve">SRD 5.2.1</x:t>
        </x:is>
      </x:c>
    </x:row>
    <x:row r="299" ht="18" customHeight="1">
      <x:c r="A299" s="2" t="inlineStr">
        <x:is>
          <x:t xml:space="preserve">Paladin</x:t>
        </x:is>
      </x:c>
      <x:c r="B299" s="2" t="inlineStr">
        <x:is>
          <x:t xml:space="preserve">1</x:t>
        </x:is>
      </x:c>
      <x:c r="C299" s="2" t="inlineStr">
        <x:is>
          <x:t xml:space="preserve">Shield of Faith</x:t>
        </x:is>
      </x:c>
      <x:c r="D299" s="2" t="inlineStr">
        <x:is>
          <x:t xml:space="preserve">Abjuration</x:t>
        </x:is>
      </x:c>
      <x:c r="E299" s="2" t="inlineStr">
        <x:is>
          <x:t xml:space="preserve">From spell description class tags</x:t>
        </x:is>
      </x:c>
      <x:c r="F299" s="2" t="inlineStr">
        <x:is>
          <x:t xml:space="preserve">SRD 5.2.1</x:t>
        </x:is>
      </x:c>
    </x:row>
    <x:row r="300" ht="18" customHeight="1">
      <x:c r="A300" s="2" t="inlineStr">
        <x:is>
          <x:t xml:space="preserve">Paladin</x:t>
        </x:is>
      </x:c>
      <x:c r="B300" s="2" t="inlineStr">
        <x:is>
          <x:t xml:space="preserve">2</x:t>
        </x:is>
      </x:c>
      <x:c r="C300" s="2" t="inlineStr">
        <x:is>
          <x:t xml:space="preserve">Find Steed</x:t>
        </x:is>
      </x:c>
      <x:c r="D300" s="2" t="inlineStr">
        <x:is>
          <x:t xml:space="preserve">Conjuration</x:t>
        </x:is>
      </x:c>
      <x:c r="E300" s="2" t="inlineStr">
        <x:is>
          <x:t xml:space="preserve">From spell description class tags</x:t>
        </x:is>
      </x:c>
      <x:c r="F300" s="2" t="inlineStr">
        <x:is>
          <x:t xml:space="preserve">SRD 5.2.1</x:t>
        </x:is>
      </x:c>
    </x:row>
    <x:row r="301" ht="18" customHeight="1">
      <x:c r="A301" s="2" t="inlineStr">
        <x:is>
          <x:t xml:space="preserve">Paladin</x:t>
        </x:is>
      </x:c>
      <x:c r="B301" s="2" t="inlineStr">
        <x:is>
          <x:t xml:space="preserve">2</x:t>
        </x:is>
      </x:c>
      <x:c r="C301" s="2" t="inlineStr">
        <x:is>
          <x:t xml:space="preserve">Gentle Repose</x:t>
        </x:is>
      </x:c>
      <x:c r="D301" s="2" t="inlineStr">
        <x:is>
          <x:t xml:space="preserve">Necromancy</x:t>
        </x:is>
      </x:c>
      <x:c r="E301" s="2" t="inlineStr">
        <x:is>
          <x:t xml:space="preserve">From spell description class tags</x:t>
        </x:is>
      </x:c>
      <x:c r="F301" s="2" t="inlineStr">
        <x:is>
          <x:t xml:space="preserve">SRD 5.2.1</x:t>
        </x:is>
      </x:c>
    </x:row>
    <x:row r="302" ht="18" customHeight="1">
      <x:c r="A302" s="2" t="inlineStr">
        <x:is>
          <x:t xml:space="preserve">Paladin</x:t>
        </x:is>
      </x:c>
      <x:c r="B302" s="2" t="inlineStr">
        <x:is>
          <x:t xml:space="preserve">2</x:t>
        </x:is>
      </x:c>
      <x:c r="C302" s="2" t="inlineStr">
        <x:is>
          <x:t xml:space="preserve">Prayer of Healing</x:t>
        </x:is>
      </x:c>
      <x:c r="D302" s="2" t="inlineStr">
        <x:is>
          <x:t xml:space="preserve">Abjuration</x:t>
        </x:is>
      </x:c>
      <x:c r="E302" s="2" t="inlineStr">
        <x:is>
          <x:t xml:space="preserve">From spell description class tags</x:t>
        </x:is>
      </x:c>
      <x:c r="F302" s="2" t="inlineStr">
        <x:is>
          <x:t xml:space="preserve">SRD 5.2.1</x:t>
        </x:is>
      </x:c>
    </x:row>
    <x:row r="303" ht="18" customHeight="1">
      <x:c r="A303" s="2" t="inlineStr">
        <x:is>
          <x:t xml:space="preserve">Paladin</x:t>
        </x:is>
      </x:c>
      <x:c r="B303" s="2" t="inlineStr">
        <x:is>
          <x:t xml:space="preserve">2</x:t>
        </x:is>
      </x:c>
      <x:c r="C303" s="2" t="inlineStr">
        <x:is>
          <x:t xml:space="preserve">Protection from Poison</x:t>
        </x:is>
      </x:c>
      <x:c r="D303" s="2" t="inlineStr">
        <x:is>
          <x:t xml:space="preserve">Abjuration</x:t>
        </x:is>
      </x:c>
      <x:c r="E303" s="2" t="inlineStr">
        <x:is>
          <x:t xml:space="preserve">From spell description class tags</x:t>
        </x:is>
      </x:c>
      <x:c r="F303" s="2" t="inlineStr">
        <x:is>
          <x:t xml:space="preserve">SRD 5.2.1</x:t>
        </x:is>
      </x:c>
    </x:row>
    <x:row r="304" ht="18" customHeight="1">
      <x:c r="A304" s="2" t="inlineStr">
        <x:is>
          <x:t xml:space="preserve">Paladin</x:t>
        </x:is>
      </x:c>
      <x:c r="B304" s="2" t="inlineStr">
        <x:is>
          <x:t xml:space="preserve">2</x:t>
        </x:is>
      </x:c>
      <x:c r="C304" s="2" t="inlineStr">
        <x:is>
          <x:t xml:space="preserve">Shining Smite</x:t>
        </x:is>
      </x:c>
      <x:c r="D304" s="2" t="inlineStr">
        <x:is>
          <x:t xml:space="preserve">Transmutation</x:t>
        </x:is>
      </x:c>
      <x:c r="E304" s="2" t="inlineStr">
        <x:is>
          <x:t xml:space="preserve">From spell description class tags</x:t>
        </x:is>
      </x:c>
      <x:c r="F304" s="2" t="inlineStr">
        <x:is>
          <x:t xml:space="preserve">SRD 5.2.1</x:t>
        </x:is>
      </x:c>
    </x:row>
    <x:row r="305" ht="18" customHeight="1">
      <x:c r="A305" s="2" t="inlineStr">
        <x:is>
          <x:t xml:space="preserve">Paladin</x:t>
        </x:is>
      </x:c>
      <x:c r="B305" s="2" t="inlineStr">
        <x:is>
          <x:t xml:space="preserve">2</x:t>
        </x:is>
      </x:c>
      <x:c r="C305" s="2" t="inlineStr">
        <x:is>
          <x:t xml:space="preserve">Warding Bond</x:t>
        </x:is>
      </x:c>
      <x:c r="D305" s="2" t="inlineStr">
        <x:is>
          <x:t xml:space="preserve">Abjuration</x:t>
        </x:is>
      </x:c>
      <x:c r="E305" s="2" t="inlineStr">
        <x:is>
          <x:t xml:space="preserve">From spell description class tags</x:t>
        </x:is>
      </x:c>
      <x:c r="F305" s="2" t="inlineStr">
        <x:is>
          <x:t xml:space="preserve">SRD 5.2.1</x:t>
        </x:is>
      </x:c>
    </x:row>
    <x:row r="306" ht="18" customHeight="1">
      <x:c r="A306" s="2" t="inlineStr">
        <x:is>
          <x:t xml:space="preserve">Paladin</x:t>
        </x:is>
      </x:c>
      <x:c r="B306" s="2" t="inlineStr">
        <x:is>
          <x:t xml:space="preserve">2</x:t>
        </x:is>
      </x:c>
      <x:c r="C306" s="2" t="inlineStr">
        <x:is>
          <x:t xml:space="preserve">Zone of Truth</x:t>
        </x:is>
      </x:c>
      <x:c r="D306" s="2" t="inlineStr">
        <x:is>
          <x:t xml:space="preserve">Enchantment</x:t>
        </x:is>
      </x:c>
      <x:c r="E306" s="2" t="inlineStr">
        <x:is>
          <x:t xml:space="preserve">From spell description class tags</x:t>
        </x:is>
      </x:c>
      <x:c r="F306" s="2" t="inlineStr">
        <x:is>
          <x:t xml:space="preserve">SRD 5.2.1</x:t>
        </x:is>
      </x:c>
    </x:row>
    <x:row r="307" ht="18" customHeight="1">
      <x:c r="A307" s="2" t="inlineStr">
        <x:is>
          <x:t xml:space="preserve">Paladin</x:t>
        </x:is>
      </x:c>
      <x:c r="B307" s="2" t="inlineStr">
        <x:is>
          <x:t xml:space="preserve">3</x:t>
        </x:is>
      </x:c>
      <x:c r="C307" s="2" t="inlineStr">
        <x:is>
          <x:t xml:space="preserve">Create Food and Water</x:t>
        </x:is>
      </x:c>
      <x:c r="D307" s="2" t="inlineStr">
        <x:is>
          <x:t xml:space="preserve">Conjuration</x:t>
        </x:is>
      </x:c>
      <x:c r="E307" s="2" t="inlineStr">
        <x:is>
          <x:t xml:space="preserve">From spell description class tags</x:t>
        </x:is>
      </x:c>
      <x:c r="F307" s="2" t="inlineStr">
        <x:is>
          <x:t xml:space="preserve">SRD 5.2.1</x:t>
        </x:is>
      </x:c>
    </x:row>
    <x:row r="308" ht="18" customHeight="1">
      <x:c r="A308" s="2" t="inlineStr">
        <x:is>
          <x:t xml:space="preserve">Paladin</x:t>
        </x:is>
      </x:c>
      <x:c r="B308" s="2" t="inlineStr">
        <x:is>
          <x:t xml:space="preserve">3</x:t>
        </x:is>
      </x:c>
      <x:c r="C308" s="2" t="inlineStr">
        <x:is>
          <x:t xml:space="preserve">Magic Circle</x:t>
        </x:is>
      </x:c>
      <x:c r="D308" s="2" t="inlineStr">
        <x:is>
          <x:t xml:space="preserve">Abjuration</x:t>
        </x:is>
      </x:c>
      <x:c r="E308" s="2" t="inlineStr">
        <x:is>
          <x:t xml:space="preserve">From spell description class tags</x:t>
        </x:is>
      </x:c>
      <x:c r="F308" s="2" t="inlineStr">
        <x:is>
          <x:t xml:space="preserve">SRD 5.2.1</x:t>
        </x:is>
      </x:c>
    </x:row>
    <x:row r="309" ht="18" customHeight="1">
      <x:c r="A309" s="2" t="inlineStr">
        <x:is>
          <x:t xml:space="preserve">Paladin</x:t>
        </x:is>
      </x:c>
      <x:c r="B309" s="2" t="inlineStr">
        <x:is>
          <x:t xml:space="preserve">3</x:t>
        </x:is>
      </x:c>
      <x:c r="C309" s="2" t="inlineStr">
        <x:is>
          <x:t xml:space="preserve">Remove Curse</x:t>
        </x:is>
      </x:c>
      <x:c r="D309" s="2" t="inlineStr">
        <x:is>
          <x:t xml:space="preserve">Abjuration</x:t>
        </x:is>
      </x:c>
      <x:c r="E309" s="2" t="inlineStr">
        <x:is>
          <x:t xml:space="preserve">From spell description class tags</x:t>
        </x:is>
      </x:c>
      <x:c r="F309" s="2" t="inlineStr">
        <x:is>
          <x:t xml:space="preserve">SRD 5.2.1</x:t>
        </x:is>
      </x:c>
    </x:row>
    <x:row r="310" ht="18" customHeight="1">
      <x:c r="A310" s="2" t="inlineStr">
        <x:is>
          <x:t xml:space="preserve">Paladin</x:t>
        </x:is>
      </x:c>
      <x:c r="B310" s="2" t="inlineStr">
        <x:is>
          <x:t xml:space="preserve">3</x:t>
        </x:is>
      </x:c>
      <x:c r="C310" s="2" t="inlineStr">
        <x:is>
          <x:t xml:space="preserve">Revivify</x:t>
        </x:is>
      </x:c>
      <x:c r="D310" s="2" t="inlineStr">
        <x:is>
          <x:t xml:space="preserve">Necromancy</x:t>
        </x:is>
      </x:c>
      <x:c r="E310" s="2" t="inlineStr">
        <x:is>
          <x:t xml:space="preserve">From spell description class tags</x:t>
        </x:is>
      </x:c>
      <x:c r="F310" s="2" t="inlineStr">
        <x:is>
          <x:t xml:space="preserve">SRD 5.2.1</x:t>
        </x:is>
      </x:c>
    </x:row>
    <x:row r="311" ht="18" customHeight="1">
      <x:c r="A311" s="2" t="inlineStr">
        <x:is>
          <x:t xml:space="preserve">Paladin</x:t>
        </x:is>
      </x:c>
      <x:c r="B311" s="2" t="inlineStr">
        <x:is>
          <x:t xml:space="preserve">4</x:t>
        </x:is>
      </x:c>
      <x:c r="C311" s="2" t="inlineStr">
        <x:is>
          <x:t xml:space="preserve">Aura of Life</x:t>
        </x:is>
      </x:c>
      <x:c r="D311" s="2" t="inlineStr">
        <x:is>
          <x:t xml:space="preserve">Abjuration</x:t>
        </x:is>
      </x:c>
      <x:c r="E311" s="2" t="inlineStr">
        <x:is>
          <x:t xml:space="preserve">From spell description class tags</x:t>
        </x:is>
      </x:c>
      <x:c r="F311" s="2" t="inlineStr">
        <x:is>
          <x:t xml:space="preserve">SRD 5.2.1</x:t>
        </x:is>
      </x:c>
    </x:row>
    <x:row r="312" ht="18" customHeight="1">
      <x:c r="A312" s="2" t="inlineStr">
        <x:is>
          <x:t xml:space="preserve">Paladin</x:t>
        </x:is>
      </x:c>
      <x:c r="B312" s="2" t="inlineStr">
        <x:is>
          <x:t xml:space="preserve">4</x:t>
        </x:is>
      </x:c>
      <x:c r="C312" s="2" t="inlineStr">
        <x:is>
          <x:t xml:space="preserve">Death Ward</x:t>
        </x:is>
      </x:c>
      <x:c r="D312" s="2" t="inlineStr">
        <x:is>
          <x:t xml:space="preserve">Abjuration</x:t>
        </x:is>
      </x:c>
      <x:c r="E312" s="2" t="inlineStr">
        <x:is>
          <x:t xml:space="preserve">From spell description class tags</x:t>
        </x:is>
      </x:c>
      <x:c r="F312" s="2" t="inlineStr">
        <x:is>
          <x:t xml:space="preserve">SRD 5.2.1</x:t>
        </x:is>
      </x:c>
    </x:row>
    <x:row r="313" ht="18" customHeight="1">
      <x:c r="A313" s="2" t="inlineStr">
        <x:is>
          <x:t xml:space="preserve">Paladin</x:t>
        </x:is>
      </x:c>
      <x:c r="B313" s="2" t="inlineStr">
        <x:is>
          <x:t xml:space="preserve">5</x:t>
        </x:is>
      </x:c>
      <x:c r="C313" s="2" t="inlineStr">
        <x:is>
          <x:t xml:space="preserve">Dispel Evil and Good</x:t>
        </x:is>
      </x:c>
      <x:c r="D313" s="2" t="inlineStr">
        <x:is>
          <x:t xml:space="preserve">Abjuration</x:t>
        </x:is>
      </x:c>
      <x:c r="E313" s="2" t="inlineStr">
        <x:is>
          <x:t xml:space="preserve">From spell description class tags</x:t>
        </x:is>
      </x:c>
      <x:c r="F313" s="2" t="inlineStr">
        <x:is>
          <x:t xml:space="preserve">SRD 5.2.1</x:t>
        </x:is>
      </x:c>
    </x:row>
    <x:row r="314" ht="18" customHeight="1">
      <x:c r="A314" s="2" t="inlineStr">
        <x:is>
          <x:t xml:space="preserve">Paladin</x:t>
        </x:is>
      </x:c>
      <x:c r="B314" s="2" t="inlineStr">
        <x:is>
          <x:t xml:space="preserve">5</x:t>
        </x:is>
      </x:c>
      <x:c r="C314" s="2" t="inlineStr">
        <x:is>
          <x:t xml:space="preserve">Raise Dead</x:t>
        </x:is>
      </x:c>
      <x:c r="D314" s="2" t="inlineStr">
        <x:is>
          <x:t xml:space="preserve">Necromancy</x:t>
        </x:is>
      </x:c>
      <x:c r="E314" s="2" t="inlineStr">
        <x:is>
          <x:t xml:space="preserve">From spell description class tags</x:t>
        </x:is>
      </x:c>
      <x:c r="F314" s="2" t="inlineStr">
        <x:is>
          <x:t xml:space="preserve">SRD 5.2.1</x:t>
        </x:is>
      </x:c>
    </x:row>
    <x:row r="315" ht="18" customHeight="1">
      <x:c r="A315" s="2" t="inlineStr">
        <x:is>
          <x:t xml:space="preserve">Ranger</x:t>
        </x:is>
      </x:c>
      <x:c r="B315" s="2" t="inlineStr">
        <x:is>
          <x:t xml:space="preserve">1</x:t>
        </x:is>
      </x:c>
      <x:c r="C315" s="2" t="inlineStr">
        <x:is>
          <x:t xml:space="preserve">Alarm</x:t>
        </x:is>
      </x:c>
      <x:c r="D315" s="2" t="inlineStr">
        <x:is>
          <x:t xml:space="preserve">Abjuration</x:t>
        </x:is>
      </x:c>
      <x:c r="E315" s="2" t="inlineStr">
        <x:is>
          <x:t xml:space="preserve">From spell description class tags</x:t>
        </x:is>
      </x:c>
      <x:c r="F315" s="2" t="inlineStr">
        <x:is>
          <x:t xml:space="preserve">SRD 5.2.1</x:t>
        </x:is>
      </x:c>
    </x:row>
    <x:row r="316" ht="18" customHeight="1">
      <x:c r="A316" s="2" t="inlineStr">
        <x:is>
          <x:t xml:space="preserve">Ranger</x:t>
        </x:is>
      </x:c>
      <x:c r="B316" s="2" t="inlineStr">
        <x:is>
          <x:t xml:space="preserve">1</x:t>
        </x:is>
      </x:c>
      <x:c r="C316" s="2" t="inlineStr">
        <x:is>
          <x:t xml:space="preserve">Animal Friendship</x:t>
        </x:is>
      </x:c>
      <x:c r="D316" s="2" t="inlineStr">
        <x:is>
          <x:t xml:space="preserve">Enchantment</x:t>
        </x:is>
      </x:c>
      <x:c r="E316" s="2" t="inlineStr">
        <x:is>
          <x:t xml:space="preserve">From spell description class tags</x:t>
        </x:is>
      </x:c>
      <x:c r="F316" s="2" t="inlineStr">
        <x:is>
          <x:t xml:space="preserve">SRD 5.2.1</x:t>
        </x:is>
      </x:c>
    </x:row>
    <x:row r="317" ht="18" customHeight="1">
      <x:c r="A317" s="2" t="inlineStr">
        <x:is>
          <x:t xml:space="preserve">Ranger</x:t>
        </x:is>
      </x:c>
      <x:c r="B317" s="2" t="inlineStr">
        <x:is>
          <x:t xml:space="preserve">1</x:t>
        </x:is>
      </x:c>
      <x:c r="C317" s="2" t="inlineStr">
        <x:is>
          <x:t xml:space="preserve">Detect Poison and Disease</x:t>
        </x:is>
      </x:c>
      <x:c r="D317" s="2" t="inlineStr">
        <x:is>
          <x:t xml:space="preserve">Divination</x:t>
        </x:is>
      </x:c>
      <x:c r="E317" s="2" t="inlineStr">
        <x:is>
          <x:t xml:space="preserve">From spell description class tags</x:t>
        </x:is>
      </x:c>
      <x:c r="F317" s="2" t="inlineStr">
        <x:is>
          <x:t xml:space="preserve">SRD 5.2.1</x:t>
        </x:is>
      </x:c>
    </x:row>
    <x:row r="318" ht="18" customHeight="1">
      <x:c r="A318" s="2" t="inlineStr">
        <x:is>
          <x:t xml:space="preserve">Ranger</x:t>
        </x:is>
      </x:c>
      <x:c r="B318" s="2" t="inlineStr">
        <x:is>
          <x:t xml:space="preserve">1</x:t>
        </x:is>
      </x:c>
      <x:c r="C318" s="2" t="inlineStr">
        <x:is>
          <x:t xml:space="preserve">Ensnaring Strike</x:t>
        </x:is>
      </x:c>
      <x:c r="D318" s="2" t="inlineStr">
        <x:is>
          <x:t xml:space="preserve">Conjuration</x:t>
        </x:is>
      </x:c>
      <x:c r="E318" s="2" t="inlineStr">
        <x:is>
          <x:t xml:space="preserve">From spell description class tags</x:t>
        </x:is>
      </x:c>
      <x:c r="F318" s="2" t="inlineStr">
        <x:is>
          <x:t xml:space="preserve">SRD 5.2.1</x:t>
        </x:is>
      </x:c>
    </x:row>
    <x:row r="319" ht="18" customHeight="1">
      <x:c r="A319" s="2" t="inlineStr">
        <x:is>
          <x:t xml:space="preserve">Ranger</x:t>
        </x:is>
      </x:c>
      <x:c r="B319" s="2" t="inlineStr">
        <x:is>
          <x:t xml:space="preserve">1</x:t>
        </x:is>
      </x:c>
      <x:c r="C319" s="2" t="inlineStr">
        <x:is>
          <x:t xml:space="preserve">Entangle</x:t>
        </x:is>
      </x:c>
      <x:c r="D319" s="2" t="inlineStr">
        <x:is>
          <x:t xml:space="preserve">Conjuration</x:t>
        </x:is>
      </x:c>
      <x:c r="E319" s="2" t="inlineStr">
        <x:is>
          <x:t xml:space="preserve">From spell description class tags</x:t>
        </x:is>
      </x:c>
      <x:c r="F319" s="2" t="inlineStr">
        <x:is>
          <x:t xml:space="preserve">SRD 5.2.1</x:t>
        </x:is>
      </x:c>
    </x:row>
    <x:row r="320" ht="18" customHeight="1">
      <x:c r="A320" s="2" t="inlineStr">
        <x:is>
          <x:t xml:space="preserve">Ranger</x:t>
        </x:is>
      </x:c>
      <x:c r="B320" s="2" t="inlineStr">
        <x:is>
          <x:t xml:space="preserve">1</x:t>
        </x:is>
      </x:c>
      <x:c r="C320" s="2" t="inlineStr">
        <x:is>
          <x:t xml:space="preserve">Fog Cloud</x:t>
        </x:is>
      </x:c>
      <x:c r="D320" s="2" t="inlineStr">
        <x:is>
          <x:t xml:space="preserve">Conjuration</x:t>
        </x:is>
      </x:c>
      <x:c r="E320" s="2" t="inlineStr">
        <x:is>
          <x:t xml:space="preserve">From spell description class tags</x:t>
        </x:is>
      </x:c>
      <x:c r="F320" s="2" t="inlineStr">
        <x:is>
          <x:t xml:space="preserve">SRD 5.2.1</x:t>
        </x:is>
      </x:c>
    </x:row>
    <x:row r="321" ht="18" customHeight="1">
      <x:c r="A321" s="2" t="inlineStr">
        <x:is>
          <x:t xml:space="preserve">Ranger</x:t>
        </x:is>
      </x:c>
      <x:c r="B321" s="2" t="inlineStr">
        <x:is>
          <x:t xml:space="preserve">1</x:t>
        </x:is>
      </x:c>
      <x:c r="C321" s="2" t="inlineStr">
        <x:is>
          <x:t xml:space="preserve">Goodberry</x:t>
        </x:is>
      </x:c>
      <x:c r="D321" s="2" t="inlineStr">
        <x:is>
          <x:t xml:space="preserve">Conjuration</x:t>
        </x:is>
      </x:c>
      <x:c r="E321" s="2" t="inlineStr">
        <x:is>
          <x:t xml:space="preserve">From spell description class tags</x:t>
        </x:is>
      </x:c>
      <x:c r="F321" s="2" t="inlineStr">
        <x:is>
          <x:t xml:space="preserve">SRD 5.2.1</x:t>
        </x:is>
      </x:c>
    </x:row>
    <x:row r="322" ht="18" customHeight="1">
      <x:c r="A322" s="2" t="inlineStr">
        <x:is>
          <x:t xml:space="preserve">Ranger</x:t>
        </x:is>
      </x:c>
      <x:c r="B322" s="2" t="inlineStr">
        <x:is>
          <x:t xml:space="preserve">1</x:t>
        </x:is>
      </x:c>
      <x:c r="C322" s="2" t="inlineStr">
        <x:is>
          <x:t xml:space="preserve">Hunter’s Mark</x:t>
        </x:is>
      </x:c>
      <x:c r="D322" s="2" t="inlineStr">
        <x:is>
          <x:t xml:space="preserve">Divination</x:t>
        </x:is>
      </x:c>
      <x:c r="E322" s="2" t="inlineStr">
        <x:is>
          <x:t xml:space="preserve">From spell description class tags</x:t>
        </x:is>
      </x:c>
      <x:c r="F322" s="2" t="inlineStr">
        <x:is>
          <x:t xml:space="preserve">SRD 5.2.1</x:t>
        </x:is>
      </x:c>
    </x:row>
    <x:row r="323" ht="18" customHeight="1">
      <x:c r="A323" s="2" t="inlineStr">
        <x:is>
          <x:t xml:space="preserve">Ranger</x:t>
        </x:is>
      </x:c>
      <x:c r="B323" s="2" t="inlineStr">
        <x:is>
          <x:t xml:space="preserve">1</x:t>
        </x:is>
      </x:c>
      <x:c r="C323" s="2" t="inlineStr">
        <x:is>
          <x:t xml:space="preserve">Longstrider</x:t>
        </x:is>
      </x:c>
      <x:c r="D323" s="2" t="inlineStr">
        <x:is>
          <x:t xml:space="preserve">Transmutation</x:t>
        </x:is>
      </x:c>
      <x:c r="E323" s="2" t="inlineStr">
        <x:is>
          <x:t xml:space="preserve">From spell description class tags</x:t>
        </x:is>
      </x:c>
      <x:c r="F323" s="2" t="inlineStr">
        <x:is>
          <x:t xml:space="preserve">SRD 5.2.1</x:t>
        </x:is>
      </x:c>
    </x:row>
    <x:row r="324" ht="18" customHeight="1">
      <x:c r="A324" s="2" t="inlineStr">
        <x:is>
          <x:t xml:space="preserve">Ranger</x:t>
        </x:is>
      </x:c>
      <x:c r="B324" s="2" t="inlineStr">
        <x:is>
          <x:t xml:space="preserve">1</x:t>
        </x:is>
      </x:c>
      <x:c r="C324" s="2" t="inlineStr">
        <x:is>
          <x:t xml:space="preserve">Speak with Animals</x:t>
        </x:is>
      </x:c>
      <x:c r="D324" s="2" t="inlineStr">
        <x:is>
          <x:t xml:space="preserve">Divination</x:t>
        </x:is>
      </x:c>
      <x:c r="E324" s="2" t="inlineStr">
        <x:is>
          <x:t xml:space="preserve">From spell description class tags</x:t>
        </x:is>
      </x:c>
      <x:c r="F324" s="2" t="inlineStr">
        <x:is>
          <x:t xml:space="preserve">SRD 5.2.1</x:t>
        </x:is>
      </x:c>
    </x:row>
    <x:row r="325" ht="18" customHeight="1">
      <x:c r="A325" s="2" t="inlineStr">
        <x:is>
          <x:t xml:space="preserve">Ranger</x:t>
        </x:is>
      </x:c>
      <x:c r="B325" s="2" t="inlineStr">
        <x:is>
          <x:t xml:space="preserve">2</x:t>
        </x:is>
      </x:c>
      <x:c r="C325" s="2" t="inlineStr">
        <x:is>
          <x:t xml:space="preserve">Animal Messenger</x:t>
        </x:is>
      </x:c>
      <x:c r="D325" s="2" t="inlineStr">
        <x:is>
          <x:t xml:space="preserve">Enchantment</x:t>
        </x:is>
      </x:c>
      <x:c r="E325" s="2" t="inlineStr">
        <x:is>
          <x:t xml:space="preserve">From spell description class tags</x:t>
        </x:is>
      </x:c>
      <x:c r="F325" s="2" t="inlineStr">
        <x:is>
          <x:t xml:space="preserve">SRD 5.2.1</x:t>
        </x:is>
      </x:c>
    </x:row>
    <x:row r="326" ht="18" customHeight="1">
      <x:c r="A326" s="2" t="inlineStr">
        <x:is>
          <x:t xml:space="preserve">Ranger</x:t>
        </x:is>
      </x:c>
      <x:c r="B326" s="2" t="inlineStr">
        <x:is>
          <x:t xml:space="preserve">2</x:t>
        </x:is>
      </x:c>
      <x:c r="C326" s="2" t="inlineStr">
        <x:is>
          <x:t xml:space="preserve">Barkskin</x:t>
        </x:is>
      </x:c>
      <x:c r="D326" s="2" t="inlineStr">
        <x:is>
          <x:t xml:space="preserve">Transmutation</x:t>
        </x:is>
      </x:c>
      <x:c r="E326" s="2" t="inlineStr">
        <x:is>
          <x:t xml:space="preserve">From spell description class tags</x:t>
        </x:is>
      </x:c>
      <x:c r="F326" s="2" t="inlineStr">
        <x:is>
          <x:t xml:space="preserve">SRD 5.2.1</x:t>
        </x:is>
      </x:c>
    </x:row>
    <x:row r="327" ht="18" customHeight="1">
      <x:c r="A327" s="2" t="inlineStr">
        <x:is>
          <x:t xml:space="preserve">Ranger</x:t>
        </x:is>
      </x:c>
      <x:c r="B327" s="2" t="inlineStr">
        <x:is>
          <x:t xml:space="preserve">2</x:t>
        </x:is>
      </x:c>
      <x:c r="C327" s="2" t="inlineStr">
        <x:is>
          <x:t xml:space="preserve">Find Traps</x:t>
        </x:is>
      </x:c>
      <x:c r="D327" s="2" t="inlineStr">
        <x:is>
          <x:t xml:space="preserve">Divination</x:t>
        </x:is>
      </x:c>
      <x:c r="E327" s="2" t="inlineStr">
        <x:is>
          <x:t xml:space="preserve">From spell description class tags</x:t>
        </x:is>
      </x:c>
      <x:c r="F327" s="2" t="inlineStr">
        <x:is>
          <x:t xml:space="preserve">SRD 5.2.1</x:t>
        </x:is>
      </x:c>
    </x:row>
    <x:row r="328" ht="18" customHeight="1">
      <x:c r="A328" s="2" t="inlineStr">
        <x:is>
          <x:t xml:space="preserve">Ranger</x:t>
        </x:is>
      </x:c>
      <x:c r="B328" s="2" t="inlineStr">
        <x:is>
          <x:t xml:space="preserve">2</x:t>
        </x:is>
      </x:c>
      <x:c r="C328" s="2" t="inlineStr">
        <x:is>
          <x:t xml:space="preserve">Gust of Wind</x:t>
        </x:is>
      </x:c>
      <x:c r="D328" s="2" t="inlineStr">
        <x:is>
          <x:t xml:space="preserve">Evocation</x:t>
        </x:is>
      </x:c>
      <x:c r="E328" s="2" t="inlineStr">
        <x:is>
          <x:t xml:space="preserve">From spell description class tags</x:t>
        </x:is>
      </x:c>
      <x:c r="F328" s="2" t="inlineStr">
        <x:is>
          <x:t xml:space="preserve">SRD 5.2.1</x:t>
        </x:is>
      </x:c>
    </x:row>
    <x:row r="329" ht="18" customHeight="1">
      <x:c r="A329" s="2" t="inlineStr">
        <x:is>
          <x:t xml:space="preserve">Ranger</x:t>
        </x:is>
      </x:c>
      <x:c r="B329" s="2" t="inlineStr">
        <x:is>
          <x:t xml:space="preserve">2</x:t>
        </x:is>
      </x:c>
      <x:c r="C329" s="2" t="inlineStr">
        <x:is>
          <x:t xml:space="preserve">Locate Animals or Plants</x:t>
        </x:is>
      </x:c>
      <x:c r="D329" s="2" t="inlineStr">
        <x:is>
          <x:t xml:space="preserve">Divination</x:t>
        </x:is>
      </x:c>
      <x:c r="E329" s="2" t="inlineStr">
        <x:is>
          <x:t xml:space="preserve">From spell description class tags</x:t>
        </x:is>
      </x:c>
      <x:c r="F329" s="2" t="inlineStr">
        <x:is>
          <x:t xml:space="preserve">SRD 5.2.1</x:t>
        </x:is>
      </x:c>
    </x:row>
    <x:row r="330" ht="18" customHeight="1">
      <x:c r="A330" s="2" t="inlineStr">
        <x:is>
          <x:t xml:space="preserve">Ranger</x:t>
        </x:is>
      </x:c>
      <x:c r="B330" s="2" t="inlineStr">
        <x:is>
          <x:t xml:space="preserve">2</x:t>
        </x:is>
      </x:c>
      <x:c r="C330" s="2" t="inlineStr">
        <x:is>
          <x:t xml:space="preserve">Pass without Trace</x:t>
        </x:is>
      </x:c>
      <x:c r="D330" s="2" t="inlineStr">
        <x:is>
          <x:t xml:space="preserve">Abjuration</x:t>
        </x:is>
      </x:c>
      <x:c r="E330" s="2" t="inlineStr">
        <x:is>
          <x:t xml:space="preserve">From spell description class tags</x:t>
        </x:is>
      </x:c>
      <x:c r="F330" s="2" t="inlineStr">
        <x:is>
          <x:t xml:space="preserve">SRD 5.2.1</x:t>
        </x:is>
      </x:c>
    </x:row>
    <x:row r="331" ht="18" customHeight="1">
      <x:c r="A331" s="2" t="inlineStr">
        <x:is>
          <x:t xml:space="preserve">Ranger</x:t>
        </x:is>
      </x:c>
      <x:c r="B331" s="2" t="inlineStr">
        <x:is>
          <x:t xml:space="preserve">2</x:t>
        </x:is>
      </x:c>
      <x:c r="C331" s="2" t="inlineStr">
        <x:is>
          <x:t xml:space="preserve">Protection from Poison</x:t>
        </x:is>
      </x:c>
      <x:c r="D331" s="2" t="inlineStr">
        <x:is>
          <x:t xml:space="preserve">Abjuration</x:t>
        </x:is>
      </x:c>
      <x:c r="E331" s="2" t="inlineStr">
        <x:is>
          <x:t xml:space="preserve">From spell description class tags</x:t>
        </x:is>
      </x:c>
      <x:c r="F331" s="2" t="inlineStr">
        <x:is>
          <x:t xml:space="preserve">SRD 5.2.1</x:t>
        </x:is>
      </x:c>
    </x:row>
    <x:row r="332" ht="18" customHeight="1">
      <x:c r="A332" s="2" t="inlineStr">
        <x:is>
          <x:t xml:space="preserve">Ranger</x:t>
        </x:is>
      </x:c>
      <x:c r="B332" s="2" t="inlineStr">
        <x:is>
          <x:t xml:space="preserve">2</x:t>
        </x:is>
      </x:c>
      <x:c r="C332" s="2" t="inlineStr">
        <x:is>
          <x:t xml:space="preserve">Silence</x:t>
        </x:is>
      </x:c>
      <x:c r="D332" s="2" t="inlineStr">
        <x:is>
          <x:t xml:space="preserve">Illusion</x:t>
        </x:is>
      </x:c>
      <x:c r="E332" s="2" t="inlineStr">
        <x:is>
          <x:t xml:space="preserve">From spell description class tags</x:t>
        </x:is>
      </x:c>
      <x:c r="F332" s="2" t="inlineStr">
        <x:is>
          <x:t xml:space="preserve">SRD 5.2.1</x:t>
        </x:is>
      </x:c>
    </x:row>
    <x:row r="333" ht="18" customHeight="1">
      <x:c r="A333" s="2" t="inlineStr">
        <x:is>
          <x:t xml:space="preserve">Ranger</x:t>
        </x:is>
      </x:c>
      <x:c r="B333" s="2" t="inlineStr">
        <x:is>
          <x:t xml:space="preserve">2</x:t>
        </x:is>
      </x:c>
      <x:c r="C333" s="2" t="inlineStr">
        <x:is>
          <x:t xml:space="preserve">Spike Growth</x:t>
        </x:is>
      </x:c>
      <x:c r="D333" s="2" t="inlineStr">
        <x:is>
          <x:t xml:space="preserve">Transmutation</x:t>
        </x:is>
      </x:c>
      <x:c r="E333" s="2" t="inlineStr">
        <x:is>
          <x:t xml:space="preserve">From spell description class tags</x:t>
        </x:is>
      </x:c>
      <x:c r="F333" s="2" t="inlineStr">
        <x:is>
          <x:t xml:space="preserve">SRD 5.2.1</x:t>
        </x:is>
      </x:c>
    </x:row>
    <x:row r="334" ht="18" customHeight="1">
      <x:c r="A334" s="2" t="inlineStr">
        <x:is>
          <x:t xml:space="preserve">Ranger</x:t>
        </x:is>
      </x:c>
      <x:c r="B334" s="2" t="inlineStr">
        <x:is>
          <x:t xml:space="preserve">3</x:t>
        </x:is>
      </x:c>
      <x:c r="C334" s="2" t="inlineStr">
        <x:is>
          <x:t xml:space="preserve">Conjure Animals</x:t>
        </x:is>
      </x:c>
      <x:c r="D334" s="2" t="inlineStr">
        <x:is>
          <x:t xml:space="preserve">Conjuration</x:t>
        </x:is>
      </x:c>
      <x:c r="E334" s="2" t="inlineStr">
        <x:is>
          <x:t xml:space="preserve">From spell description class tags</x:t>
        </x:is>
      </x:c>
      <x:c r="F334" s="2" t="inlineStr">
        <x:is>
          <x:t xml:space="preserve">SRD 5.2.1</x:t>
        </x:is>
      </x:c>
    </x:row>
    <x:row r="335" ht="18" customHeight="1">
      <x:c r="A335" s="2" t="inlineStr">
        <x:is>
          <x:t xml:space="preserve">Ranger</x:t>
        </x:is>
      </x:c>
      <x:c r="B335" s="2" t="inlineStr">
        <x:is>
          <x:t xml:space="preserve">3</x:t>
        </x:is>
      </x:c>
      <x:c r="C335" s="2" t="inlineStr">
        <x:is>
          <x:t xml:space="preserve">Meld into Stone</x:t>
        </x:is>
      </x:c>
      <x:c r="D335" s="2" t="inlineStr">
        <x:is>
          <x:t xml:space="preserve">Transmutation</x:t>
        </x:is>
      </x:c>
      <x:c r="E335" s="2" t="inlineStr">
        <x:is>
          <x:t xml:space="preserve">From spell description class tags</x:t>
        </x:is>
      </x:c>
      <x:c r="F335" s="2" t="inlineStr">
        <x:is>
          <x:t xml:space="preserve">SRD 5.2.1</x:t>
        </x:is>
      </x:c>
    </x:row>
    <x:row r="336" ht="18" customHeight="1">
      <x:c r="A336" s="2" t="inlineStr">
        <x:is>
          <x:t xml:space="preserve">Ranger</x:t>
        </x:is>
      </x:c>
      <x:c r="B336" s="2" t="inlineStr">
        <x:is>
          <x:t xml:space="preserve">3</x:t>
        </x:is>
      </x:c>
      <x:c r="C336" s="2" t="inlineStr">
        <x:is>
          <x:t xml:space="preserve">Nondetection</x:t>
        </x:is>
      </x:c>
      <x:c r="D336" s="2" t="inlineStr">
        <x:is>
          <x:t xml:space="preserve">Abjuration</x:t>
        </x:is>
      </x:c>
      <x:c r="E336" s="2" t="inlineStr">
        <x:is>
          <x:t xml:space="preserve">From spell description class tags</x:t>
        </x:is>
      </x:c>
      <x:c r="F336" s="2" t="inlineStr">
        <x:is>
          <x:t xml:space="preserve">SRD 5.2.1</x:t>
        </x:is>
      </x:c>
    </x:row>
    <x:row r="337" ht="18" customHeight="1">
      <x:c r="A337" s="2" t="inlineStr">
        <x:is>
          <x:t xml:space="preserve">Ranger</x:t>
        </x:is>
      </x:c>
      <x:c r="B337" s="2" t="inlineStr">
        <x:is>
          <x:t xml:space="preserve">3</x:t>
        </x:is>
      </x:c>
      <x:c r="C337" s="2" t="inlineStr">
        <x:is>
          <x:t xml:space="preserve">Plant Growth</x:t>
        </x:is>
      </x:c>
      <x:c r="D337" s="2" t="inlineStr">
        <x:is>
          <x:t xml:space="preserve">Transmutation</x:t>
        </x:is>
      </x:c>
      <x:c r="E337" s="2" t="inlineStr">
        <x:is>
          <x:t xml:space="preserve">From spell description class tags</x:t>
        </x:is>
      </x:c>
      <x:c r="F337" s="2" t="inlineStr">
        <x:is>
          <x:t xml:space="preserve">SRD 5.2.1</x:t>
        </x:is>
      </x:c>
    </x:row>
    <x:row r="338" ht="18" customHeight="1">
      <x:c r="A338" s="2" t="inlineStr">
        <x:is>
          <x:t xml:space="preserve">Ranger</x:t>
        </x:is>
      </x:c>
      <x:c r="B338" s="2" t="inlineStr">
        <x:is>
          <x:t xml:space="preserve">3</x:t>
        </x:is>
      </x:c>
      <x:c r="C338" s="2" t="inlineStr">
        <x:is>
          <x:t xml:space="preserve">Revivify</x:t>
        </x:is>
      </x:c>
      <x:c r="D338" s="2" t="inlineStr">
        <x:is>
          <x:t xml:space="preserve">Necromancy</x:t>
        </x:is>
      </x:c>
      <x:c r="E338" s="2" t="inlineStr">
        <x:is>
          <x:t xml:space="preserve">From spell description class tags</x:t>
        </x:is>
      </x:c>
      <x:c r="F338" s="2" t="inlineStr">
        <x:is>
          <x:t xml:space="preserve">SRD 5.2.1</x:t>
        </x:is>
      </x:c>
    </x:row>
    <x:row r="339" ht="18" customHeight="1">
      <x:c r="A339" s="2" t="inlineStr">
        <x:is>
          <x:t xml:space="preserve">Ranger</x:t>
        </x:is>
      </x:c>
      <x:c r="B339" s="2" t="inlineStr">
        <x:is>
          <x:t xml:space="preserve">3</x:t>
        </x:is>
      </x:c>
      <x:c r="C339" s="2" t="inlineStr">
        <x:is>
          <x:t xml:space="preserve">Speak with Plants</x:t>
        </x:is>
      </x:c>
      <x:c r="D339" s="2" t="inlineStr">
        <x:is>
          <x:t xml:space="preserve">Transmutation</x:t>
        </x:is>
      </x:c>
      <x:c r="E339" s="2" t="inlineStr">
        <x:is>
          <x:t xml:space="preserve">From spell description class tags</x:t>
        </x:is>
      </x:c>
      <x:c r="F339" s="2" t="inlineStr">
        <x:is>
          <x:t xml:space="preserve">SRD 5.2.1</x:t>
        </x:is>
      </x:c>
    </x:row>
    <x:row r="340" ht="18" customHeight="1">
      <x:c r="A340" s="2" t="inlineStr">
        <x:is>
          <x:t xml:space="preserve">Ranger</x:t>
        </x:is>
      </x:c>
      <x:c r="B340" s="2" t="inlineStr">
        <x:is>
          <x:t xml:space="preserve">3</x:t>
        </x:is>
      </x:c>
      <x:c r="C340" s="2" t="inlineStr">
        <x:is>
          <x:t xml:space="preserve">Water Walk</x:t>
        </x:is>
      </x:c>
      <x:c r="D340" s="2" t="inlineStr">
        <x:is>
          <x:t xml:space="preserve">Transmutation</x:t>
        </x:is>
      </x:c>
      <x:c r="E340" s="2" t="inlineStr">
        <x:is>
          <x:t xml:space="preserve">From spell description class tags</x:t>
        </x:is>
      </x:c>
      <x:c r="F340" s="2" t="inlineStr">
        <x:is>
          <x:t xml:space="preserve">SRD 5.2.1</x:t>
        </x:is>
      </x:c>
    </x:row>
    <x:row r="341" ht="18" customHeight="1">
      <x:c r="A341" s="2" t="inlineStr">
        <x:is>
          <x:t xml:space="preserve">Ranger</x:t>
        </x:is>
      </x:c>
      <x:c r="B341" s="2" t="inlineStr">
        <x:is>
          <x:t xml:space="preserve">3</x:t>
        </x:is>
      </x:c>
      <x:c r="C341" s="2" t="inlineStr">
        <x:is>
          <x:t xml:space="preserve">Wind Wall</x:t>
        </x:is>
      </x:c>
      <x:c r="D341" s="2" t="inlineStr">
        <x:is>
          <x:t xml:space="preserve">Evocation</x:t>
        </x:is>
      </x:c>
      <x:c r="E341" s="2" t="inlineStr">
        <x:is>
          <x:t xml:space="preserve">From spell description class tags</x:t>
        </x:is>
      </x:c>
      <x:c r="F341" s="2" t="inlineStr">
        <x:is>
          <x:t xml:space="preserve">SRD 5.2.1</x:t>
        </x:is>
      </x:c>
    </x:row>
    <x:row r="342" ht="18" customHeight="1">
      <x:c r="A342" s="2" t="inlineStr">
        <x:is>
          <x:t xml:space="preserve">Ranger</x:t>
        </x:is>
      </x:c>
      <x:c r="B342" s="2" t="inlineStr">
        <x:is>
          <x:t xml:space="preserve">4</x:t>
        </x:is>
      </x:c>
      <x:c r="C342" s="2" t="inlineStr">
        <x:is>
          <x:t xml:space="preserve">Conjure Woodland Beings</x:t>
        </x:is>
      </x:c>
      <x:c r="D342" s="2" t="inlineStr">
        <x:is>
          <x:t xml:space="preserve">Conjuration</x:t>
        </x:is>
      </x:c>
      <x:c r="E342" s="2" t="inlineStr">
        <x:is>
          <x:t xml:space="preserve">From spell description class tags</x:t>
        </x:is>
      </x:c>
      <x:c r="F342" s="2" t="inlineStr">
        <x:is>
          <x:t xml:space="preserve">SRD 5.2.1</x:t>
        </x:is>
      </x:c>
    </x:row>
    <x:row r="343" ht="18" customHeight="1">
      <x:c r="A343" s="2" t="inlineStr">
        <x:is>
          <x:t xml:space="preserve">Ranger</x:t>
        </x:is>
      </x:c>
      <x:c r="B343" s="2" t="inlineStr">
        <x:is>
          <x:t xml:space="preserve">4</x:t>
        </x:is>
      </x:c>
      <x:c r="C343" s="2" t="inlineStr">
        <x:is>
          <x:t xml:space="preserve">Dominate Beast</x:t>
        </x:is>
      </x:c>
      <x:c r="D343" s="2" t="inlineStr">
        <x:is>
          <x:t xml:space="preserve">Enchantment</x:t>
        </x:is>
      </x:c>
      <x:c r="E343" s="2" t="inlineStr">
        <x:is>
          <x:t xml:space="preserve">From spell description class tags</x:t>
        </x:is>
      </x:c>
      <x:c r="F343" s="2" t="inlineStr">
        <x:is>
          <x:t xml:space="preserve">SRD 5.2.1</x:t>
        </x:is>
      </x:c>
    </x:row>
    <x:row r="344" ht="18" customHeight="1">
      <x:c r="A344" s="2" t="inlineStr">
        <x:is>
          <x:t xml:space="preserve">Ranger</x:t>
        </x:is>
      </x:c>
      <x:c r="B344" s="2" t="inlineStr">
        <x:is>
          <x:t xml:space="preserve">4</x:t>
        </x:is>
      </x:c>
      <x:c r="C344" s="2" t="inlineStr">
        <x:is>
          <x:t xml:space="preserve">Freedom of Movement</x:t>
        </x:is>
      </x:c>
      <x:c r="D344" s="2" t="inlineStr">
        <x:is>
          <x:t xml:space="preserve">Abjuration</x:t>
        </x:is>
      </x:c>
      <x:c r="E344" s="2" t="inlineStr">
        <x:is>
          <x:t xml:space="preserve">From spell description class tags</x:t>
        </x:is>
      </x:c>
      <x:c r="F344" s="2" t="inlineStr">
        <x:is>
          <x:t xml:space="preserve">SRD 5.2.1</x:t>
        </x:is>
      </x:c>
    </x:row>
    <x:row r="345" ht="18" customHeight="1">
      <x:c r="A345" s="2" t="inlineStr">
        <x:is>
          <x:t xml:space="preserve">Ranger</x:t>
        </x:is>
      </x:c>
      <x:c r="B345" s="2" t="inlineStr">
        <x:is>
          <x:t xml:space="preserve">5</x:t>
        </x:is>
      </x:c>
      <x:c r="C345" s="2" t="inlineStr">
        <x:is>
          <x:t xml:space="preserve">Commune with Nature</x:t>
        </x:is>
      </x:c>
      <x:c r="D345" s="2" t="inlineStr">
        <x:is>
          <x:t xml:space="preserve">Divination</x:t>
        </x:is>
      </x:c>
      <x:c r="E345" s="2" t="inlineStr">
        <x:is>
          <x:t xml:space="preserve">From spell description class tags</x:t>
        </x:is>
      </x:c>
      <x:c r="F345" s="2" t="inlineStr">
        <x:is>
          <x:t xml:space="preserve">SRD 5.2.1</x:t>
        </x:is>
      </x:c>
    </x:row>
    <x:row r="346" ht="18" customHeight="1">
      <x:c r="A346" s="2" t="inlineStr">
        <x:is>
          <x:t xml:space="preserve">Ranger</x:t>
        </x:is>
      </x:c>
      <x:c r="B346" s="2" t="inlineStr">
        <x:is>
          <x:t xml:space="preserve">5</x:t>
        </x:is>
      </x:c>
      <x:c r="C346" s="2" t="inlineStr">
        <x:is>
          <x:t xml:space="preserve">Tree Stride</x:t>
        </x:is>
      </x:c>
      <x:c r="D346" s="2" t="inlineStr">
        <x:is>
          <x:t xml:space="preserve">Conjuration</x:t>
        </x:is>
      </x:c>
      <x:c r="E346" s="2" t="inlineStr">
        <x:is>
          <x:t xml:space="preserve">From spell description class tags</x:t>
        </x:is>
      </x:c>
      <x:c r="F346" s="2" t="inlineStr">
        <x:is>
          <x:t xml:space="preserve">SRD 5.2.1</x:t>
        </x:is>
      </x:c>
    </x:row>
    <x:row r="347" ht="18" customHeight="1">
      <x:c r="A347" s="2" t="inlineStr">
        <x:is>
          <x:t xml:space="preserve">Sorcerer</x:t>
        </x:is>
      </x:c>
      <x:c r="B347" s="2" t="inlineStr">
        <x:is>
          <x:t xml:space="preserve">1</x:t>
        </x:is>
      </x:c>
      <x:c r="C347" s="2" t="inlineStr">
        <x:is>
          <x:t xml:space="preserve">Burning Hands</x:t>
        </x:is>
      </x:c>
      <x:c r="D347" s="2" t="inlineStr">
        <x:is>
          <x:t xml:space="preserve">Evocation</x:t>
        </x:is>
      </x:c>
      <x:c r="E347" s="2" t="inlineStr">
        <x:is>
          <x:t xml:space="preserve">From spell description class tags</x:t>
        </x:is>
      </x:c>
      <x:c r="F347" s="2" t="inlineStr">
        <x:is>
          <x:t xml:space="preserve">SRD 5.2.1</x:t>
        </x:is>
      </x:c>
    </x:row>
    <x:row r="348" ht="18" customHeight="1">
      <x:c r="A348" s="2" t="inlineStr">
        <x:is>
          <x:t xml:space="preserve">Sorcerer</x:t>
        </x:is>
      </x:c>
      <x:c r="B348" s="2" t="inlineStr">
        <x:is>
          <x:t xml:space="preserve">1</x:t>
        </x:is>
      </x:c>
      <x:c r="C348" s="2" t="inlineStr">
        <x:is>
          <x:t xml:space="preserve">Chromatic Orb</x:t>
        </x:is>
      </x:c>
      <x:c r="D348" s="2" t="inlineStr">
        <x:is>
          <x:t xml:space="preserve">Evocation</x:t>
        </x:is>
      </x:c>
      <x:c r="E348" s="2" t="inlineStr">
        <x:is>
          <x:t xml:space="preserve">From spell description class tags</x:t>
        </x:is>
      </x:c>
      <x:c r="F348" s="2" t="inlineStr">
        <x:is>
          <x:t xml:space="preserve">SRD 5.2.1</x:t>
        </x:is>
      </x:c>
    </x:row>
    <x:row r="349" ht="18" customHeight="1">
      <x:c r="A349" s="2" t="inlineStr">
        <x:is>
          <x:t xml:space="preserve">Sorcerer</x:t>
        </x:is>
      </x:c>
      <x:c r="B349" s="2" t="inlineStr">
        <x:is>
          <x:t xml:space="preserve">1</x:t>
        </x:is>
      </x:c>
      <x:c r="C349" s="2" t="inlineStr">
        <x:is>
          <x:t xml:space="preserve">Color Spray</x:t>
        </x:is>
      </x:c>
      <x:c r="D349" s="2" t="inlineStr">
        <x:is>
          <x:t xml:space="preserve">Illusion</x:t>
        </x:is>
      </x:c>
      <x:c r="E349" s="2" t="inlineStr">
        <x:is>
          <x:t xml:space="preserve">From spell description class tags</x:t>
        </x:is>
      </x:c>
      <x:c r="F349" s="2" t="inlineStr">
        <x:is>
          <x:t xml:space="preserve">SRD 5.2.1</x:t>
        </x:is>
      </x:c>
    </x:row>
    <x:row r="350" ht="18" customHeight="1">
      <x:c r="A350" s="2" t="inlineStr">
        <x:is>
          <x:t xml:space="preserve">Sorcerer</x:t>
        </x:is>
      </x:c>
      <x:c r="B350" s="2" t="inlineStr">
        <x:is>
          <x:t xml:space="preserve">1</x:t>
        </x:is>
      </x:c>
      <x:c r="C350" s="2" t="inlineStr">
        <x:is>
          <x:t xml:space="preserve">Comprehend Languages</x:t>
        </x:is>
      </x:c>
      <x:c r="D350" s="2" t="inlineStr">
        <x:is>
          <x:t xml:space="preserve">Divination</x:t>
        </x:is>
      </x:c>
      <x:c r="E350" s="2" t="inlineStr">
        <x:is>
          <x:t xml:space="preserve">From spell description class tags</x:t>
        </x:is>
      </x:c>
      <x:c r="F350" s="2" t="inlineStr">
        <x:is>
          <x:t xml:space="preserve">SRD 5.2.1</x:t>
        </x:is>
      </x:c>
    </x:row>
    <x:row r="351" ht="18" customHeight="1">
      <x:c r="A351" s="2" t="inlineStr">
        <x:is>
          <x:t xml:space="preserve">Sorcerer</x:t>
        </x:is>
      </x:c>
      <x:c r="B351" s="2" t="inlineStr">
        <x:is>
          <x:t xml:space="preserve">1</x:t>
        </x:is>
      </x:c>
      <x:c r="C351" s="2" t="inlineStr">
        <x:is>
          <x:t xml:space="preserve">Disguise Self</x:t>
        </x:is>
      </x:c>
      <x:c r="D351" s="2" t="inlineStr">
        <x:is>
          <x:t xml:space="preserve">Illusion</x:t>
        </x:is>
      </x:c>
      <x:c r="E351" s="2" t="inlineStr">
        <x:is>
          <x:t xml:space="preserve">From spell description class tags</x:t>
        </x:is>
      </x:c>
      <x:c r="F351" s="2" t="inlineStr">
        <x:is>
          <x:t xml:space="preserve">SRD 5.2.1</x:t>
        </x:is>
      </x:c>
    </x:row>
    <x:row r="352" ht="18" customHeight="1">
      <x:c r="A352" s="2" t="inlineStr">
        <x:is>
          <x:t xml:space="preserve">Sorcerer</x:t>
        </x:is>
      </x:c>
      <x:c r="B352" s="2" t="inlineStr">
        <x:is>
          <x:t xml:space="preserve">1</x:t>
        </x:is>
      </x:c>
      <x:c r="C352" s="2" t="inlineStr">
        <x:is>
          <x:t xml:space="preserve">Expeditious Retreat</x:t>
        </x:is>
      </x:c>
      <x:c r="D352" s="2" t="inlineStr">
        <x:is>
          <x:t xml:space="preserve">Transmutation</x:t>
        </x:is>
      </x:c>
      <x:c r="E352" s="2" t="inlineStr">
        <x:is>
          <x:t xml:space="preserve">From spell description class tags</x:t>
        </x:is>
      </x:c>
      <x:c r="F352" s="2" t="inlineStr">
        <x:is>
          <x:t xml:space="preserve">SRD 5.2.1</x:t>
        </x:is>
      </x:c>
    </x:row>
    <x:row r="353" ht="18" customHeight="1">
      <x:c r="A353" s="2" t="inlineStr">
        <x:is>
          <x:t xml:space="preserve">Sorcerer</x:t>
        </x:is>
      </x:c>
      <x:c r="B353" s="2" t="inlineStr">
        <x:is>
          <x:t xml:space="preserve">1</x:t>
        </x:is>
      </x:c>
      <x:c r="C353" s="2" t="inlineStr">
        <x:is>
          <x:t xml:space="preserve">False Life</x:t>
        </x:is>
      </x:c>
      <x:c r="D353" s="2" t="inlineStr">
        <x:is>
          <x:t xml:space="preserve">Necromancy</x:t>
        </x:is>
      </x:c>
      <x:c r="E353" s="2" t="inlineStr">
        <x:is>
          <x:t xml:space="preserve">From spell description class tags</x:t>
        </x:is>
      </x:c>
      <x:c r="F353" s="2" t="inlineStr">
        <x:is>
          <x:t xml:space="preserve">SRD 5.2.1</x:t>
        </x:is>
      </x:c>
    </x:row>
    <x:row r="354" ht="18" customHeight="1">
      <x:c r="A354" s="2" t="inlineStr">
        <x:is>
          <x:t xml:space="preserve">Sorcerer</x:t>
        </x:is>
      </x:c>
      <x:c r="B354" s="2" t="inlineStr">
        <x:is>
          <x:t xml:space="preserve">1</x:t>
        </x:is>
      </x:c>
      <x:c r="C354" s="2" t="inlineStr">
        <x:is>
          <x:t xml:space="preserve">Feather Fall</x:t>
        </x:is>
      </x:c>
      <x:c r="D354" s="2" t="inlineStr">
        <x:is>
          <x:t xml:space="preserve">Transmutation</x:t>
        </x:is>
      </x:c>
      <x:c r="E354" s="2" t="inlineStr">
        <x:is>
          <x:t xml:space="preserve">From spell description class tags</x:t>
        </x:is>
      </x:c>
      <x:c r="F354" s="2" t="inlineStr">
        <x:is>
          <x:t xml:space="preserve">SRD 5.2.1</x:t>
        </x:is>
      </x:c>
    </x:row>
    <x:row r="355" ht="18" customHeight="1">
      <x:c r="A355" s="2" t="inlineStr">
        <x:is>
          <x:t xml:space="preserve">Sorcerer</x:t>
        </x:is>
      </x:c>
      <x:c r="B355" s="2" t="inlineStr">
        <x:is>
          <x:t xml:space="preserve">1</x:t>
        </x:is>
      </x:c>
      <x:c r="C355" s="2" t="inlineStr">
        <x:is>
          <x:t xml:space="preserve">Fog Cloud</x:t>
        </x:is>
      </x:c>
      <x:c r="D355" s="2" t="inlineStr">
        <x:is>
          <x:t xml:space="preserve">Conjuration</x:t>
        </x:is>
      </x:c>
      <x:c r="E355" s="2" t="inlineStr">
        <x:is>
          <x:t xml:space="preserve">From spell description class tags</x:t>
        </x:is>
      </x:c>
      <x:c r="F355" s="2" t="inlineStr">
        <x:is>
          <x:t xml:space="preserve">SRD 5.2.1</x:t>
        </x:is>
      </x:c>
    </x:row>
    <x:row r="356" ht="18" customHeight="1">
      <x:c r="A356" s="2" t="inlineStr">
        <x:is>
          <x:t xml:space="preserve">Sorcerer</x:t>
        </x:is>
      </x:c>
      <x:c r="B356" s="2" t="inlineStr">
        <x:is>
          <x:t xml:space="preserve">1</x:t>
        </x:is>
      </x:c>
      <x:c r="C356" s="2" t="inlineStr">
        <x:is>
          <x:t xml:space="preserve">Grease</x:t>
        </x:is>
      </x:c>
      <x:c r="D356" s="2" t="inlineStr">
        <x:is>
          <x:t xml:space="preserve">Conjuration</x:t>
        </x:is>
      </x:c>
      <x:c r="E356" s="2" t="inlineStr">
        <x:is>
          <x:t xml:space="preserve">From spell description class tags</x:t>
        </x:is>
      </x:c>
      <x:c r="F356" s="2" t="inlineStr">
        <x:is>
          <x:t xml:space="preserve">SRD 5.2.1</x:t>
        </x:is>
      </x:c>
    </x:row>
    <x:row r="357" ht="18" customHeight="1">
      <x:c r="A357" s="2" t="inlineStr">
        <x:is>
          <x:t xml:space="preserve">Sorcerer</x:t>
        </x:is>
      </x:c>
      <x:c r="B357" s="2" t="inlineStr">
        <x:is>
          <x:t xml:space="preserve">1</x:t>
        </x:is>
      </x:c>
      <x:c r="C357" s="2" t="inlineStr">
        <x:is>
          <x:t xml:space="preserve">Ice Knife</x:t>
        </x:is>
      </x:c>
      <x:c r="D357" s="2" t="inlineStr">
        <x:is>
          <x:t xml:space="preserve">Conjuration</x:t>
        </x:is>
      </x:c>
      <x:c r="E357" s="2" t="inlineStr">
        <x:is>
          <x:t xml:space="preserve">From spell description class tags</x:t>
        </x:is>
      </x:c>
      <x:c r="F357" s="2" t="inlineStr">
        <x:is>
          <x:t xml:space="preserve">SRD 5.2.1</x:t>
        </x:is>
      </x:c>
    </x:row>
    <x:row r="358" ht="18" customHeight="1">
      <x:c r="A358" s="2" t="inlineStr">
        <x:is>
          <x:t xml:space="preserve">Sorcerer</x:t>
        </x:is>
      </x:c>
      <x:c r="B358" s="2" t="inlineStr">
        <x:is>
          <x:t xml:space="preserve">1</x:t>
        </x:is>
      </x:c>
      <x:c r="C358" s="2" t="inlineStr">
        <x:is>
          <x:t xml:space="preserve">Mage Armor</x:t>
        </x:is>
      </x:c>
      <x:c r="D358" s="2" t="inlineStr">
        <x:is>
          <x:t xml:space="preserve">Abjuration</x:t>
        </x:is>
      </x:c>
      <x:c r="E358" s="2" t="inlineStr">
        <x:is>
          <x:t xml:space="preserve">From spell description class tags</x:t>
        </x:is>
      </x:c>
      <x:c r="F358" s="2" t="inlineStr">
        <x:is>
          <x:t xml:space="preserve">SRD 5.2.1</x:t>
        </x:is>
      </x:c>
    </x:row>
    <x:row r="359" ht="18" customHeight="1">
      <x:c r="A359" s="2" t="inlineStr">
        <x:is>
          <x:t xml:space="preserve">Sorcerer</x:t>
        </x:is>
      </x:c>
      <x:c r="B359" s="2" t="inlineStr">
        <x:is>
          <x:t xml:space="preserve">1</x:t>
        </x:is>
      </x:c>
      <x:c r="C359" s="2" t="inlineStr">
        <x:is>
          <x:t xml:space="preserve">Magic Missile</x:t>
        </x:is>
      </x:c>
      <x:c r="D359" s="2" t="inlineStr">
        <x:is>
          <x:t xml:space="preserve">Evocation</x:t>
        </x:is>
      </x:c>
      <x:c r="E359" s="2" t="inlineStr">
        <x:is>
          <x:t xml:space="preserve">From spell description class tags</x:t>
        </x:is>
      </x:c>
      <x:c r="F359" s="2" t="inlineStr">
        <x:is>
          <x:t xml:space="preserve">SRD 5.2.1</x:t>
        </x:is>
      </x:c>
    </x:row>
    <x:row r="360" ht="18" customHeight="1">
      <x:c r="A360" s="2" t="inlineStr">
        <x:is>
          <x:t xml:space="preserve">Sorcerer</x:t>
        </x:is>
      </x:c>
      <x:c r="B360" s="2" t="inlineStr">
        <x:is>
          <x:t xml:space="preserve">1</x:t>
        </x:is>
      </x:c>
      <x:c r="C360" s="2" t="inlineStr">
        <x:is>
          <x:t xml:space="preserve">Ray of Sickness</x:t>
        </x:is>
      </x:c>
      <x:c r="D360" s="2" t="inlineStr">
        <x:is>
          <x:t xml:space="preserve">Necromancy</x:t>
        </x:is>
      </x:c>
      <x:c r="E360" s="2" t="inlineStr">
        <x:is>
          <x:t xml:space="preserve">From spell description class tags</x:t>
        </x:is>
      </x:c>
      <x:c r="F360" s="2" t="inlineStr">
        <x:is>
          <x:t xml:space="preserve">SRD 5.2.1</x:t>
        </x:is>
      </x:c>
    </x:row>
    <x:row r="361" ht="18" customHeight="1">
      <x:c r="A361" s="2" t="inlineStr">
        <x:is>
          <x:t xml:space="preserve">Sorcerer</x:t>
        </x:is>
      </x:c>
      <x:c r="B361" s="2" t="inlineStr">
        <x:is>
          <x:t xml:space="preserve">1</x:t>
        </x:is>
      </x:c>
      <x:c r="C361" s="2" t="inlineStr">
        <x:is>
          <x:t xml:space="preserve">Shield</x:t>
        </x:is>
      </x:c>
      <x:c r="D361" s="2" t="inlineStr">
        <x:is>
          <x:t xml:space="preserve">Abjuration</x:t>
        </x:is>
      </x:c>
      <x:c r="E361" s="2" t="inlineStr">
        <x:is>
          <x:t xml:space="preserve">From spell description class tags</x:t>
        </x:is>
      </x:c>
      <x:c r="F361" s="2" t="inlineStr">
        <x:is>
          <x:t xml:space="preserve">SRD 5.2.1</x:t>
        </x:is>
      </x:c>
    </x:row>
    <x:row r="362" ht="18" customHeight="1">
      <x:c r="A362" s="2" t="inlineStr">
        <x:is>
          <x:t xml:space="preserve">Sorcerer</x:t>
        </x:is>
      </x:c>
      <x:c r="B362" s="2" t="inlineStr">
        <x:is>
          <x:t xml:space="preserve">1</x:t>
        </x:is>
      </x:c>
      <x:c r="C362" s="2" t="inlineStr">
        <x:is>
          <x:t xml:space="preserve">Silent Image</x:t>
        </x:is>
      </x:c>
      <x:c r="D362" s="2" t="inlineStr">
        <x:is>
          <x:t xml:space="preserve">Illusion</x:t>
        </x:is>
      </x:c>
      <x:c r="E362" s="2" t="inlineStr">
        <x:is>
          <x:t xml:space="preserve">From spell description class tags</x:t>
        </x:is>
      </x:c>
      <x:c r="F362" s="2" t="inlineStr">
        <x:is>
          <x:t xml:space="preserve">SRD 5.2.1</x:t>
        </x:is>
      </x:c>
    </x:row>
    <x:row r="363" ht="18" customHeight="1">
      <x:c r="A363" s="2" t="inlineStr">
        <x:is>
          <x:t xml:space="preserve">Sorcerer</x:t>
        </x:is>
      </x:c>
      <x:c r="B363" s="2" t="inlineStr">
        <x:is>
          <x:t xml:space="preserve">1</x:t>
        </x:is>
      </x:c>
      <x:c r="C363" s="2" t="inlineStr">
        <x:is>
          <x:t xml:space="preserve">Sleep</x:t>
        </x:is>
      </x:c>
      <x:c r="D363" s="2" t="inlineStr">
        <x:is>
          <x:t xml:space="preserve">Enchantment</x:t>
        </x:is>
      </x:c>
      <x:c r="E363" s="2" t="inlineStr">
        <x:is>
          <x:t xml:space="preserve">From spell description class tags</x:t>
        </x:is>
      </x:c>
      <x:c r="F363" s="2" t="inlineStr">
        <x:is>
          <x:t xml:space="preserve">SRD 5.2.1</x:t>
        </x:is>
      </x:c>
    </x:row>
    <x:row r="364" ht="18" customHeight="1">
      <x:c r="A364" s="2" t="inlineStr">
        <x:is>
          <x:t xml:space="preserve">Sorcerer</x:t>
        </x:is>
      </x:c>
      <x:c r="B364" s="2" t="inlineStr">
        <x:is>
          <x:t xml:space="preserve">1</x:t>
        </x:is>
      </x:c>
      <x:c r="C364" s="2" t="inlineStr">
        <x:is>
          <x:t xml:space="preserve">Thunderwave</x:t>
        </x:is>
      </x:c>
      <x:c r="D364" s="2" t="inlineStr">
        <x:is>
          <x:t xml:space="preserve">Evocation</x:t>
        </x:is>
      </x:c>
      <x:c r="E364" s="2" t="inlineStr">
        <x:is>
          <x:t xml:space="preserve">From spell description class tags</x:t>
        </x:is>
      </x:c>
      <x:c r="F364" s="2" t="inlineStr">
        <x:is>
          <x:t xml:space="preserve">SRD 5.2.1</x:t>
        </x:is>
      </x:c>
    </x:row>
    <x:row r="365" ht="18" customHeight="1">
      <x:c r="A365" s="2" t="inlineStr">
        <x:is>
          <x:t xml:space="preserve">Sorcerer</x:t>
        </x:is>
      </x:c>
      <x:c r="B365" s="2" t="inlineStr">
        <x:is>
          <x:t xml:space="preserve">2</x:t>
        </x:is>
      </x:c>
      <x:c r="C365" s="2" t="inlineStr">
        <x:is>
          <x:t xml:space="preserve">Alter Self</x:t>
        </x:is>
      </x:c>
      <x:c r="D365" s="2" t="inlineStr">
        <x:is>
          <x:t xml:space="preserve">Transmutation</x:t>
        </x:is>
      </x:c>
      <x:c r="E365" s="2" t="inlineStr">
        <x:is>
          <x:t xml:space="preserve">From spell description class tags</x:t>
        </x:is>
      </x:c>
      <x:c r="F365" s="2" t="inlineStr">
        <x:is>
          <x:t xml:space="preserve">SRD 5.2.1</x:t>
        </x:is>
      </x:c>
    </x:row>
    <x:row r="366" ht="18" customHeight="1">
      <x:c r="A366" s="2" t="inlineStr">
        <x:is>
          <x:t xml:space="preserve">Sorcerer</x:t>
        </x:is>
      </x:c>
      <x:c r="B366" s="2" t="inlineStr">
        <x:is>
          <x:t xml:space="preserve">2</x:t>
        </x:is>
      </x:c>
      <x:c r="C366" s="2" t="inlineStr">
        <x:is>
          <x:t xml:space="preserve">Blindness/Deafness</x:t>
        </x:is>
      </x:c>
      <x:c r="D366" s="2" t="inlineStr">
        <x:is>
          <x:t xml:space="preserve">Transmutation</x:t>
        </x:is>
      </x:c>
      <x:c r="E366" s="2" t="inlineStr">
        <x:is>
          <x:t xml:space="preserve">From spell description class tags</x:t>
        </x:is>
      </x:c>
      <x:c r="F366" s="2" t="inlineStr">
        <x:is>
          <x:t xml:space="preserve">SRD 5.2.1</x:t>
        </x:is>
      </x:c>
    </x:row>
    <x:row r="367" ht="18" customHeight="1">
      <x:c r="A367" s="2" t="inlineStr">
        <x:is>
          <x:t xml:space="preserve">Sorcerer</x:t>
        </x:is>
      </x:c>
      <x:c r="B367" s="2" t="inlineStr">
        <x:is>
          <x:t xml:space="preserve">2</x:t>
        </x:is>
      </x:c>
      <x:c r="C367" s="2" t="inlineStr">
        <x:is>
          <x:t xml:space="preserve">Blur</x:t>
        </x:is>
      </x:c>
      <x:c r="D367" s="2" t="inlineStr">
        <x:is>
          <x:t xml:space="preserve">Illusion</x:t>
        </x:is>
      </x:c>
      <x:c r="E367" s="2" t="inlineStr">
        <x:is>
          <x:t xml:space="preserve">From spell description class tags</x:t>
        </x:is>
      </x:c>
      <x:c r="F367" s="2" t="inlineStr">
        <x:is>
          <x:t xml:space="preserve">SRD 5.2.1</x:t>
        </x:is>
      </x:c>
    </x:row>
    <x:row r="368" ht="18" customHeight="1">
      <x:c r="A368" s="2" t="inlineStr">
        <x:is>
          <x:t xml:space="preserve">Sorcerer</x:t>
        </x:is>
      </x:c>
      <x:c r="B368" s="2" t="inlineStr">
        <x:is>
          <x:t xml:space="preserve">2</x:t>
        </x:is>
      </x:c>
      <x:c r="C368" s="2" t="inlineStr">
        <x:is>
          <x:t xml:space="preserve">Darkness</x:t>
        </x:is>
      </x:c>
      <x:c r="D368" s="2" t="inlineStr">
        <x:is>
          <x:t xml:space="preserve">Evocation</x:t>
        </x:is>
      </x:c>
      <x:c r="E368" s="2" t="inlineStr">
        <x:is>
          <x:t xml:space="preserve">From spell description class tags</x:t>
        </x:is>
      </x:c>
      <x:c r="F368" s="2" t="inlineStr">
        <x:is>
          <x:t xml:space="preserve">SRD 5.2.1</x:t>
        </x:is>
      </x:c>
    </x:row>
    <x:row r="369" ht="18" customHeight="1">
      <x:c r="A369" s="2" t="inlineStr">
        <x:is>
          <x:t xml:space="preserve">Sorcerer</x:t>
        </x:is>
      </x:c>
      <x:c r="B369" s="2" t="inlineStr">
        <x:is>
          <x:t xml:space="preserve">2</x:t>
        </x:is>
      </x:c>
      <x:c r="C369" s="2" t="inlineStr">
        <x:is>
          <x:t xml:space="preserve">Detect Thoughts</x:t>
        </x:is>
      </x:c>
      <x:c r="D369" s="2" t="inlineStr">
        <x:is>
          <x:t xml:space="preserve">Divination</x:t>
        </x:is>
      </x:c>
      <x:c r="E369" s="2" t="inlineStr">
        <x:is>
          <x:t xml:space="preserve">From spell description class tags</x:t>
        </x:is>
      </x:c>
      <x:c r="F369" s="2" t="inlineStr">
        <x:is>
          <x:t xml:space="preserve">SRD 5.2.1</x:t>
        </x:is>
      </x:c>
    </x:row>
    <x:row r="370" ht="18" customHeight="1">
      <x:c r="A370" s="2" t="inlineStr">
        <x:is>
          <x:t xml:space="preserve">Sorcerer</x:t>
        </x:is>
      </x:c>
      <x:c r="B370" s="2" t="inlineStr">
        <x:is>
          <x:t xml:space="preserve">2</x:t>
        </x:is>
      </x:c>
      <x:c r="C370" s="2" t="inlineStr">
        <x:is>
          <x:t xml:space="preserve">Dragon’s Breath</x:t>
        </x:is>
      </x:c>
      <x:c r="D370" s="2" t="inlineStr">
        <x:is>
          <x:t xml:space="preserve">Transmutation</x:t>
        </x:is>
      </x:c>
      <x:c r="E370" s="2" t="inlineStr">
        <x:is>
          <x:t xml:space="preserve">From spell description class tags</x:t>
        </x:is>
      </x:c>
      <x:c r="F370" s="2" t="inlineStr">
        <x:is>
          <x:t xml:space="preserve">SRD 5.2.1</x:t>
        </x:is>
      </x:c>
    </x:row>
    <x:row r="371" ht="18" customHeight="1">
      <x:c r="A371" s="2" t="inlineStr">
        <x:is>
          <x:t xml:space="preserve">Sorcerer</x:t>
        </x:is>
      </x:c>
      <x:c r="B371" s="2" t="inlineStr">
        <x:is>
          <x:t xml:space="preserve">2</x:t>
        </x:is>
      </x:c>
      <x:c r="C371" s="2" t="inlineStr">
        <x:is>
          <x:t xml:space="preserve">Enlarge/Reduce</x:t>
        </x:is>
      </x:c>
      <x:c r="D371" s="2" t="inlineStr">
        <x:is>
          <x:t xml:space="preserve">Transmutation</x:t>
        </x:is>
      </x:c>
      <x:c r="E371" s="2" t="inlineStr">
        <x:is>
          <x:t xml:space="preserve">From spell description class tags</x:t>
        </x:is>
      </x:c>
      <x:c r="F371" s="2" t="inlineStr">
        <x:is>
          <x:t xml:space="preserve">SRD 5.2.1</x:t>
        </x:is>
      </x:c>
    </x:row>
    <x:row r="372" ht="18" customHeight="1">
      <x:c r="A372" s="2" t="inlineStr">
        <x:is>
          <x:t xml:space="preserve">Sorcerer</x:t>
        </x:is>
      </x:c>
      <x:c r="B372" s="2" t="inlineStr">
        <x:is>
          <x:t xml:space="preserve">2</x:t>
        </x:is>
      </x:c>
      <x:c r="C372" s="2" t="inlineStr">
        <x:is>
          <x:t xml:space="preserve">Flame Blade</x:t>
        </x:is>
      </x:c>
      <x:c r="D372" s="2" t="inlineStr">
        <x:is>
          <x:t xml:space="preserve">Evocation</x:t>
        </x:is>
      </x:c>
      <x:c r="E372" s="2" t="inlineStr">
        <x:is>
          <x:t xml:space="preserve">From spell description class tags</x:t>
        </x:is>
      </x:c>
      <x:c r="F372" s="2" t="inlineStr">
        <x:is>
          <x:t xml:space="preserve">SRD 5.2.1</x:t>
        </x:is>
      </x:c>
    </x:row>
    <x:row r="373" ht="18" customHeight="1">
      <x:c r="A373" s="2" t="inlineStr">
        <x:is>
          <x:t xml:space="preserve">Sorcerer</x:t>
        </x:is>
      </x:c>
      <x:c r="B373" s="2" t="inlineStr">
        <x:is>
          <x:t xml:space="preserve">2</x:t>
        </x:is>
      </x:c>
      <x:c r="C373" s="2" t="inlineStr">
        <x:is>
          <x:t xml:space="preserve">Flaming Sphere</x:t>
        </x:is>
      </x:c>
      <x:c r="D373" s="2" t="inlineStr">
        <x:is>
          <x:t xml:space="preserve">Conjuration</x:t>
        </x:is>
      </x:c>
      <x:c r="E373" s="2" t="inlineStr">
        <x:is>
          <x:t xml:space="preserve">From spell description class tags</x:t>
        </x:is>
      </x:c>
      <x:c r="F373" s="2" t="inlineStr">
        <x:is>
          <x:t xml:space="preserve">SRD 5.2.1</x:t>
        </x:is>
      </x:c>
    </x:row>
    <x:row r="374" ht="18" customHeight="1">
      <x:c r="A374" s="2" t="inlineStr">
        <x:is>
          <x:t xml:space="preserve">Sorcerer</x:t>
        </x:is>
      </x:c>
      <x:c r="B374" s="2" t="inlineStr">
        <x:is>
          <x:t xml:space="preserve">2</x:t>
        </x:is>
      </x:c>
      <x:c r="C374" s="2" t="inlineStr">
        <x:is>
          <x:t xml:space="preserve">Gust of Wind</x:t>
        </x:is>
      </x:c>
      <x:c r="D374" s="2" t="inlineStr">
        <x:is>
          <x:t xml:space="preserve">Evocation</x:t>
        </x:is>
      </x:c>
      <x:c r="E374" s="2" t="inlineStr">
        <x:is>
          <x:t xml:space="preserve">From spell description class tags</x:t>
        </x:is>
      </x:c>
      <x:c r="F374" s="2" t="inlineStr">
        <x:is>
          <x:t xml:space="preserve">SRD 5.2.1</x:t>
        </x:is>
      </x:c>
    </x:row>
    <x:row r="375" ht="18" customHeight="1">
      <x:c r="A375" s="2" t="inlineStr">
        <x:is>
          <x:t xml:space="preserve">Sorcerer</x:t>
        </x:is>
      </x:c>
      <x:c r="B375" s="2" t="inlineStr">
        <x:is>
          <x:t xml:space="preserve">2</x:t>
        </x:is>
      </x:c>
      <x:c r="C375" s="2" t="inlineStr">
        <x:is>
          <x:t xml:space="preserve">Invisibility</x:t>
        </x:is>
      </x:c>
      <x:c r="D375" s="2" t="inlineStr">
        <x:is>
          <x:t xml:space="preserve">Illusion</x:t>
        </x:is>
      </x:c>
      <x:c r="E375" s="2" t="inlineStr">
        <x:is>
          <x:t xml:space="preserve">From spell description class tags</x:t>
        </x:is>
      </x:c>
      <x:c r="F375" s="2" t="inlineStr">
        <x:is>
          <x:t xml:space="preserve">SRD 5.2.1</x:t>
        </x:is>
      </x:c>
    </x:row>
    <x:row r="376" ht="18" customHeight="1">
      <x:c r="A376" s="2" t="inlineStr">
        <x:is>
          <x:t xml:space="preserve">Sorcerer</x:t>
        </x:is>
      </x:c>
      <x:c r="B376" s="2" t="inlineStr">
        <x:is>
          <x:t xml:space="preserve">2</x:t>
        </x:is>
      </x:c>
      <x:c r="C376" s="2" t="inlineStr">
        <x:is>
          <x:t xml:space="preserve">Knock</x:t>
        </x:is>
      </x:c>
      <x:c r="D376" s="2" t="inlineStr">
        <x:is>
          <x:t xml:space="preserve">Transmutation</x:t>
        </x:is>
      </x:c>
      <x:c r="E376" s="2" t="inlineStr">
        <x:is>
          <x:t xml:space="preserve">From spell description class tags</x:t>
        </x:is>
      </x:c>
      <x:c r="F376" s="2" t="inlineStr">
        <x:is>
          <x:t xml:space="preserve">SRD 5.2.1</x:t>
        </x:is>
      </x:c>
    </x:row>
    <x:row r="377" ht="18" customHeight="1">
      <x:c r="A377" s="2" t="inlineStr">
        <x:is>
          <x:t xml:space="preserve">Sorcerer</x:t>
        </x:is>
      </x:c>
      <x:c r="B377" s="2" t="inlineStr">
        <x:is>
          <x:t xml:space="preserve">2</x:t>
        </x:is>
      </x:c>
      <x:c r="C377" s="2" t="inlineStr">
        <x:is>
          <x:t xml:space="preserve">Levitate</x:t>
        </x:is>
      </x:c>
      <x:c r="D377" s="2" t="inlineStr">
        <x:is>
          <x:t xml:space="preserve">Transmutation</x:t>
        </x:is>
      </x:c>
      <x:c r="E377" s="2" t="inlineStr">
        <x:is>
          <x:t xml:space="preserve">From spell description class tags</x:t>
        </x:is>
      </x:c>
      <x:c r="F377" s="2" t="inlineStr">
        <x:is>
          <x:t xml:space="preserve">SRD 5.2.1</x:t>
        </x:is>
      </x:c>
    </x:row>
    <x:row r="378" ht="18" customHeight="1">
      <x:c r="A378" s="2" t="inlineStr">
        <x:is>
          <x:t xml:space="preserve">Sorcerer</x:t>
        </x:is>
      </x:c>
      <x:c r="B378" s="2" t="inlineStr">
        <x:is>
          <x:t xml:space="preserve">2</x:t>
        </x:is>
      </x:c>
      <x:c r="C378" s="2" t="inlineStr">
        <x:is>
          <x:t xml:space="preserve">Mind Spike</x:t>
        </x:is>
      </x:c>
      <x:c r="D378" s="2" t="inlineStr">
        <x:is>
          <x:t xml:space="preserve">Divination</x:t>
        </x:is>
      </x:c>
      <x:c r="E378" s="2" t="inlineStr">
        <x:is>
          <x:t xml:space="preserve">From spell description class tags</x:t>
        </x:is>
      </x:c>
      <x:c r="F378" s="2" t="inlineStr">
        <x:is>
          <x:t xml:space="preserve">SRD 5.2.1</x:t>
        </x:is>
      </x:c>
    </x:row>
    <x:row r="379" ht="18" customHeight="1">
      <x:c r="A379" s="2" t="inlineStr">
        <x:is>
          <x:t xml:space="preserve">Sorcerer</x:t>
        </x:is>
      </x:c>
      <x:c r="B379" s="2" t="inlineStr">
        <x:is>
          <x:t xml:space="preserve">2</x:t>
        </x:is>
      </x:c>
      <x:c r="C379" s="2" t="inlineStr">
        <x:is>
          <x:t xml:space="preserve">Mirror Image</x:t>
        </x:is>
      </x:c>
      <x:c r="D379" s="2" t="inlineStr">
        <x:is>
          <x:t xml:space="preserve">Illusion</x:t>
        </x:is>
      </x:c>
      <x:c r="E379" s="2" t="inlineStr">
        <x:is>
          <x:t xml:space="preserve">From spell description class tags</x:t>
        </x:is>
      </x:c>
      <x:c r="F379" s="2" t="inlineStr">
        <x:is>
          <x:t xml:space="preserve">SRD 5.2.1</x:t>
        </x:is>
      </x:c>
    </x:row>
    <x:row r="380" ht="18" customHeight="1">
      <x:c r="A380" s="2" t="inlineStr">
        <x:is>
          <x:t xml:space="preserve">Sorcerer</x:t>
        </x:is>
      </x:c>
      <x:c r="B380" s="2" t="inlineStr">
        <x:is>
          <x:t xml:space="preserve">2</x:t>
        </x:is>
      </x:c>
      <x:c r="C380" s="2" t="inlineStr">
        <x:is>
          <x:t xml:space="preserve">Misty Step</x:t>
        </x:is>
      </x:c>
      <x:c r="D380" s="2" t="inlineStr">
        <x:is>
          <x:t xml:space="preserve">Conjuration</x:t>
        </x:is>
      </x:c>
      <x:c r="E380" s="2" t="inlineStr">
        <x:is>
          <x:t xml:space="preserve">From spell description class tags</x:t>
        </x:is>
      </x:c>
      <x:c r="F380" s="2" t="inlineStr">
        <x:is>
          <x:t xml:space="preserve">SRD 5.2.1</x:t>
        </x:is>
      </x:c>
    </x:row>
    <x:row r="381" ht="18" customHeight="1">
      <x:c r="A381" s="2" t="inlineStr">
        <x:is>
          <x:t xml:space="preserve">Sorcerer</x:t>
        </x:is>
      </x:c>
      <x:c r="B381" s="2" t="inlineStr">
        <x:is>
          <x:t xml:space="preserve">2</x:t>
        </x:is>
      </x:c>
      <x:c r="C381" s="2" t="inlineStr">
        <x:is>
          <x:t xml:space="preserve">Phantasmal Force</x:t>
        </x:is>
      </x:c>
      <x:c r="D381" s="2" t="inlineStr">
        <x:is>
          <x:t xml:space="preserve">Illusion</x:t>
        </x:is>
      </x:c>
      <x:c r="E381" s="2" t="inlineStr">
        <x:is>
          <x:t xml:space="preserve">From spell description class tags</x:t>
        </x:is>
      </x:c>
      <x:c r="F381" s="2" t="inlineStr">
        <x:is>
          <x:t xml:space="preserve">SRD 5.2.1</x:t>
        </x:is>
      </x:c>
    </x:row>
    <x:row r="382" ht="18" customHeight="1">
      <x:c r="A382" s="2" t="inlineStr">
        <x:is>
          <x:t xml:space="preserve">Sorcerer</x:t>
        </x:is>
      </x:c>
      <x:c r="B382" s="2" t="inlineStr">
        <x:is>
          <x:t xml:space="preserve">2</x:t>
        </x:is>
      </x:c>
      <x:c r="C382" s="2" t="inlineStr">
        <x:is>
          <x:t xml:space="preserve">Scorching Ray</x:t>
        </x:is>
      </x:c>
      <x:c r="D382" s="2" t="inlineStr">
        <x:is>
          <x:t xml:space="preserve">Evocation</x:t>
        </x:is>
      </x:c>
      <x:c r="E382" s="2" t="inlineStr">
        <x:is>
          <x:t xml:space="preserve">From spell description class tags</x:t>
        </x:is>
      </x:c>
      <x:c r="F382" s="2" t="inlineStr">
        <x:is>
          <x:t xml:space="preserve">SRD 5.2.1</x:t>
        </x:is>
      </x:c>
    </x:row>
    <x:row r="383" ht="18" customHeight="1">
      <x:c r="A383" s="2" t="inlineStr">
        <x:is>
          <x:t xml:space="preserve">Sorcerer</x:t>
        </x:is>
      </x:c>
      <x:c r="B383" s="2" t="inlineStr">
        <x:is>
          <x:t xml:space="preserve">2</x:t>
        </x:is>
      </x:c>
      <x:c r="C383" s="2" t="inlineStr">
        <x:is>
          <x:t xml:space="preserve">See Invisibility</x:t>
        </x:is>
      </x:c>
      <x:c r="D383" s="2" t="inlineStr">
        <x:is>
          <x:t xml:space="preserve">Divination</x:t>
        </x:is>
      </x:c>
      <x:c r="E383" s="2" t="inlineStr">
        <x:is>
          <x:t xml:space="preserve">From spell description class tags</x:t>
        </x:is>
      </x:c>
      <x:c r="F383" s="2" t="inlineStr">
        <x:is>
          <x:t xml:space="preserve">SRD 5.2.1</x:t>
        </x:is>
      </x:c>
    </x:row>
    <x:row r="384" ht="18" customHeight="1">
      <x:c r="A384" s="2" t="inlineStr">
        <x:is>
          <x:t xml:space="preserve">Sorcerer</x:t>
        </x:is>
      </x:c>
      <x:c r="B384" s="2" t="inlineStr">
        <x:is>
          <x:t xml:space="preserve">2</x:t>
        </x:is>
      </x:c>
      <x:c r="C384" s="2" t="inlineStr">
        <x:is>
          <x:t xml:space="preserve">Shatter</x:t>
        </x:is>
      </x:c>
      <x:c r="D384" s="2" t="inlineStr">
        <x:is>
          <x:t xml:space="preserve">Evocation</x:t>
        </x:is>
      </x:c>
      <x:c r="E384" s="2" t="inlineStr">
        <x:is>
          <x:t xml:space="preserve">From spell description class tags</x:t>
        </x:is>
      </x:c>
      <x:c r="F384" s="2" t="inlineStr">
        <x:is>
          <x:t xml:space="preserve">SRD 5.2.1</x:t>
        </x:is>
      </x:c>
    </x:row>
    <x:row r="385" ht="18" customHeight="1">
      <x:c r="A385" s="2" t="inlineStr">
        <x:is>
          <x:t xml:space="preserve">Sorcerer</x:t>
        </x:is>
      </x:c>
      <x:c r="B385" s="2" t="inlineStr">
        <x:is>
          <x:t xml:space="preserve">2</x:t>
        </x:is>
      </x:c>
      <x:c r="C385" s="2" t="inlineStr">
        <x:is>
          <x:t xml:space="preserve">Spider Climb</x:t>
        </x:is>
      </x:c>
      <x:c r="D385" s="2" t="inlineStr">
        <x:is>
          <x:t xml:space="preserve">Transmutation</x:t>
        </x:is>
      </x:c>
      <x:c r="E385" s="2" t="inlineStr">
        <x:is>
          <x:t xml:space="preserve">From spell description class tags</x:t>
        </x:is>
      </x:c>
      <x:c r="F385" s="2" t="inlineStr">
        <x:is>
          <x:t xml:space="preserve">SRD 5.2.1</x:t>
        </x:is>
      </x:c>
    </x:row>
    <x:row r="386" ht="18" customHeight="1">
      <x:c r="A386" s="2" t="inlineStr">
        <x:is>
          <x:t xml:space="preserve">Sorcerer</x:t>
        </x:is>
      </x:c>
      <x:c r="B386" s="2" t="inlineStr">
        <x:is>
          <x:t xml:space="preserve">2</x:t>
        </x:is>
      </x:c>
      <x:c r="C386" s="2" t="inlineStr">
        <x:is>
          <x:t xml:space="preserve">Web</x:t>
        </x:is>
      </x:c>
      <x:c r="D386" s="2" t="inlineStr">
        <x:is>
          <x:t xml:space="preserve">Conjuration</x:t>
        </x:is>
      </x:c>
      <x:c r="E386" s="2" t="inlineStr">
        <x:is>
          <x:t xml:space="preserve">From spell description class tags</x:t>
        </x:is>
      </x:c>
      <x:c r="F386" s="2" t="inlineStr">
        <x:is>
          <x:t xml:space="preserve">SRD 5.2.1</x:t>
        </x:is>
      </x:c>
    </x:row>
    <x:row r="387" ht="18" customHeight="1">
      <x:c r="A387" s="2" t="inlineStr">
        <x:is>
          <x:t xml:space="preserve">Sorcerer</x:t>
        </x:is>
      </x:c>
      <x:c r="B387" s="2" t="inlineStr">
        <x:is>
          <x:t xml:space="preserve">3</x:t>
        </x:is>
      </x:c>
      <x:c r="C387" s="2" t="inlineStr">
        <x:is>
          <x:t xml:space="preserve">Blink</x:t>
        </x:is>
      </x:c>
      <x:c r="D387" s="2" t="inlineStr">
        <x:is>
          <x:t xml:space="preserve">Transmutation</x:t>
        </x:is>
      </x:c>
      <x:c r="E387" s="2" t="inlineStr">
        <x:is>
          <x:t xml:space="preserve">From spell description class tags</x:t>
        </x:is>
      </x:c>
      <x:c r="F387" s="2" t="inlineStr">
        <x:is>
          <x:t xml:space="preserve">SRD 5.2.1</x:t>
        </x:is>
      </x:c>
    </x:row>
    <x:row r="388" ht="18" customHeight="1">
      <x:c r="A388" s="2" t="inlineStr">
        <x:is>
          <x:t xml:space="preserve">Sorcerer</x:t>
        </x:is>
      </x:c>
      <x:c r="B388" s="2" t="inlineStr">
        <x:is>
          <x:t xml:space="preserve">3</x:t>
        </x:is>
      </x:c>
      <x:c r="C388" s="2" t="inlineStr">
        <x:is>
          <x:t xml:space="preserve">Clairvoyance</x:t>
        </x:is>
      </x:c>
      <x:c r="D388" s="2" t="inlineStr">
        <x:is>
          <x:t xml:space="preserve">Divination</x:t>
        </x:is>
      </x:c>
      <x:c r="E388" s="2" t="inlineStr">
        <x:is>
          <x:t xml:space="preserve">From spell description class tags</x:t>
        </x:is>
      </x:c>
      <x:c r="F388" s="2" t="inlineStr">
        <x:is>
          <x:t xml:space="preserve">SRD 5.2.1</x:t>
        </x:is>
      </x:c>
    </x:row>
    <x:row r="389" ht="18" customHeight="1">
      <x:c r="A389" s="2" t="inlineStr">
        <x:is>
          <x:t xml:space="preserve">Sorcerer</x:t>
        </x:is>
      </x:c>
      <x:c r="B389" s="2" t="inlineStr">
        <x:is>
          <x:t xml:space="preserve">3</x:t>
        </x:is>
      </x:c>
      <x:c r="C389" s="2" t="inlineStr">
        <x:is>
          <x:t xml:space="preserve">Counterspell</x:t>
        </x:is>
      </x:c>
      <x:c r="D389" s="2" t="inlineStr">
        <x:is>
          <x:t xml:space="preserve">Abjuration</x:t>
        </x:is>
      </x:c>
      <x:c r="E389" s="2" t="inlineStr">
        <x:is>
          <x:t xml:space="preserve">From spell description class tags</x:t>
        </x:is>
      </x:c>
      <x:c r="F389" s="2" t="inlineStr">
        <x:is>
          <x:t xml:space="preserve">SRD 5.2.1</x:t>
        </x:is>
      </x:c>
    </x:row>
    <x:row r="390" ht="18" customHeight="1">
      <x:c r="A390" s="2" t="inlineStr">
        <x:is>
          <x:t xml:space="preserve">Sorcerer</x:t>
        </x:is>
      </x:c>
      <x:c r="B390" s="2" t="inlineStr">
        <x:is>
          <x:t xml:space="preserve">3</x:t>
        </x:is>
      </x:c>
      <x:c r="C390" s="2" t="inlineStr">
        <x:is>
          <x:t xml:space="preserve">Fear</x:t>
        </x:is>
      </x:c>
      <x:c r="D390" s="2" t="inlineStr">
        <x:is>
          <x:t xml:space="preserve">Illusion</x:t>
        </x:is>
      </x:c>
      <x:c r="E390" s="2" t="inlineStr">
        <x:is>
          <x:t xml:space="preserve">From spell description class tags</x:t>
        </x:is>
      </x:c>
      <x:c r="F390" s="2" t="inlineStr">
        <x:is>
          <x:t xml:space="preserve">SRD 5.2.1</x:t>
        </x:is>
      </x:c>
    </x:row>
    <x:row r="391" ht="18" customHeight="1">
      <x:c r="A391" s="2" t="inlineStr">
        <x:is>
          <x:t xml:space="preserve">Sorcerer</x:t>
        </x:is>
      </x:c>
      <x:c r="B391" s="2" t="inlineStr">
        <x:is>
          <x:t xml:space="preserve">3</x:t>
        </x:is>
      </x:c>
      <x:c r="C391" s="2" t="inlineStr">
        <x:is>
          <x:t xml:space="preserve">Fireball</x:t>
        </x:is>
      </x:c>
      <x:c r="D391" s="2" t="inlineStr">
        <x:is>
          <x:t xml:space="preserve">Evocation</x:t>
        </x:is>
      </x:c>
      <x:c r="E391" s="2" t="inlineStr">
        <x:is>
          <x:t xml:space="preserve">From spell description class tags</x:t>
        </x:is>
      </x:c>
      <x:c r="F391" s="2" t="inlineStr">
        <x:is>
          <x:t xml:space="preserve">SRD 5.2.1</x:t>
        </x:is>
      </x:c>
    </x:row>
    <x:row r="392" ht="18" customHeight="1">
      <x:c r="A392" s="2" t="inlineStr">
        <x:is>
          <x:t xml:space="preserve">Sorcerer</x:t>
        </x:is>
      </x:c>
      <x:c r="B392" s="2" t="inlineStr">
        <x:is>
          <x:t xml:space="preserve">3</x:t>
        </x:is>
      </x:c>
      <x:c r="C392" s="2" t="inlineStr">
        <x:is>
          <x:t xml:space="preserve">Fly</x:t>
        </x:is>
      </x:c>
      <x:c r="D392" s="2" t="inlineStr">
        <x:is>
          <x:t xml:space="preserve">Transmutation</x:t>
        </x:is>
      </x:c>
      <x:c r="E392" s="2" t="inlineStr">
        <x:is>
          <x:t xml:space="preserve">From spell description class tags</x:t>
        </x:is>
      </x:c>
      <x:c r="F392" s="2" t="inlineStr">
        <x:is>
          <x:t xml:space="preserve">SRD 5.2.1</x:t>
        </x:is>
      </x:c>
    </x:row>
    <x:row r="393" ht="18" customHeight="1">
      <x:c r="A393" s="2" t="inlineStr">
        <x:is>
          <x:t xml:space="preserve">Sorcerer</x:t>
        </x:is>
      </x:c>
      <x:c r="B393" s="2" t="inlineStr">
        <x:is>
          <x:t xml:space="preserve">3</x:t>
        </x:is>
      </x:c>
      <x:c r="C393" s="2" t="inlineStr">
        <x:is>
          <x:t xml:space="preserve">Gaseous Form</x:t>
        </x:is>
      </x:c>
      <x:c r="D393" s="2" t="inlineStr">
        <x:is>
          <x:t xml:space="preserve">Transmutation</x:t>
        </x:is>
      </x:c>
      <x:c r="E393" s="2" t="inlineStr">
        <x:is>
          <x:t xml:space="preserve">From spell description class tags</x:t>
        </x:is>
      </x:c>
      <x:c r="F393" s="2" t="inlineStr">
        <x:is>
          <x:t xml:space="preserve">SRD 5.2.1</x:t>
        </x:is>
      </x:c>
    </x:row>
    <x:row r="394" ht="18" customHeight="1">
      <x:c r="A394" s="2" t="inlineStr">
        <x:is>
          <x:t xml:space="preserve">Sorcerer</x:t>
        </x:is>
      </x:c>
      <x:c r="B394" s="2" t="inlineStr">
        <x:is>
          <x:t xml:space="preserve">3</x:t>
        </x:is>
      </x:c>
      <x:c r="C394" s="2" t="inlineStr">
        <x:is>
          <x:t xml:space="preserve">Haste</x:t>
        </x:is>
      </x:c>
      <x:c r="D394" s="2" t="inlineStr">
        <x:is>
          <x:t xml:space="preserve">Transmutation</x:t>
        </x:is>
      </x:c>
      <x:c r="E394" s="2" t="inlineStr">
        <x:is>
          <x:t xml:space="preserve">From spell description class tags</x:t>
        </x:is>
      </x:c>
      <x:c r="F394" s="2" t="inlineStr">
        <x:is>
          <x:t xml:space="preserve">SRD 5.2.1</x:t>
        </x:is>
      </x:c>
    </x:row>
    <x:row r="395" ht="18" customHeight="1">
      <x:c r="A395" s="2" t="inlineStr">
        <x:is>
          <x:t xml:space="preserve">Sorcerer</x:t>
        </x:is>
      </x:c>
      <x:c r="B395" s="2" t="inlineStr">
        <x:is>
          <x:t xml:space="preserve">3</x:t>
        </x:is>
      </x:c>
      <x:c r="C395" s="2" t="inlineStr">
        <x:is>
          <x:t xml:space="preserve">Hypnotic Pattern</x:t>
        </x:is>
      </x:c>
      <x:c r="D395" s="2" t="inlineStr">
        <x:is>
          <x:t xml:space="preserve">Illusion</x:t>
        </x:is>
      </x:c>
      <x:c r="E395" s="2" t="inlineStr">
        <x:is>
          <x:t xml:space="preserve">From spell description class tags</x:t>
        </x:is>
      </x:c>
      <x:c r="F395" s="2" t="inlineStr">
        <x:is>
          <x:t xml:space="preserve">SRD 5.2.1</x:t>
        </x:is>
      </x:c>
    </x:row>
    <x:row r="396" ht="18" customHeight="1">
      <x:c r="A396" s="2" t="inlineStr">
        <x:is>
          <x:t xml:space="preserve">Sorcerer</x:t>
        </x:is>
      </x:c>
      <x:c r="B396" s="2" t="inlineStr">
        <x:is>
          <x:t xml:space="preserve">3</x:t>
        </x:is>
      </x:c>
      <x:c r="C396" s="2" t="inlineStr">
        <x:is>
          <x:t xml:space="preserve">Lightning Bolt</x:t>
        </x:is>
      </x:c>
      <x:c r="D396" s="2" t="inlineStr">
        <x:is>
          <x:t xml:space="preserve">Evocation</x:t>
        </x:is>
      </x:c>
      <x:c r="E396" s="2" t="inlineStr">
        <x:is>
          <x:t xml:space="preserve">From spell description class tags</x:t>
        </x:is>
      </x:c>
      <x:c r="F396" s="2" t="inlineStr">
        <x:is>
          <x:t xml:space="preserve">SRD 5.2.1</x:t>
        </x:is>
      </x:c>
    </x:row>
    <x:row r="397" ht="18" customHeight="1">
      <x:c r="A397" s="2" t="inlineStr">
        <x:is>
          <x:t xml:space="preserve">Sorcerer</x:t>
        </x:is>
      </x:c>
      <x:c r="B397" s="2" t="inlineStr">
        <x:is>
          <x:t xml:space="preserve">3</x:t>
        </x:is>
      </x:c>
      <x:c r="C397" s="2" t="inlineStr">
        <x:is>
          <x:t xml:space="preserve">Major Image</x:t>
        </x:is>
      </x:c>
      <x:c r="D397" s="2" t="inlineStr">
        <x:is>
          <x:t xml:space="preserve">Illusion</x:t>
        </x:is>
      </x:c>
      <x:c r="E397" s="2" t="inlineStr">
        <x:is>
          <x:t xml:space="preserve">From spell description class tags</x:t>
        </x:is>
      </x:c>
      <x:c r="F397" s="2" t="inlineStr">
        <x:is>
          <x:t xml:space="preserve">SRD 5.2.1</x:t>
        </x:is>
      </x:c>
    </x:row>
    <x:row r="398" ht="18" customHeight="1">
      <x:c r="A398" s="2" t="inlineStr">
        <x:is>
          <x:t xml:space="preserve">Sorcerer</x:t>
        </x:is>
      </x:c>
      <x:c r="B398" s="2" t="inlineStr">
        <x:is>
          <x:t xml:space="preserve">3</x:t>
        </x:is>
      </x:c>
      <x:c r="C398" s="2" t="inlineStr">
        <x:is>
          <x:t xml:space="preserve">Sleet Storm</x:t>
        </x:is>
      </x:c>
      <x:c r="D398" s="2" t="inlineStr">
        <x:is>
          <x:t xml:space="preserve">Conjuration</x:t>
        </x:is>
      </x:c>
      <x:c r="E398" s="2" t="inlineStr">
        <x:is>
          <x:t xml:space="preserve">From spell description class tags</x:t>
        </x:is>
      </x:c>
      <x:c r="F398" s="2" t="inlineStr">
        <x:is>
          <x:t xml:space="preserve">SRD 5.2.1</x:t>
        </x:is>
      </x:c>
    </x:row>
    <x:row r="399" ht="18" customHeight="1">
      <x:c r="A399" s="2" t="inlineStr">
        <x:is>
          <x:t xml:space="preserve">Sorcerer</x:t>
        </x:is>
      </x:c>
      <x:c r="B399" s="2" t="inlineStr">
        <x:is>
          <x:t xml:space="preserve">3</x:t>
        </x:is>
      </x:c>
      <x:c r="C399" s="2" t="inlineStr">
        <x:is>
          <x:t xml:space="preserve">Slow</x:t>
        </x:is>
      </x:c>
      <x:c r="D399" s="2" t="inlineStr">
        <x:is>
          <x:t xml:space="preserve">Transmutation</x:t>
        </x:is>
      </x:c>
      <x:c r="E399" s="2" t="inlineStr">
        <x:is>
          <x:t xml:space="preserve">From spell description class tags</x:t>
        </x:is>
      </x:c>
      <x:c r="F399" s="2" t="inlineStr">
        <x:is>
          <x:t xml:space="preserve">SRD 5.2.1</x:t>
        </x:is>
      </x:c>
    </x:row>
    <x:row r="400" ht="18" customHeight="1">
      <x:c r="A400" s="2" t="inlineStr">
        <x:is>
          <x:t xml:space="preserve">Sorcerer</x:t>
        </x:is>
      </x:c>
      <x:c r="B400" s="2" t="inlineStr">
        <x:is>
          <x:t xml:space="preserve">3</x:t>
        </x:is>
      </x:c>
      <x:c r="C400" s="2" t="inlineStr">
        <x:is>
          <x:t xml:space="preserve">Stinking Cloud</x:t>
        </x:is>
      </x:c>
      <x:c r="D400" s="2" t="inlineStr">
        <x:is>
          <x:t xml:space="preserve">Conjuration</x:t>
        </x:is>
      </x:c>
      <x:c r="E400" s="2" t="inlineStr">
        <x:is>
          <x:t xml:space="preserve">From spell description class tags</x:t>
        </x:is>
      </x:c>
      <x:c r="F400" s="2" t="inlineStr">
        <x:is>
          <x:t xml:space="preserve">SRD 5.2.1</x:t>
        </x:is>
      </x:c>
    </x:row>
    <x:row r="401" ht="18" customHeight="1">
      <x:c r="A401" s="2" t="inlineStr">
        <x:is>
          <x:t xml:space="preserve">Sorcerer</x:t>
        </x:is>
      </x:c>
      <x:c r="B401" s="2" t="inlineStr">
        <x:is>
          <x:t xml:space="preserve">3</x:t>
        </x:is>
      </x:c>
      <x:c r="C401" s="2" t="inlineStr">
        <x:is>
          <x:t xml:space="preserve">Vampiric Touch</x:t>
        </x:is>
      </x:c>
      <x:c r="D401" s="2" t="inlineStr">
        <x:is>
          <x:t xml:space="preserve">Necromancy</x:t>
        </x:is>
      </x:c>
      <x:c r="E401" s="2" t="inlineStr">
        <x:is>
          <x:t xml:space="preserve">From spell description class tags</x:t>
        </x:is>
      </x:c>
      <x:c r="F401" s="2" t="inlineStr">
        <x:is>
          <x:t xml:space="preserve">SRD 5.2.1</x:t>
        </x:is>
      </x:c>
    </x:row>
    <x:row r="402" ht="18" customHeight="1">
      <x:c r="A402" s="2" t="inlineStr">
        <x:is>
          <x:t xml:space="preserve">Sorcerer</x:t>
        </x:is>
      </x:c>
      <x:c r="B402" s="2" t="inlineStr">
        <x:is>
          <x:t xml:space="preserve">3</x:t>
        </x:is>
      </x:c>
      <x:c r="C402" s="2" t="inlineStr">
        <x:is>
          <x:t xml:space="preserve">Water Walk</x:t>
        </x:is>
      </x:c>
      <x:c r="D402" s="2" t="inlineStr">
        <x:is>
          <x:t xml:space="preserve">Transmutation</x:t>
        </x:is>
      </x:c>
      <x:c r="E402" s="2" t="inlineStr">
        <x:is>
          <x:t xml:space="preserve">From spell description class tags</x:t>
        </x:is>
      </x:c>
      <x:c r="F402" s="2" t="inlineStr">
        <x:is>
          <x:t xml:space="preserve">SRD 5.2.1</x:t>
        </x:is>
      </x:c>
    </x:row>
    <x:row r="403" ht="18" customHeight="1">
      <x:c r="A403" s="2" t="inlineStr">
        <x:is>
          <x:t xml:space="preserve">Sorcerer</x:t>
        </x:is>
      </x:c>
      <x:c r="B403" s="2" t="inlineStr">
        <x:is>
          <x:t xml:space="preserve">4</x:t>
        </x:is>
      </x:c>
      <x:c r="C403" s="2" t="inlineStr">
        <x:is>
          <x:t xml:space="preserve">Confusion</x:t>
        </x:is>
      </x:c>
      <x:c r="D403" s="2" t="inlineStr">
        <x:is>
          <x:t xml:space="preserve">Enchantment</x:t>
        </x:is>
      </x:c>
      <x:c r="E403" s="2" t="inlineStr">
        <x:is>
          <x:t xml:space="preserve">From spell description class tags</x:t>
        </x:is>
      </x:c>
      <x:c r="F403" s="2" t="inlineStr">
        <x:is>
          <x:t xml:space="preserve">SRD 5.2.1</x:t>
        </x:is>
      </x:c>
    </x:row>
    <x:row r="404" ht="18" customHeight="1">
      <x:c r="A404" s="2" t="inlineStr">
        <x:is>
          <x:t xml:space="preserve">Sorcerer</x:t>
        </x:is>
      </x:c>
      <x:c r="B404" s="2" t="inlineStr">
        <x:is>
          <x:t xml:space="preserve">4</x:t>
        </x:is>
      </x:c>
      <x:c r="C404" s="2" t="inlineStr">
        <x:is>
          <x:t xml:space="preserve">Dimension Door</x:t>
        </x:is>
      </x:c>
      <x:c r="D404" s="2" t="inlineStr">
        <x:is>
          <x:t xml:space="preserve">Conjuration</x:t>
        </x:is>
      </x:c>
      <x:c r="E404" s="2" t="inlineStr">
        <x:is>
          <x:t xml:space="preserve">From spell description class tags</x:t>
        </x:is>
      </x:c>
      <x:c r="F404" s="2" t="inlineStr">
        <x:is>
          <x:t xml:space="preserve">SRD 5.2.1</x:t>
        </x:is>
      </x:c>
    </x:row>
    <x:row r="405" ht="18" customHeight="1">
      <x:c r="A405" s="2" t="inlineStr">
        <x:is>
          <x:t xml:space="preserve">Sorcerer</x:t>
        </x:is>
      </x:c>
      <x:c r="B405" s="2" t="inlineStr">
        <x:is>
          <x:t xml:space="preserve">4</x:t>
        </x:is>
      </x:c>
      <x:c r="C405" s="2" t="inlineStr">
        <x:is>
          <x:t xml:space="preserve">Dominate Beast</x:t>
        </x:is>
      </x:c>
      <x:c r="D405" s="2" t="inlineStr">
        <x:is>
          <x:t xml:space="preserve">Enchantment</x:t>
        </x:is>
      </x:c>
      <x:c r="E405" s="2" t="inlineStr">
        <x:is>
          <x:t xml:space="preserve">From spell description class tags</x:t>
        </x:is>
      </x:c>
      <x:c r="F405" s="2" t="inlineStr">
        <x:is>
          <x:t xml:space="preserve">SRD 5.2.1</x:t>
        </x:is>
      </x:c>
    </x:row>
    <x:row r="406" ht="18" customHeight="1">
      <x:c r="A406" s="2" t="inlineStr">
        <x:is>
          <x:t xml:space="preserve">Sorcerer</x:t>
        </x:is>
      </x:c>
      <x:c r="B406" s="2" t="inlineStr">
        <x:is>
          <x:t xml:space="preserve">4</x:t>
        </x:is>
      </x:c>
      <x:c r="C406" s="2" t="inlineStr">
        <x:is>
          <x:t xml:space="preserve">Fire Shield</x:t>
        </x:is>
      </x:c>
      <x:c r="D406" s="2" t="inlineStr">
        <x:is>
          <x:t xml:space="preserve">Evocation</x:t>
        </x:is>
      </x:c>
      <x:c r="E406" s="2" t="inlineStr">
        <x:is>
          <x:t xml:space="preserve">From spell description class tags</x:t>
        </x:is>
      </x:c>
      <x:c r="F406" s="2" t="inlineStr">
        <x:is>
          <x:t xml:space="preserve">SRD 5.2.1</x:t>
        </x:is>
      </x:c>
    </x:row>
    <x:row r="407" ht="18" customHeight="1">
      <x:c r="A407" s="2" t="inlineStr">
        <x:is>
          <x:t xml:space="preserve">Sorcerer</x:t>
        </x:is>
      </x:c>
      <x:c r="B407" s="2" t="inlineStr">
        <x:is>
          <x:t xml:space="preserve">4</x:t>
        </x:is>
      </x:c>
      <x:c r="C407" s="2" t="inlineStr">
        <x:is>
          <x:t xml:space="preserve">Greater Invisibility</x:t>
        </x:is>
      </x:c>
      <x:c r="D407" s="2" t="inlineStr">
        <x:is>
          <x:t xml:space="preserve">Illusion</x:t>
        </x:is>
      </x:c>
      <x:c r="E407" s="2" t="inlineStr">
        <x:is>
          <x:t xml:space="preserve">From spell description class tags</x:t>
        </x:is>
      </x:c>
      <x:c r="F407" s="2" t="inlineStr">
        <x:is>
          <x:t xml:space="preserve">SRD 5.2.1</x:t>
        </x:is>
      </x:c>
    </x:row>
    <x:row r="408" ht="18" customHeight="1">
      <x:c r="A408" s="2" t="inlineStr">
        <x:is>
          <x:t xml:space="preserve">Sorcerer</x:t>
        </x:is>
      </x:c>
      <x:c r="B408" s="2" t="inlineStr">
        <x:is>
          <x:t xml:space="preserve">4</x:t>
        </x:is>
      </x:c>
      <x:c r="C408" s="2" t="inlineStr">
        <x:is>
          <x:t xml:space="preserve">Ice Storm</x:t>
        </x:is>
      </x:c>
      <x:c r="D408" s="2" t="inlineStr">
        <x:is>
          <x:t xml:space="preserve">Evocation</x:t>
        </x:is>
      </x:c>
      <x:c r="E408" s="2" t="inlineStr">
        <x:is>
          <x:t xml:space="preserve">From spell description class tags</x:t>
        </x:is>
      </x:c>
      <x:c r="F408" s="2" t="inlineStr">
        <x:is>
          <x:t xml:space="preserve">SRD 5.2.1</x:t>
        </x:is>
      </x:c>
    </x:row>
    <x:row r="409" ht="18" customHeight="1">
      <x:c r="A409" s="2" t="inlineStr">
        <x:is>
          <x:t xml:space="preserve">Sorcerer</x:t>
        </x:is>
      </x:c>
      <x:c r="B409" s="2" t="inlineStr">
        <x:is>
          <x:t xml:space="preserve">4</x:t>
        </x:is>
      </x:c>
      <x:c r="C409" s="2" t="inlineStr">
        <x:is>
          <x:t xml:space="preserve">Polymorph</x:t>
        </x:is>
      </x:c>
      <x:c r="D409" s="2" t="inlineStr">
        <x:is>
          <x:t xml:space="preserve">Transmutation</x:t>
        </x:is>
      </x:c>
      <x:c r="E409" s="2" t="inlineStr">
        <x:is>
          <x:t xml:space="preserve">From spell description class tags</x:t>
        </x:is>
      </x:c>
      <x:c r="F409" s="2" t="inlineStr">
        <x:is>
          <x:t xml:space="preserve">SRD 5.2.1</x:t>
        </x:is>
      </x:c>
    </x:row>
    <x:row r="410" ht="18" customHeight="1">
      <x:c r="A410" s="2" t="inlineStr">
        <x:is>
          <x:t xml:space="preserve">Sorcerer</x:t>
        </x:is>
      </x:c>
      <x:c r="B410" s="2" t="inlineStr">
        <x:is>
          <x:t xml:space="preserve">4</x:t>
        </x:is>
      </x:c>
      <x:c r="C410" s="2" t="inlineStr">
        <x:is>
          <x:t xml:space="preserve">Vitriolic Sphere</x:t>
        </x:is>
      </x:c>
      <x:c r="D410" s="2" t="inlineStr">
        <x:is>
          <x:t xml:space="preserve">Evocation</x:t>
        </x:is>
      </x:c>
      <x:c r="E410" s="2" t="inlineStr">
        <x:is>
          <x:t xml:space="preserve">From spell description class tags</x:t>
        </x:is>
      </x:c>
      <x:c r="F410" s="2" t="inlineStr">
        <x:is>
          <x:t xml:space="preserve">SRD 5.2.1</x:t>
        </x:is>
      </x:c>
    </x:row>
    <x:row r="411" ht="18" customHeight="1">
      <x:c r="A411" s="2" t="inlineStr">
        <x:is>
          <x:t xml:space="preserve">Sorcerer</x:t>
        </x:is>
      </x:c>
      <x:c r="B411" s="2" t="inlineStr">
        <x:is>
          <x:t xml:space="preserve">4</x:t>
        </x:is>
      </x:c>
      <x:c r="C411" s="2" t="inlineStr">
        <x:is>
          <x:t xml:space="preserve">Wall of Fire</x:t>
        </x:is>
      </x:c>
      <x:c r="D411" s="2" t="inlineStr">
        <x:is>
          <x:t xml:space="preserve">Evocation</x:t>
        </x:is>
      </x:c>
      <x:c r="E411" s="2" t="inlineStr">
        <x:is>
          <x:t xml:space="preserve">From spell description class tags</x:t>
        </x:is>
      </x:c>
      <x:c r="F411" s="2" t="inlineStr">
        <x:is>
          <x:t xml:space="preserve">SRD 5.2.1</x:t>
        </x:is>
      </x:c>
    </x:row>
    <x:row r="412" ht="18" customHeight="1">
      <x:c r="A412" s="2" t="inlineStr">
        <x:is>
          <x:t xml:space="preserve">Sorcerer</x:t>
        </x:is>
      </x:c>
      <x:c r="B412" s="2" t="inlineStr">
        <x:is>
          <x:t xml:space="preserve">5</x:t>
        </x:is>
      </x:c>
      <x:c r="C412" s="2" t="inlineStr">
        <x:is>
          <x:t xml:space="preserve">Animate Objects</x:t>
        </x:is>
      </x:c>
      <x:c r="D412" s="2" t="inlineStr">
        <x:is>
          <x:t xml:space="preserve">Transmutation</x:t>
        </x:is>
      </x:c>
      <x:c r="E412" s="2" t="inlineStr">
        <x:is>
          <x:t xml:space="preserve">From spell description class tags</x:t>
        </x:is>
      </x:c>
      <x:c r="F412" s="2" t="inlineStr">
        <x:is>
          <x:t xml:space="preserve">SRD 5.2.1</x:t>
        </x:is>
      </x:c>
    </x:row>
    <x:row r="413" ht="18" customHeight="1">
      <x:c r="A413" s="2" t="inlineStr">
        <x:is>
          <x:t xml:space="preserve">Sorcerer</x:t>
        </x:is>
      </x:c>
      <x:c r="B413" s="2" t="inlineStr">
        <x:is>
          <x:t xml:space="preserve">5</x:t>
        </x:is>
      </x:c>
      <x:c r="C413" s="2" t="inlineStr">
        <x:is>
          <x:t xml:space="preserve">Arcane Hand</x:t>
        </x:is>
      </x:c>
      <x:c r="D413" s="2" t="inlineStr">
        <x:is>
          <x:t xml:space="preserve">Evocation</x:t>
        </x:is>
      </x:c>
      <x:c r="E413" s="2" t="inlineStr">
        <x:is>
          <x:t xml:space="preserve">From spell description class tags</x:t>
        </x:is>
      </x:c>
      <x:c r="F413" s="2" t="inlineStr">
        <x:is>
          <x:t xml:space="preserve">SRD 5.2.1</x:t>
        </x:is>
      </x:c>
    </x:row>
    <x:row r="414" ht="18" customHeight="1">
      <x:c r="A414" s="2" t="inlineStr">
        <x:is>
          <x:t xml:space="preserve">Sorcerer</x:t>
        </x:is>
      </x:c>
      <x:c r="B414" s="2" t="inlineStr">
        <x:is>
          <x:t xml:space="preserve">5</x:t>
        </x:is>
      </x:c>
      <x:c r="C414" s="2" t="inlineStr">
        <x:is>
          <x:t xml:space="preserve">Cloudkill</x:t>
        </x:is>
      </x:c>
      <x:c r="D414" s="2" t="inlineStr">
        <x:is>
          <x:t xml:space="preserve">Conjuration</x:t>
        </x:is>
      </x:c>
      <x:c r="E414" s="2" t="inlineStr">
        <x:is>
          <x:t xml:space="preserve">From spell description class tags</x:t>
        </x:is>
      </x:c>
      <x:c r="F414" s="2" t="inlineStr">
        <x:is>
          <x:t xml:space="preserve">SRD 5.2.1</x:t>
        </x:is>
      </x:c>
    </x:row>
    <x:row r="415" ht="18" customHeight="1">
      <x:c r="A415" s="2" t="inlineStr">
        <x:is>
          <x:t xml:space="preserve">Sorcerer</x:t>
        </x:is>
      </x:c>
      <x:c r="B415" s="2" t="inlineStr">
        <x:is>
          <x:t xml:space="preserve">5</x:t>
        </x:is>
      </x:c>
      <x:c r="C415" s="2" t="inlineStr">
        <x:is>
          <x:t xml:space="preserve">Cone of Cold</x:t>
        </x:is>
      </x:c>
      <x:c r="D415" s="2" t="inlineStr">
        <x:is>
          <x:t xml:space="preserve">Evocation</x:t>
        </x:is>
      </x:c>
      <x:c r="E415" s="2" t="inlineStr">
        <x:is>
          <x:t xml:space="preserve">From spell description class tags</x:t>
        </x:is>
      </x:c>
      <x:c r="F415" s="2" t="inlineStr">
        <x:is>
          <x:t xml:space="preserve">SRD 5.2.1</x:t>
        </x:is>
      </x:c>
    </x:row>
    <x:row r="416" ht="18" customHeight="1">
      <x:c r="A416" s="2" t="inlineStr">
        <x:is>
          <x:t xml:space="preserve">Sorcerer</x:t>
        </x:is>
      </x:c>
      <x:c r="B416" s="2" t="inlineStr">
        <x:is>
          <x:t xml:space="preserve">5</x:t>
        </x:is>
      </x:c>
      <x:c r="C416" s="2" t="inlineStr">
        <x:is>
          <x:t xml:space="preserve">Creation</x:t>
        </x:is>
      </x:c>
      <x:c r="D416" s="2" t="inlineStr">
        <x:is>
          <x:t xml:space="preserve">Illusion</x:t>
        </x:is>
      </x:c>
      <x:c r="E416" s="2" t="inlineStr">
        <x:is>
          <x:t xml:space="preserve">From spell description class tags</x:t>
        </x:is>
      </x:c>
      <x:c r="F416" s="2" t="inlineStr">
        <x:is>
          <x:t xml:space="preserve">SRD 5.2.1</x:t>
        </x:is>
      </x:c>
    </x:row>
    <x:row r="417" ht="18" customHeight="1">
      <x:c r="A417" s="2" t="inlineStr">
        <x:is>
          <x:t xml:space="preserve">Sorcerer</x:t>
        </x:is>
      </x:c>
      <x:c r="B417" s="2" t="inlineStr">
        <x:is>
          <x:t xml:space="preserve">5</x:t>
        </x:is>
      </x:c>
      <x:c r="C417" s="2" t="inlineStr">
        <x:is>
          <x:t xml:space="preserve">Dominate Person</x:t>
        </x:is>
      </x:c>
      <x:c r="D417" s="2" t="inlineStr">
        <x:is>
          <x:t xml:space="preserve">Enchantment</x:t>
        </x:is>
      </x:c>
      <x:c r="E417" s="2" t="inlineStr">
        <x:is>
          <x:t xml:space="preserve">From spell description class tags</x:t>
        </x:is>
      </x:c>
      <x:c r="F417" s="2" t="inlineStr">
        <x:is>
          <x:t xml:space="preserve">SRD 5.2.1</x:t>
        </x:is>
      </x:c>
    </x:row>
    <x:row r="418" ht="18" customHeight="1">
      <x:c r="A418" s="2" t="inlineStr">
        <x:is>
          <x:t xml:space="preserve">Sorcerer</x:t>
        </x:is>
      </x:c>
      <x:c r="B418" s="2" t="inlineStr">
        <x:is>
          <x:t xml:space="preserve">5</x:t>
        </x:is>
      </x:c>
      <x:c r="C418" s="2" t="inlineStr">
        <x:is>
          <x:t xml:space="preserve">Insect Plague</x:t>
        </x:is>
      </x:c>
      <x:c r="D418" s="2" t="inlineStr">
        <x:is>
          <x:t xml:space="preserve">Conjuration</x:t>
        </x:is>
      </x:c>
      <x:c r="E418" s="2" t="inlineStr">
        <x:is>
          <x:t xml:space="preserve">From spell description class tags</x:t>
        </x:is>
      </x:c>
      <x:c r="F418" s="2" t="inlineStr">
        <x:is>
          <x:t xml:space="preserve">SRD 5.2.1</x:t>
        </x:is>
      </x:c>
    </x:row>
    <x:row r="419" ht="18" customHeight="1">
      <x:c r="A419" s="2" t="inlineStr">
        <x:is>
          <x:t xml:space="preserve">Sorcerer</x:t>
        </x:is>
      </x:c>
      <x:c r="B419" s="2" t="inlineStr">
        <x:is>
          <x:t xml:space="preserve">5</x:t>
        </x:is>
      </x:c>
      <x:c r="C419" s="2" t="inlineStr">
        <x:is>
          <x:t xml:space="preserve">Seeming</x:t>
        </x:is>
      </x:c>
      <x:c r="D419" s="2" t="inlineStr">
        <x:is>
          <x:t xml:space="preserve">Illusion</x:t>
        </x:is>
      </x:c>
      <x:c r="E419" s="2" t="inlineStr">
        <x:is>
          <x:t xml:space="preserve">From spell description class tags</x:t>
        </x:is>
      </x:c>
      <x:c r="F419" s="2" t="inlineStr">
        <x:is>
          <x:t xml:space="preserve">SRD 5.2.1</x:t>
        </x:is>
      </x:c>
    </x:row>
    <x:row r="420" ht="18" customHeight="1">
      <x:c r="A420" s="2" t="inlineStr">
        <x:is>
          <x:t xml:space="preserve">Sorcerer</x:t>
        </x:is>
      </x:c>
      <x:c r="B420" s="2" t="inlineStr">
        <x:is>
          <x:t xml:space="preserve">5</x:t>
        </x:is>
      </x:c>
      <x:c r="C420" s="2" t="inlineStr">
        <x:is>
          <x:t xml:space="preserve">Telekinesis</x:t>
        </x:is>
      </x:c>
      <x:c r="D420" s="2" t="inlineStr">
        <x:is>
          <x:t xml:space="preserve">Transmutation</x:t>
        </x:is>
      </x:c>
      <x:c r="E420" s="2" t="inlineStr">
        <x:is>
          <x:t xml:space="preserve">From spell description class tags</x:t>
        </x:is>
      </x:c>
      <x:c r="F420" s="2" t="inlineStr">
        <x:is>
          <x:t xml:space="preserve">SRD 5.2.1</x:t>
        </x:is>
      </x:c>
    </x:row>
    <x:row r="421" ht="18" customHeight="1">
      <x:c r="A421" s="2" t="inlineStr">
        <x:is>
          <x:t xml:space="preserve">Sorcerer</x:t>
        </x:is>
      </x:c>
      <x:c r="B421" s="2" t="inlineStr">
        <x:is>
          <x:t xml:space="preserve">5</x:t>
        </x:is>
      </x:c>
      <x:c r="C421" s="2" t="inlineStr">
        <x:is>
          <x:t xml:space="preserve">Teleportation Circle</x:t>
        </x:is>
      </x:c>
      <x:c r="D421" s="2" t="inlineStr">
        <x:is>
          <x:t xml:space="preserve">Conjuration</x:t>
        </x:is>
      </x:c>
      <x:c r="E421" s="2" t="inlineStr">
        <x:is>
          <x:t xml:space="preserve">From spell description class tags</x:t>
        </x:is>
      </x:c>
      <x:c r="F421" s="2" t="inlineStr">
        <x:is>
          <x:t xml:space="preserve">SRD 5.2.1</x:t>
        </x:is>
      </x:c>
    </x:row>
    <x:row r="422" ht="18" customHeight="1">
      <x:c r="A422" s="2" t="inlineStr">
        <x:is>
          <x:t xml:space="preserve">Sorcerer</x:t>
        </x:is>
      </x:c>
      <x:c r="B422" s="2" t="inlineStr">
        <x:is>
          <x:t xml:space="preserve">5</x:t>
        </x:is>
      </x:c>
      <x:c r="C422" s="2" t="inlineStr">
        <x:is>
          <x:t xml:space="preserve">Wall of Stone</x:t>
        </x:is>
      </x:c>
      <x:c r="D422" s="2" t="inlineStr">
        <x:is>
          <x:t xml:space="preserve">Evocation</x:t>
        </x:is>
      </x:c>
      <x:c r="E422" s="2" t="inlineStr">
        <x:is>
          <x:t xml:space="preserve">From spell description class tags</x:t>
        </x:is>
      </x:c>
      <x:c r="F422" s="2" t="inlineStr">
        <x:is>
          <x:t xml:space="preserve">SRD 5.2.1</x:t>
        </x:is>
      </x:c>
    </x:row>
    <x:row r="423" ht="18" customHeight="1">
      <x:c r="A423" s="2" t="inlineStr">
        <x:is>
          <x:t xml:space="preserve">Sorcerer</x:t>
        </x:is>
      </x:c>
      <x:c r="B423" s="2" t="inlineStr">
        <x:is>
          <x:t xml:space="preserve">6</x:t>
        </x:is>
      </x:c>
      <x:c r="C423" s="2" t="inlineStr">
        <x:is>
          <x:t xml:space="preserve">Chain Lightning</x:t>
        </x:is>
      </x:c>
      <x:c r="D423" s="2" t="inlineStr">
        <x:is>
          <x:t xml:space="preserve">Evocation</x:t>
        </x:is>
      </x:c>
      <x:c r="E423" s="2" t="inlineStr">
        <x:is>
          <x:t xml:space="preserve">From spell description class tags</x:t>
        </x:is>
      </x:c>
      <x:c r="F423" s="2" t="inlineStr">
        <x:is>
          <x:t xml:space="preserve">SRD 5.2.1</x:t>
        </x:is>
      </x:c>
    </x:row>
    <x:row r="424" ht="18" customHeight="1">
      <x:c r="A424" s="2" t="inlineStr">
        <x:is>
          <x:t xml:space="preserve">Sorcerer</x:t>
        </x:is>
      </x:c>
      <x:c r="B424" s="2" t="inlineStr">
        <x:is>
          <x:t xml:space="preserve">6</x:t>
        </x:is>
      </x:c>
      <x:c r="C424" s="2" t="inlineStr">
        <x:is>
          <x:t xml:space="preserve">Circle of Death</x:t>
        </x:is>
      </x:c>
      <x:c r="D424" s="2" t="inlineStr">
        <x:is>
          <x:t xml:space="preserve">Necromancy</x:t>
        </x:is>
      </x:c>
      <x:c r="E424" s="2" t="inlineStr">
        <x:is>
          <x:t xml:space="preserve">From spell description class tags</x:t>
        </x:is>
      </x:c>
      <x:c r="F424" s="2" t="inlineStr">
        <x:is>
          <x:t xml:space="preserve">SRD 5.2.1</x:t>
        </x:is>
      </x:c>
    </x:row>
    <x:row r="425" ht="18" customHeight="1">
      <x:c r="A425" s="2" t="inlineStr">
        <x:is>
          <x:t xml:space="preserve">Sorcerer</x:t>
        </x:is>
      </x:c>
      <x:c r="B425" s="2" t="inlineStr">
        <x:is>
          <x:t xml:space="preserve">6</x:t>
        </x:is>
      </x:c>
      <x:c r="C425" s="2" t="inlineStr">
        <x:is>
          <x:t xml:space="preserve">Disintegrate</x:t>
        </x:is>
      </x:c>
      <x:c r="D425" s="2" t="inlineStr">
        <x:is>
          <x:t xml:space="preserve">Transmutation</x:t>
        </x:is>
      </x:c>
      <x:c r="E425" s="2" t="inlineStr">
        <x:is>
          <x:t xml:space="preserve">From spell description class tags</x:t>
        </x:is>
      </x:c>
      <x:c r="F425" s="2" t="inlineStr">
        <x:is>
          <x:t xml:space="preserve">SRD 5.2.1</x:t>
        </x:is>
      </x:c>
    </x:row>
    <x:row r="426" ht="18" customHeight="1">
      <x:c r="A426" s="2" t="inlineStr">
        <x:is>
          <x:t xml:space="preserve">Sorcerer</x:t>
        </x:is>
      </x:c>
      <x:c r="B426" s="2" t="inlineStr">
        <x:is>
          <x:t xml:space="preserve">6</x:t>
        </x:is>
      </x:c>
      <x:c r="C426" s="2" t="inlineStr">
        <x:is>
          <x:t xml:space="preserve">Eyebite</x:t>
        </x:is>
      </x:c>
      <x:c r="D426" s="2" t="inlineStr">
        <x:is>
          <x:t xml:space="preserve">Necromancy</x:t>
        </x:is>
      </x:c>
      <x:c r="E426" s="2" t="inlineStr">
        <x:is>
          <x:t xml:space="preserve">From spell description class tags</x:t>
        </x:is>
      </x:c>
      <x:c r="F426" s="2" t="inlineStr">
        <x:is>
          <x:t xml:space="preserve">SRD 5.2.1</x:t>
        </x:is>
      </x:c>
    </x:row>
    <x:row r="427" ht="18" customHeight="1">
      <x:c r="A427" s="2" t="inlineStr">
        <x:is>
          <x:t xml:space="preserve">Sorcerer</x:t>
        </x:is>
      </x:c>
      <x:c r="B427" s="2" t="inlineStr">
        <x:is>
          <x:t xml:space="preserve">6</x:t>
        </x:is>
      </x:c>
      <x:c r="C427" s="2" t="inlineStr">
        <x:is>
          <x:t xml:space="preserve">Flesh to Stone</x:t>
        </x:is>
      </x:c>
      <x:c r="D427" s="2" t="inlineStr">
        <x:is>
          <x:t xml:space="preserve">Transmutation</x:t>
        </x:is>
      </x:c>
      <x:c r="E427" s="2" t="inlineStr">
        <x:is>
          <x:t xml:space="preserve">From spell description class tags</x:t>
        </x:is>
      </x:c>
      <x:c r="F427" s="2" t="inlineStr">
        <x:is>
          <x:t xml:space="preserve">SRD 5.2.1</x:t>
        </x:is>
      </x:c>
    </x:row>
    <x:row r="428" ht="18" customHeight="1">
      <x:c r="A428" s="2" t="inlineStr">
        <x:is>
          <x:t xml:space="preserve">Sorcerer</x:t>
        </x:is>
      </x:c>
      <x:c r="B428" s="2" t="inlineStr">
        <x:is>
          <x:t xml:space="preserve">6</x:t>
        </x:is>
      </x:c>
      <x:c r="C428" s="2" t="inlineStr">
        <x:is>
          <x:t xml:space="preserve">Freezing Sphere</x:t>
        </x:is>
      </x:c>
      <x:c r="D428" s="2" t="inlineStr">
        <x:is>
          <x:t xml:space="preserve">Evocation</x:t>
        </x:is>
      </x:c>
      <x:c r="E428" s="2" t="inlineStr">
        <x:is>
          <x:t xml:space="preserve">From spell description class tags</x:t>
        </x:is>
      </x:c>
      <x:c r="F428" s="2" t="inlineStr">
        <x:is>
          <x:t xml:space="preserve">SRD 5.2.1</x:t>
        </x:is>
      </x:c>
    </x:row>
    <x:row r="429" ht="18" customHeight="1">
      <x:c r="A429" s="2" t="inlineStr">
        <x:is>
          <x:t xml:space="preserve">Sorcerer</x:t>
        </x:is>
      </x:c>
      <x:c r="B429" s="2" t="inlineStr">
        <x:is>
          <x:t xml:space="preserve">6</x:t>
        </x:is>
      </x:c>
      <x:c r="C429" s="2" t="inlineStr">
        <x:is>
          <x:t xml:space="preserve">Globe of Invulnerability</x:t>
        </x:is>
      </x:c>
      <x:c r="D429" s="2" t="inlineStr">
        <x:is>
          <x:t xml:space="preserve">Abjuration</x:t>
        </x:is>
      </x:c>
      <x:c r="E429" s="2" t="inlineStr">
        <x:is>
          <x:t xml:space="preserve">From spell description class tags</x:t>
        </x:is>
      </x:c>
      <x:c r="F429" s="2" t="inlineStr">
        <x:is>
          <x:t xml:space="preserve">SRD 5.2.1</x:t>
        </x:is>
      </x:c>
    </x:row>
    <x:row r="430" ht="18" customHeight="1">
      <x:c r="A430" s="2" t="inlineStr">
        <x:is>
          <x:t xml:space="preserve">Sorcerer</x:t>
        </x:is>
      </x:c>
      <x:c r="B430" s="2" t="inlineStr">
        <x:is>
          <x:t xml:space="preserve">6</x:t>
        </x:is>
      </x:c>
      <x:c r="C430" s="2" t="inlineStr">
        <x:is>
          <x:t xml:space="preserve">Mass Suggestion</x:t>
        </x:is>
      </x:c>
      <x:c r="D430" s="2" t="inlineStr">
        <x:is>
          <x:t xml:space="preserve">Enchantment</x:t>
        </x:is>
      </x:c>
      <x:c r="E430" s="2" t="inlineStr">
        <x:is>
          <x:t xml:space="preserve">From spell description class tags</x:t>
        </x:is>
      </x:c>
      <x:c r="F430" s="2" t="inlineStr">
        <x:is>
          <x:t xml:space="preserve">SRD 5.2.1</x:t>
        </x:is>
      </x:c>
    </x:row>
    <x:row r="431" ht="18" customHeight="1">
      <x:c r="A431" s="2" t="inlineStr">
        <x:is>
          <x:t xml:space="preserve">Sorcerer</x:t>
        </x:is>
      </x:c>
      <x:c r="B431" s="2" t="inlineStr">
        <x:is>
          <x:t xml:space="preserve">6</x:t>
        </x:is>
      </x:c>
      <x:c r="C431" s="2" t="inlineStr">
        <x:is>
          <x:t xml:space="preserve">Move Earth</x:t>
        </x:is>
      </x:c>
      <x:c r="D431" s="2" t="inlineStr">
        <x:is>
          <x:t xml:space="preserve">Transmutation</x:t>
        </x:is>
      </x:c>
      <x:c r="E431" s="2" t="inlineStr">
        <x:is>
          <x:t xml:space="preserve">From spell description class tags</x:t>
        </x:is>
      </x:c>
      <x:c r="F431" s="2" t="inlineStr">
        <x:is>
          <x:t xml:space="preserve">SRD 5.2.1</x:t>
        </x:is>
      </x:c>
    </x:row>
    <x:row r="432" ht="18" customHeight="1">
      <x:c r="A432" s="2" t="inlineStr">
        <x:is>
          <x:t xml:space="preserve">Sorcerer</x:t>
        </x:is>
      </x:c>
      <x:c r="B432" s="2" t="inlineStr">
        <x:is>
          <x:t xml:space="preserve">6</x:t>
        </x:is>
      </x:c>
      <x:c r="C432" s="2" t="inlineStr">
        <x:is>
          <x:t xml:space="preserve">Sunbeam</x:t>
        </x:is>
      </x:c>
      <x:c r="D432" s="2" t="inlineStr">
        <x:is>
          <x:t xml:space="preserve">Evocation</x:t>
        </x:is>
      </x:c>
      <x:c r="E432" s="2" t="inlineStr">
        <x:is>
          <x:t xml:space="preserve">From spell description class tags</x:t>
        </x:is>
      </x:c>
      <x:c r="F432" s="2" t="inlineStr">
        <x:is>
          <x:t xml:space="preserve">SRD 5.2.1</x:t>
        </x:is>
      </x:c>
    </x:row>
    <x:row r="433" ht="18" customHeight="1">
      <x:c r="A433" s="2" t="inlineStr">
        <x:is>
          <x:t xml:space="preserve">Sorcerer</x:t>
        </x:is>
      </x:c>
      <x:c r="B433" s="2" t="inlineStr">
        <x:is>
          <x:t xml:space="preserve">7</x:t>
        </x:is>
      </x:c>
      <x:c r="C433" s="2" t="inlineStr">
        <x:is>
          <x:t xml:space="preserve">Delayed Blast Fireball</x:t>
        </x:is>
      </x:c>
      <x:c r="D433" s="2" t="inlineStr">
        <x:is>
          <x:t xml:space="preserve">Evocation</x:t>
        </x:is>
      </x:c>
      <x:c r="E433" s="2" t="inlineStr">
        <x:is>
          <x:t xml:space="preserve">From spell description class tags</x:t>
        </x:is>
      </x:c>
      <x:c r="F433" s="2" t="inlineStr">
        <x:is>
          <x:t xml:space="preserve">SRD 5.2.1</x:t>
        </x:is>
      </x:c>
    </x:row>
    <x:row r="434" ht="18" customHeight="1">
      <x:c r="A434" s="2" t="inlineStr">
        <x:is>
          <x:t xml:space="preserve">Sorcerer</x:t>
        </x:is>
      </x:c>
      <x:c r="B434" s="2" t="inlineStr">
        <x:is>
          <x:t xml:space="preserve">7</x:t>
        </x:is>
      </x:c>
      <x:c r="C434" s="2" t="inlineStr">
        <x:is>
          <x:t xml:space="preserve">Finger of Death</x:t>
        </x:is>
      </x:c>
      <x:c r="D434" s="2" t="inlineStr">
        <x:is>
          <x:t xml:space="preserve">Necromancy</x:t>
        </x:is>
      </x:c>
      <x:c r="E434" s="2" t="inlineStr">
        <x:is>
          <x:t xml:space="preserve">From spell description class tags</x:t>
        </x:is>
      </x:c>
      <x:c r="F434" s="2" t="inlineStr">
        <x:is>
          <x:t xml:space="preserve">SRD 5.2.1</x:t>
        </x:is>
      </x:c>
    </x:row>
    <x:row r="435" ht="18" customHeight="1">
      <x:c r="A435" s="2" t="inlineStr">
        <x:is>
          <x:t xml:space="preserve">Sorcerer</x:t>
        </x:is>
      </x:c>
      <x:c r="B435" s="2" t="inlineStr">
        <x:is>
          <x:t xml:space="preserve">7</x:t>
        </x:is>
      </x:c>
      <x:c r="C435" s="2" t="inlineStr">
        <x:is>
          <x:t xml:space="preserve">Fire Storm</x:t>
        </x:is>
      </x:c>
      <x:c r="D435" s="2" t="inlineStr">
        <x:is>
          <x:t xml:space="preserve">Evocation</x:t>
        </x:is>
      </x:c>
      <x:c r="E435" s="2" t="inlineStr">
        <x:is>
          <x:t xml:space="preserve">From spell description class tags</x:t>
        </x:is>
      </x:c>
      <x:c r="F435" s="2" t="inlineStr">
        <x:is>
          <x:t xml:space="preserve">SRD 5.2.1</x:t>
        </x:is>
      </x:c>
    </x:row>
    <x:row r="436" ht="18" customHeight="1">
      <x:c r="A436" s="2" t="inlineStr">
        <x:is>
          <x:t xml:space="preserve">Sorcerer</x:t>
        </x:is>
      </x:c>
      <x:c r="B436" s="2" t="inlineStr">
        <x:is>
          <x:t xml:space="preserve">7</x:t>
        </x:is>
      </x:c>
      <x:c r="C436" s="2" t="inlineStr">
        <x:is>
          <x:t xml:space="preserve">Prismatic Spray</x:t>
        </x:is>
      </x:c>
      <x:c r="D436" s="2" t="inlineStr">
        <x:is>
          <x:t xml:space="preserve">Evocation</x:t>
        </x:is>
      </x:c>
      <x:c r="E436" s="2" t="inlineStr">
        <x:is>
          <x:t xml:space="preserve">From spell description class tags</x:t>
        </x:is>
      </x:c>
      <x:c r="F436" s="2" t="inlineStr">
        <x:is>
          <x:t xml:space="preserve">SRD 5.2.1</x:t>
        </x:is>
      </x:c>
    </x:row>
    <x:row r="437" ht="18" customHeight="1">
      <x:c r="A437" s="2" t="inlineStr">
        <x:is>
          <x:t xml:space="preserve">Sorcerer</x:t>
        </x:is>
      </x:c>
      <x:c r="B437" s="2" t="inlineStr">
        <x:is>
          <x:t xml:space="preserve">7</x:t>
        </x:is>
      </x:c>
      <x:c r="C437" s="2" t="inlineStr">
        <x:is>
          <x:t xml:space="preserve">Reverse Gravity</x:t>
        </x:is>
      </x:c>
      <x:c r="D437" s="2" t="inlineStr">
        <x:is>
          <x:t xml:space="preserve">Transmutation</x:t>
        </x:is>
      </x:c>
      <x:c r="E437" s="2" t="inlineStr">
        <x:is>
          <x:t xml:space="preserve">From spell description class tags</x:t>
        </x:is>
      </x:c>
      <x:c r="F437" s="2" t="inlineStr">
        <x:is>
          <x:t xml:space="preserve">SRD 5.2.1</x:t>
        </x:is>
      </x:c>
    </x:row>
    <x:row r="438" ht="18" customHeight="1">
      <x:c r="A438" s="2" t="inlineStr">
        <x:is>
          <x:t xml:space="preserve">Sorcerer</x:t>
        </x:is>
      </x:c>
      <x:c r="B438" s="2" t="inlineStr">
        <x:is>
          <x:t xml:space="preserve">7</x:t>
        </x:is>
      </x:c>
      <x:c r="C438" s="2" t="inlineStr">
        <x:is>
          <x:t xml:space="preserve">Teleport</x:t>
        </x:is>
      </x:c>
      <x:c r="D438" s="2" t="inlineStr">
        <x:is>
          <x:t xml:space="preserve">Conjuration</x:t>
        </x:is>
      </x:c>
      <x:c r="E438" s="2" t="inlineStr">
        <x:is>
          <x:t xml:space="preserve">From spell description class tags</x:t>
        </x:is>
      </x:c>
      <x:c r="F438" s="2" t="inlineStr">
        <x:is>
          <x:t xml:space="preserve">SRD 5.2.1</x:t>
        </x:is>
      </x:c>
    </x:row>
    <x:row r="439" ht="18" customHeight="1">
      <x:c r="A439" s="2" t="inlineStr">
        <x:is>
          <x:t xml:space="preserve">Sorcerer</x:t>
        </x:is>
      </x:c>
      <x:c r="B439" s="2" t="inlineStr">
        <x:is>
          <x:t xml:space="preserve">8</x:t>
        </x:is>
      </x:c>
      <x:c r="C439" s="2" t="inlineStr">
        <x:is>
          <x:t xml:space="preserve">Demiplane</x:t>
        </x:is>
      </x:c>
      <x:c r="D439" s="2" t="inlineStr">
        <x:is>
          <x:t xml:space="preserve">Conjuration</x:t>
        </x:is>
      </x:c>
      <x:c r="E439" s="2" t="inlineStr">
        <x:is>
          <x:t xml:space="preserve">From spell description class tags</x:t>
        </x:is>
      </x:c>
      <x:c r="F439" s="2" t="inlineStr">
        <x:is>
          <x:t xml:space="preserve">SRD 5.2.1</x:t>
        </x:is>
      </x:c>
    </x:row>
    <x:row r="440" ht="18" customHeight="1">
      <x:c r="A440" s="2" t="inlineStr">
        <x:is>
          <x:t xml:space="preserve">Sorcerer</x:t>
        </x:is>
      </x:c>
      <x:c r="B440" s="2" t="inlineStr">
        <x:is>
          <x:t xml:space="preserve">8</x:t>
        </x:is>
      </x:c>
      <x:c r="C440" s="2" t="inlineStr">
        <x:is>
          <x:t xml:space="preserve">Earthquake</x:t>
        </x:is>
      </x:c>
      <x:c r="D440" s="2" t="inlineStr">
        <x:is>
          <x:t xml:space="preserve">Transmutation</x:t>
        </x:is>
      </x:c>
      <x:c r="E440" s="2" t="inlineStr">
        <x:is>
          <x:t xml:space="preserve">From spell description class tags</x:t>
        </x:is>
      </x:c>
      <x:c r="F440" s="2" t="inlineStr">
        <x:is>
          <x:t xml:space="preserve">SRD 5.2.1</x:t>
        </x:is>
      </x:c>
    </x:row>
    <x:row r="441" ht="18" customHeight="1">
      <x:c r="A441" s="2" t="inlineStr">
        <x:is>
          <x:t xml:space="preserve">Sorcerer</x:t>
        </x:is>
      </x:c>
      <x:c r="B441" s="2" t="inlineStr">
        <x:is>
          <x:t xml:space="preserve">8</x:t>
        </x:is>
      </x:c>
      <x:c r="C441" s="2" t="inlineStr">
        <x:is>
          <x:t xml:space="preserve">Incendiary Cloud</x:t>
        </x:is>
      </x:c>
      <x:c r="D441" s="2" t="inlineStr">
        <x:is>
          <x:t xml:space="preserve">Conjuration</x:t>
        </x:is>
      </x:c>
      <x:c r="E441" s="2" t="inlineStr">
        <x:is>
          <x:t xml:space="preserve">From spell description class tags</x:t>
        </x:is>
      </x:c>
      <x:c r="F441" s="2" t="inlineStr">
        <x:is>
          <x:t xml:space="preserve">SRD 5.2.1</x:t>
        </x:is>
      </x:c>
    </x:row>
    <x:row r="442" ht="18" customHeight="1">
      <x:c r="A442" s="2" t="inlineStr">
        <x:is>
          <x:t xml:space="preserve">Sorcerer</x:t>
        </x:is>
      </x:c>
      <x:c r="B442" s="2" t="inlineStr">
        <x:is>
          <x:t xml:space="preserve">8</x:t>
        </x:is>
      </x:c>
      <x:c r="C442" s="2" t="inlineStr">
        <x:is>
          <x:t xml:space="preserve">Sunburst</x:t>
        </x:is>
      </x:c>
      <x:c r="D442" s="2" t="inlineStr">
        <x:is>
          <x:t xml:space="preserve">Evocation</x:t>
        </x:is>
      </x:c>
      <x:c r="E442" s="2" t="inlineStr">
        <x:is>
          <x:t xml:space="preserve">From spell description class tags</x:t>
        </x:is>
      </x:c>
      <x:c r="F442" s="2" t="inlineStr">
        <x:is>
          <x:t xml:space="preserve">SRD 5.2.1</x:t>
        </x:is>
      </x:c>
    </x:row>
    <x:row r="443" ht="18" customHeight="1">
      <x:c r="A443" s="2" t="inlineStr">
        <x:is>
          <x:t xml:space="preserve">Sorcerer</x:t>
        </x:is>
      </x:c>
      <x:c r="B443" s="2" t="inlineStr">
        <x:is>
          <x:t xml:space="preserve">9</x:t>
        </x:is>
      </x:c>
      <x:c r="C443" s="2" t="inlineStr">
        <x:is>
          <x:t xml:space="preserve">Gate</x:t>
        </x:is>
      </x:c>
      <x:c r="D443" s="2" t="inlineStr">
        <x:is>
          <x:t xml:space="preserve">Conjuration</x:t>
        </x:is>
      </x:c>
      <x:c r="E443" s="2" t="inlineStr">
        <x:is>
          <x:t xml:space="preserve">From spell description class tags</x:t>
        </x:is>
      </x:c>
      <x:c r="F443" s="2" t="inlineStr">
        <x:is>
          <x:t xml:space="preserve">SRD 5.2.1</x:t>
        </x:is>
      </x:c>
    </x:row>
    <x:row r="444" ht="18" customHeight="1">
      <x:c r="A444" s="2" t="inlineStr">
        <x:is>
          <x:t xml:space="preserve">Sorcerer</x:t>
        </x:is>
      </x:c>
      <x:c r="B444" s="2" t="inlineStr">
        <x:is>
          <x:t xml:space="preserve">9</x:t>
        </x:is>
      </x:c>
      <x:c r="C444" s="2" t="inlineStr">
        <x:is>
          <x:t xml:space="preserve">Meteor Swarm</x:t>
        </x:is>
      </x:c>
      <x:c r="D444" s="2" t="inlineStr">
        <x:is>
          <x:t xml:space="preserve">Evocation</x:t>
        </x:is>
      </x:c>
      <x:c r="E444" s="2" t="inlineStr">
        <x:is>
          <x:t xml:space="preserve">From spell description class tags</x:t>
        </x:is>
      </x:c>
      <x:c r="F444" s="2" t="inlineStr">
        <x:is>
          <x:t xml:space="preserve">SRD 5.2.1</x:t>
        </x:is>
      </x:c>
    </x:row>
    <x:row r="445" ht="18" customHeight="1">
      <x:c r="A445" s="2" t="inlineStr">
        <x:is>
          <x:t xml:space="preserve">Sorcerer</x:t>
        </x:is>
      </x:c>
      <x:c r="B445" s="2" t="inlineStr">
        <x:is>
          <x:t xml:space="preserve">9</x:t>
        </x:is>
      </x:c>
      <x:c r="C445" s="2" t="inlineStr">
        <x:is>
          <x:t xml:space="preserve">Time Stop</x:t>
        </x:is>
      </x:c>
      <x:c r="D445" s="2" t="inlineStr">
        <x:is>
          <x:t xml:space="preserve">Transmutation</x:t>
        </x:is>
      </x:c>
      <x:c r="E445" s="2" t="inlineStr">
        <x:is>
          <x:t xml:space="preserve">From spell description class tags</x:t>
        </x:is>
      </x:c>
      <x:c r="F445" s="2" t="inlineStr">
        <x:is>
          <x:t xml:space="preserve">SRD 5.2.1</x:t>
        </x:is>
      </x:c>
    </x:row>
    <x:row r="446" ht="18" customHeight="1">
      <x:c r="A446" s="2" t="inlineStr">
        <x:is>
          <x:t xml:space="preserve">Sorcerer</x:t>
        </x:is>
      </x:c>
      <x:c r="B446" s="2" t="inlineStr">
        <x:is>
          <x:t xml:space="preserve">9</x:t>
        </x:is>
      </x:c>
      <x:c r="C446" s="2" t="inlineStr">
        <x:is>
          <x:t xml:space="preserve">Wish</x:t>
        </x:is>
      </x:c>
      <x:c r="D446" s="2" t="inlineStr">
        <x:is>
          <x:t xml:space="preserve">Conjuration</x:t>
        </x:is>
      </x:c>
      <x:c r="E446" s="2" t="inlineStr">
        <x:is>
          <x:t xml:space="preserve">From spell description class tags</x:t>
        </x:is>
      </x:c>
      <x:c r="F446" s="2" t="inlineStr">
        <x:is>
          <x:t xml:space="preserve">SRD 5.2.1</x:t>
        </x:is>
      </x:c>
    </x:row>
    <x:row r="447" ht="18" customHeight="1">
      <x:c r="A447" s="2" t="inlineStr">
        <x:is>
          <x:t xml:space="preserve">Sorcerer</x:t>
        </x:is>
      </x:c>
      <x:c r="B447" s="2" t="inlineStr">
        <x:is>
          <x:t xml:space="preserve">Cantrip</x:t>
        </x:is>
      </x:c>
      <x:c r="C447" s="2" t="inlineStr">
        <x:is>
          <x:t xml:space="preserve">Acid Splash</x:t>
        </x:is>
      </x:c>
      <x:c r="D447" s="2" t="inlineStr">
        <x:is>
          <x:t xml:space="preserve">Evocation</x:t>
        </x:is>
      </x:c>
      <x:c r="E447" s="2" t="inlineStr">
        <x:is>
          <x:t xml:space="preserve">From spell description class tags</x:t>
        </x:is>
      </x:c>
      <x:c r="F447" s="2" t="inlineStr">
        <x:is>
          <x:t xml:space="preserve">SRD 5.2.1</x:t>
        </x:is>
      </x:c>
    </x:row>
    <x:row r="448" ht="18" customHeight="1">
      <x:c r="A448" s="2" t="inlineStr">
        <x:is>
          <x:t xml:space="preserve">Sorcerer</x:t>
        </x:is>
      </x:c>
      <x:c r="B448" s="2" t="inlineStr">
        <x:is>
          <x:t xml:space="preserve">Cantrip</x:t>
        </x:is>
      </x:c>
      <x:c r="C448" s="2" t="inlineStr">
        <x:is>
          <x:t xml:space="preserve">Chill Touch</x:t>
        </x:is>
      </x:c>
      <x:c r="D448" s="2" t="inlineStr">
        <x:is>
          <x:t xml:space="preserve">Necromancy</x:t>
        </x:is>
      </x:c>
      <x:c r="E448" s="2" t="inlineStr">
        <x:is>
          <x:t xml:space="preserve">From spell description class tags</x:t>
        </x:is>
      </x:c>
      <x:c r="F448" s="2" t="inlineStr">
        <x:is>
          <x:t xml:space="preserve">SRD 5.2.1</x:t>
        </x:is>
      </x:c>
    </x:row>
    <x:row r="449" ht="18" customHeight="1">
      <x:c r="A449" s="2" t="inlineStr">
        <x:is>
          <x:t xml:space="preserve">Sorcerer</x:t>
        </x:is>
      </x:c>
      <x:c r="B449" s="2" t="inlineStr">
        <x:is>
          <x:t xml:space="preserve">Cantrip</x:t>
        </x:is>
      </x:c>
      <x:c r="C449" s="2" t="inlineStr">
        <x:is>
          <x:t xml:space="preserve">Dancing Lights</x:t>
        </x:is>
      </x:c>
      <x:c r="D449" s="2" t="inlineStr">
        <x:is>
          <x:t xml:space="preserve">Illusion</x:t>
        </x:is>
      </x:c>
      <x:c r="E449" s="2" t="inlineStr">
        <x:is>
          <x:t xml:space="preserve">From spell description class tags</x:t>
        </x:is>
      </x:c>
      <x:c r="F449" s="2" t="inlineStr">
        <x:is>
          <x:t xml:space="preserve">SRD 5.2.1</x:t>
        </x:is>
      </x:c>
    </x:row>
    <x:row r="450" ht="18" customHeight="1">
      <x:c r="A450" s="2" t="inlineStr">
        <x:is>
          <x:t xml:space="preserve">Sorcerer</x:t>
        </x:is>
      </x:c>
      <x:c r="B450" s="2" t="inlineStr">
        <x:is>
          <x:t xml:space="preserve">Cantrip</x:t>
        </x:is>
      </x:c>
      <x:c r="C450" s="2" t="inlineStr">
        <x:is>
          <x:t xml:space="preserve">Elementalism</x:t>
        </x:is>
      </x:c>
      <x:c r="D450" s="2" t="inlineStr">
        <x:is>
          <x:t xml:space="preserve">Transmutation</x:t>
        </x:is>
      </x:c>
      <x:c r="E450" s="2" t="inlineStr">
        <x:is>
          <x:t xml:space="preserve">From spell description class tags</x:t>
        </x:is>
      </x:c>
      <x:c r="F450" s="2" t="inlineStr">
        <x:is>
          <x:t xml:space="preserve">SRD 5.2.1</x:t>
        </x:is>
      </x:c>
    </x:row>
    <x:row r="451" ht="18" customHeight="1">
      <x:c r="A451" s="2" t="inlineStr">
        <x:is>
          <x:t xml:space="preserve">Sorcerer</x:t>
        </x:is>
      </x:c>
      <x:c r="B451" s="2" t="inlineStr">
        <x:is>
          <x:t xml:space="preserve">Cantrip</x:t>
        </x:is>
      </x:c>
      <x:c r="C451" s="2" t="inlineStr">
        <x:is>
          <x:t xml:space="preserve">Fire Bolt</x:t>
        </x:is>
      </x:c>
      <x:c r="D451" s="2" t="inlineStr">
        <x:is>
          <x:t xml:space="preserve">Evocation</x:t>
        </x:is>
      </x:c>
      <x:c r="E451" s="2" t="inlineStr">
        <x:is>
          <x:t xml:space="preserve">From spell description class tags</x:t>
        </x:is>
      </x:c>
      <x:c r="F451" s="2" t="inlineStr">
        <x:is>
          <x:t xml:space="preserve">SRD 5.2.1</x:t>
        </x:is>
      </x:c>
    </x:row>
    <x:row r="452" ht="18" customHeight="1">
      <x:c r="A452" s="2" t="inlineStr">
        <x:is>
          <x:t xml:space="preserve">Sorcerer</x:t>
        </x:is>
      </x:c>
      <x:c r="B452" s="2" t="inlineStr">
        <x:is>
          <x:t xml:space="preserve">Cantrip</x:t>
        </x:is>
      </x:c>
      <x:c r="C452" s="2" t="inlineStr">
        <x:is>
          <x:t xml:space="preserve">Light</x:t>
        </x:is>
      </x:c>
      <x:c r="D452" s="2" t="inlineStr">
        <x:is>
          <x:t xml:space="preserve">Evocation</x:t>
        </x:is>
      </x:c>
      <x:c r="E452" s="2" t="inlineStr">
        <x:is>
          <x:t xml:space="preserve">From spell description class tags</x:t>
        </x:is>
      </x:c>
      <x:c r="F452" s="2" t="inlineStr">
        <x:is>
          <x:t xml:space="preserve">SRD 5.2.1</x:t>
        </x:is>
      </x:c>
    </x:row>
    <x:row r="453" ht="18" customHeight="1">
      <x:c r="A453" s="2" t="inlineStr">
        <x:is>
          <x:t xml:space="preserve">Sorcerer</x:t>
        </x:is>
      </x:c>
      <x:c r="B453" s="2" t="inlineStr">
        <x:is>
          <x:t xml:space="preserve">Cantrip</x:t>
        </x:is>
      </x:c>
      <x:c r="C453" s="2" t="inlineStr">
        <x:is>
          <x:t xml:space="preserve">Mage Hand</x:t>
        </x:is>
      </x:c>
      <x:c r="D453" s="2" t="inlineStr">
        <x:is>
          <x:t xml:space="preserve">Conjuration</x:t>
        </x:is>
      </x:c>
      <x:c r="E453" s="2" t="inlineStr">
        <x:is>
          <x:t xml:space="preserve">From spell description class tags</x:t>
        </x:is>
      </x:c>
      <x:c r="F453" s="2" t="inlineStr">
        <x:is>
          <x:t xml:space="preserve">SRD 5.2.1</x:t>
        </x:is>
      </x:c>
    </x:row>
    <x:row r="454" ht="18" customHeight="1">
      <x:c r="A454" s="2" t="inlineStr">
        <x:is>
          <x:t xml:space="preserve">Sorcerer</x:t>
        </x:is>
      </x:c>
      <x:c r="B454" s="2" t="inlineStr">
        <x:is>
          <x:t xml:space="preserve">Cantrip</x:t>
        </x:is>
      </x:c>
      <x:c r="C454" s="2" t="inlineStr">
        <x:is>
          <x:t xml:space="preserve">Minor Illusion</x:t>
        </x:is>
      </x:c>
      <x:c r="D454" s="2" t="inlineStr">
        <x:is>
          <x:t xml:space="preserve">Illusion</x:t>
        </x:is>
      </x:c>
      <x:c r="E454" s="2" t="inlineStr">
        <x:is>
          <x:t xml:space="preserve">From spell description class tags</x:t>
        </x:is>
      </x:c>
      <x:c r="F454" s="2" t="inlineStr">
        <x:is>
          <x:t xml:space="preserve">SRD 5.2.1</x:t>
        </x:is>
      </x:c>
    </x:row>
    <x:row r="455" ht="18" customHeight="1">
      <x:c r="A455" s="2" t="inlineStr">
        <x:is>
          <x:t xml:space="preserve">Sorcerer</x:t>
        </x:is>
      </x:c>
      <x:c r="B455" s="2" t="inlineStr">
        <x:is>
          <x:t xml:space="preserve">Cantrip</x:t>
        </x:is>
      </x:c>
      <x:c r="C455" s="2" t="inlineStr">
        <x:is>
          <x:t xml:space="preserve">Ray of Frost</x:t>
        </x:is>
      </x:c>
      <x:c r="D455" s="2" t="inlineStr">
        <x:is>
          <x:t xml:space="preserve">Evocation</x:t>
        </x:is>
      </x:c>
      <x:c r="E455" s="2" t="inlineStr">
        <x:is>
          <x:t xml:space="preserve">From spell description class tags</x:t>
        </x:is>
      </x:c>
      <x:c r="F455" s="2" t="inlineStr">
        <x:is>
          <x:t xml:space="preserve">SRD 5.2.1</x:t>
        </x:is>
      </x:c>
    </x:row>
    <x:row r="456" ht="18" customHeight="1">
      <x:c r="A456" s="2" t="inlineStr">
        <x:is>
          <x:t xml:space="preserve">Sorcerer</x:t>
        </x:is>
      </x:c>
      <x:c r="B456" s="2" t="inlineStr">
        <x:is>
          <x:t xml:space="preserve">Cantrip</x:t>
        </x:is>
      </x:c>
      <x:c r="C456" s="2" t="inlineStr">
        <x:is>
          <x:t xml:space="preserve">Shocking Grasp</x:t>
        </x:is>
      </x:c>
      <x:c r="D456" s="2" t="inlineStr">
        <x:is>
          <x:t xml:space="preserve">Evocation</x:t>
        </x:is>
      </x:c>
      <x:c r="E456" s="2" t="inlineStr">
        <x:is>
          <x:t xml:space="preserve">From spell description class tags</x:t>
        </x:is>
      </x:c>
      <x:c r="F456" s="2" t="inlineStr">
        <x:is>
          <x:t xml:space="preserve">SRD 5.2.1</x:t>
        </x:is>
      </x:c>
    </x:row>
    <x:row r="457" ht="18" customHeight="1">
      <x:c r="A457" s="2" t="inlineStr">
        <x:is>
          <x:t xml:space="preserve">Sorcerer</x:t>
        </x:is>
      </x:c>
      <x:c r="B457" s="2" t="inlineStr">
        <x:is>
          <x:t xml:space="preserve">Cantrip</x:t>
        </x:is>
      </x:c>
      <x:c r="C457" s="2" t="inlineStr">
        <x:is>
          <x:t xml:space="preserve">Sorcerous Burst</x:t>
        </x:is>
      </x:c>
      <x:c r="D457" s="2" t="inlineStr">
        <x:is>
          <x:t xml:space="preserve">Evocation</x:t>
        </x:is>
      </x:c>
      <x:c r="E457" s="2" t="inlineStr">
        <x:is>
          <x:t xml:space="preserve">From spell description class tags</x:t>
        </x:is>
      </x:c>
      <x:c r="F457" s="2" t="inlineStr">
        <x:is>
          <x:t xml:space="preserve">SRD 5.2.1</x:t>
        </x:is>
      </x:c>
    </x:row>
    <x:row r="458" ht="18" customHeight="1">
      <x:c r="A458" s="2" t="inlineStr">
        <x:is>
          <x:t xml:space="preserve">Sorcerer</x:t>
        </x:is>
      </x:c>
      <x:c r="B458" s="2" t="inlineStr">
        <x:is>
          <x:t xml:space="preserve">Cantrip</x:t>
        </x:is>
      </x:c>
      <x:c r="C458" s="2" t="inlineStr">
        <x:is>
          <x:t xml:space="preserve">True Strike</x:t>
        </x:is>
      </x:c>
      <x:c r="D458" s="2" t="inlineStr">
        <x:is>
          <x:t xml:space="preserve">Divination</x:t>
        </x:is>
      </x:c>
      <x:c r="E458" s="2" t="inlineStr">
        <x:is>
          <x:t xml:space="preserve">From spell description class tags</x:t>
        </x:is>
      </x:c>
      <x:c r="F458" s="2" t="inlineStr">
        <x:is>
          <x:t xml:space="preserve">SRD 5.2.1</x:t>
        </x:is>
      </x:c>
    </x:row>
    <x:row r="459" ht="18" customHeight="1">
      <x:c r="A459" s="2" t="inlineStr">
        <x:is>
          <x:t xml:space="preserve">Warlock</x:t>
        </x:is>
      </x:c>
      <x:c r="B459" s="2" t="inlineStr">
        <x:is>
          <x:t xml:space="preserve">1</x:t>
        </x:is>
      </x:c>
      <x:c r="C459" s="2" t="inlineStr">
        <x:is>
          <x:t xml:space="preserve">Bane</x:t>
        </x:is>
      </x:c>
      <x:c r="D459" s="2" t="inlineStr">
        <x:is>
          <x:t xml:space="preserve">Enchantment</x:t>
        </x:is>
      </x:c>
      <x:c r="E459" s="2" t="inlineStr">
        <x:is>
          <x:t xml:space="preserve">From spell description class tags</x:t>
        </x:is>
      </x:c>
      <x:c r="F459" s="2" t="inlineStr">
        <x:is>
          <x:t xml:space="preserve">SRD 5.2.1</x:t>
        </x:is>
      </x:c>
    </x:row>
    <x:row r="460" ht="18" customHeight="1">
      <x:c r="A460" s="2" t="inlineStr">
        <x:is>
          <x:t xml:space="preserve">Warlock</x:t>
        </x:is>
      </x:c>
      <x:c r="B460" s="2" t="inlineStr">
        <x:is>
          <x:t xml:space="preserve">1</x:t>
        </x:is>
      </x:c>
      <x:c r="C460" s="2" t="inlineStr">
        <x:is>
          <x:t xml:space="preserve">Comprehend Languages</x:t>
        </x:is>
      </x:c>
      <x:c r="D460" s="2" t="inlineStr">
        <x:is>
          <x:t xml:space="preserve">Divination</x:t>
        </x:is>
      </x:c>
      <x:c r="E460" s="2" t="inlineStr">
        <x:is>
          <x:t xml:space="preserve">From spell description class tags</x:t>
        </x:is>
      </x:c>
      <x:c r="F460" s="2" t="inlineStr">
        <x:is>
          <x:t xml:space="preserve">SRD 5.2.1</x:t>
        </x:is>
      </x:c>
    </x:row>
    <x:row r="461" ht="18" customHeight="1">
      <x:c r="A461" s="2" t="inlineStr">
        <x:is>
          <x:t xml:space="preserve">Warlock</x:t>
        </x:is>
      </x:c>
      <x:c r="B461" s="2" t="inlineStr">
        <x:is>
          <x:t xml:space="preserve">1</x:t>
        </x:is>
      </x:c>
      <x:c r="C461" s="2" t="inlineStr">
        <x:is>
          <x:t xml:space="preserve">Expeditious Retreat</x:t>
        </x:is>
      </x:c>
      <x:c r="D461" s="2" t="inlineStr">
        <x:is>
          <x:t xml:space="preserve">Transmutation</x:t>
        </x:is>
      </x:c>
      <x:c r="E461" s="2" t="inlineStr">
        <x:is>
          <x:t xml:space="preserve">From spell description class tags</x:t>
        </x:is>
      </x:c>
      <x:c r="F461" s="2" t="inlineStr">
        <x:is>
          <x:t xml:space="preserve">SRD 5.2.1</x:t>
        </x:is>
      </x:c>
    </x:row>
    <x:row r="462" ht="18" customHeight="1">
      <x:c r="A462" s="2" t="inlineStr">
        <x:is>
          <x:t xml:space="preserve">Warlock</x:t>
        </x:is>
      </x:c>
      <x:c r="B462" s="2" t="inlineStr">
        <x:is>
          <x:t xml:space="preserve">1</x:t>
        </x:is>
      </x:c>
      <x:c r="C462" s="2" t="inlineStr">
        <x:is>
          <x:t xml:space="preserve">Hellish Rebuke</x:t>
        </x:is>
      </x:c>
      <x:c r="D462" s="2" t="inlineStr">
        <x:is>
          <x:t xml:space="preserve">Evocation</x:t>
        </x:is>
      </x:c>
      <x:c r="E462" s="2" t="inlineStr">
        <x:is>
          <x:t xml:space="preserve">From spell description class tags</x:t>
        </x:is>
      </x:c>
      <x:c r="F462" s="2" t="inlineStr">
        <x:is>
          <x:t xml:space="preserve">SRD 5.2.1</x:t>
        </x:is>
      </x:c>
    </x:row>
    <x:row r="463" ht="18" customHeight="1">
      <x:c r="A463" s="2" t="inlineStr">
        <x:is>
          <x:t xml:space="preserve">Warlock</x:t>
        </x:is>
      </x:c>
      <x:c r="B463" s="2" t="inlineStr">
        <x:is>
          <x:t xml:space="preserve">1</x:t>
        </x:is>
      </x:c>
      <x:c r="C463" s="2" t="inlineStr">
        <x:is>
          <x:t xml:space="preserve">Hex</x:t>
        </x:is>
      </x:c>
      <x:c r="D463" s="2" t="inlineStr">
        <x:is>
          <x:t xml:space="preserve">Enchantment</x:t>
        </x:is>
      </x:c>
      <x:c r="E463" s="2" t="inlineStr">
        <x:is>
          <x:t xml:space="preserve">From spell description class tags</x:t>
        </x:is>
      </x:c>
      <x:c r="F463" s="2" t="inlineStr">
        <x:is>
          <x:t xml:space="preserve">SRD 5.2.1</x:t>
        </x:is>
      </x:c>
    </x:row>
    <x:row r="464" ht="18" customHeight="1">
      <x:c r="A464" s="2" t="inlineStr">
        <x:is>
          <x:t xml:space="preserve">Warlock</x:t>
        </x:is>
      </x:c>
      <x:c r="B464" s="2" t="inlineStr">
        <x:is>
          <x:t xml:space="preserve">1</x:t>
        </x:is>
      </x:c>
      <x:c r="C464" s="2" t="inlineStr">
        <x:is>
          <x:t xml:space="preserve">Hideous Laughter</x:t>
        </x:is>
      </x:c>
      <x:c r="D464" s="2" t="inlineStr">
        <x:is>
          <x:t xml:space="preserve">Enchantment</x:t>
        </x:is>
      </x:c>
      <x:c r="E464" s="2" t="inlineStr">
        <x:is>
          <x:t xml:space="preserve">From spell description class tags</x:t>
        </x:is>
      </x:c>
      <x:c r="F464" s="2" t="inlineStr">
        <x:is>
          <x:t xml:space="preserve">SRD 5.2.1</x:t>
        </x:is>
      </x:c>
    </x:row>
    <x:row r="465" ht="18" customHeight="1">
      <x:c r="A465" s="2" t="inlineStr">
        <x:is>
          <x:t xml:space="preserve">Warlock</x:t>
        </x:is>
      </x:c>
      <x:c r="B465" s="2" t="inlineStr">
        <x:is>
          <x:t xml:space="preserve">1</x:t>
        </x:is>
      </x:c>
      <x:c r="C465" s="2" t="inlineStr">
        <x:is>
          <x:t xml:space="preserve">Illusory Script</x:t>
        </x:is>
      </x:c>
      <x:c r="D465" s="2" t="inlineStr">
        <x:is>
          <x:t xml:space="preserve">Illusion</x:t>
        </x:is>
      </x:c>
      <x:c r="E465" s="2" t="inlineStr">
        <x:is>
          <x:t xml:space="preserve">From spell description class tags</x:t>
        </x:is>
      </x:c>
      <x:c r="F465" s="2" t="inlineStr">
        <x:is>
          <x:t xml:space="preserve">SRD 5.2.1</x:t>
        </x:is>
      </x:c>
    </x:row>
    <x:row r="466" ht="18" customHeight="1">
      <x:c r="A466" s="2" t="inlineStr">
        <x:is>
          <x:t xml:space="preserve">Warlock</x:t>
        </x:is>
      </x:c>
      <x:c r="B466" s="2" t="inlineStr">
        <x:is>
          <x:t xml:space="preserve">1</x:t>
        </x:is>
      </x:c>
      <x:c r="C466" s="2" t="inlineStr">
        <x:is>
          <x:t xml:space="preserve">Speak with Animals</x:t>
        </x:is>
      </x:c>
      <x:c r="D466" s="2" t="inlineStr">
        <x:is>
          <x:t xml:space="preserve">Divination</x:t>
        </x:is>
      </x:c>
      <x:c r="E466" s="2" t="inlineStr">
        <x:is>
          <x:t xml:space="preserve">From spell description class tags</x:t>
        </x:is>
      </x:c>
      <x:c r="F466" s="2" t="inlineStr">
        <x:is>
          <x:t xml:space="preserve">SRD 5.2.1</x:t>
        </x:is>
      </x:c>
    </x:row>
    <x:row r="467" ht="18" customHeight="1">
      <x:c r="A467" s="2" t="inlineStr">
        <x:is>
          <x:t xml:space="preserve">Warlock</x:t>
        </x:is>
      </x:c>
      <x:c r="B467" s="2" t="inlineStr">
        <x:is>
          <x:t xml:space="preserve">1</x:t>
        </x:is>
      </x:c>
      <x:c r="C467" s="2" t="inlineStr">
        <x:is>
          <x:t xml:space="preserve">Unseen Servant</x:t>
        </x:is>
      </x:c>
      <x:c r="D467" s="2" t="inlineStr">
        <x:is>
          <x:t xml:space="preserve">Conjuration</x:t>
        </x:is>
      </x:c>
      <x:c r="E467" s="2" t="inlineStr">
        <x:is>
          <x:t xml:space="preserve">From spell description class tags</x:t>
        </x:is>
      </x:c>
      <x:c r="F467" s="2" t="inlineStr">
        <x:is>
          <x:t xml:space="preserve">SRD 5.2.1</x:t>
        </x:is>
      </x:c>
    </x:row>
    <x:row r="468" ht="18" customHeight="1">
      <x:c r="A468" s="2" t="inlineStr">
        <x:is>
          <x:t xml:space="preserve">Warlock</x:t>
        </x:is>
      </x:c>
      <x:c r="B468" s="2" t="inlineStr">
        <x:is>
          <x:t xml:space="preserve">2</x:t>
        </x:is>
      </x:c>
      <x:c r="C468" s="2" t="inlineStr">
        <x:is>
          <x:t xml:space="preserve">Darkness</x:t>
        </x:is>
      </x:c>
      <x:c r="D468" s="2" t="inlineStr">
        <x:is>
          <x:t xml:space="preserve">Evocation</x:t>
        </x:is>
      </x:c>
      <x:c r="E468" s="2" t="inlineStr">
        <x:is>
          <x:t xml:space="preserve">From spell description class tags</x:t>
        </x:is>
      </x:c>
      <x:c r="F468" s="2" t="inlineStr">
        <x:is>
          <x:t xml:space="preserve">SRD 5.2.1</x:t>
        </x:is>
      </x:c>
    </x:row>
    <x:row r="469" ht="18" customHeight="1">
      <x:c r="A469" s="2" t="inlineStr">
        <x:is>
          <x:t xml:space="preserve">Warlock</x:t>
        </x:is>
      </x:c>
      <x:c r="B469" s="2" t="inlineStr">
        <x:is>
          <x:t xml:space="preserve">2</x:t>
        </x:is>
      </x:c>
      <x:c r="C469" s="2" t="inlineStr">
        <x:is>
          <x:t xml:space="preserve">Enthrall</x:t>
        </x:is>
      </x:c>
      <x:c r="D469" s="2" t="inlineStr">
        <x:is>
          <x:t xml:space="preserve">Enchantment</x:t>
        </x:is>
      </x:c>
      <x:c r="E469" s="2" t="inlineStr">
        <x:is>
          <x:t xml:space="preserve">From spell description class tags</x:t>
        </x:is>
      </x:c>
      <x:c r="F469" s="2" t="inlineStr">
        <x:is>
          <x:t xml:space="preserve">SRD 5.2.1</x:t>
        </x:is>
      </x:c>
    </x:row>
    <x:row r="470" ht="18" customHeight="1">
      <x:c r="A470" s="2" t="inlineStr">
        <x:is>
          <x:t xml:space="preserve">Warlock</x:t>
        </x:is>
      </x:c>
      <x:c r="B470" s="2" t="inlineStr">
        <x:is>
          <x:t xml:space="preserve">2</x:t>
        </x:is>
      </x:c>
      <x:c r="C470" s="2" t="inlineStr">
        <x:is>
          <x:t xml:space="preserve">Invisibility</x:t>
        </x:is>
      </x:c>
      <x:c r="D470" s="2" t="inlineStr">
        <x:is>
          <x:t xml:space="preserve">Illusion</x:t>
        </x:is>
      </x:c>
      <x:c r="E470" s="2" t="inlineStr">
        <x:is>
          <x:t xml:space="preserve">From spell description class tags</x:t>
        </x:is>
      </x:c>
      <x:c r="F470" s="2" t="inlineStr">
        <x:is>
          <x:t xml:space="preserve">SRD 5.2.1</x:t>
        </x:is>
      </x:c>
    </x:row>
    <x:row r="471" ht="18" customHeight="1">
      <x:c r="A471" s="2" t="inlineStr">
        <x:is>
          <x:t xml:space="preserve">Warlock</x:t>
        </x:is>
      </x:c>
      <x:c r="B471" s="2" t="inlineStr">
        <x:is>
          <x:t xml:space="preserve">2</x:t>
        </x:is>
      </x:c>
      <x:c r="C471" s="2" t="inlineStr">
        <x:is>
          <x:t xml:space="preserve">Mind Spike</x:t>
        </x:is>
      </x:c>
      <x:c r="D471" s="2" t="inlineStr">
        <x:is>
          <x:t xml:space="preserve">Divination</x:t>
        </x:is>
      </x:c>
      <x:c r="E471" s="2" t="inlineStr">
        <x:is>
          <x:t xml:space="preserve">From spell description class tags</x:t>
        </x:is>
      </x:c>
      <x:c r="F471" s="2" t="inlineStr">
        <x:is>
          <x:t xml:space="preserve">SRD 5.2.1</x:t>
        </x:is>
      </x:c>
    </x:row>
    <x:row r="472" ht="18" customHeight="1">
      <x:c r="A472" s="2" t="inlineStr">
        <x:is>
          <x:t xml:space="preserve">Warlock</x:t>
        </x:is>
      </x:c>
      <x:c r="B472" s="2" t="inlineStr">
        <x:is>
          <x:t xml:space="preserve">2</x:t>
        </x:is>
      </x:c>
      <x:c r="C472" s="2" t="inlineStr">
        <x:is>
          <x:t xml:space="preserve">Mirror Image</x:t>
        </x:is>
      </x:c>
      <x:c r="D472" s="2" t="inlineStr">
        <x:is>
          <x:t xml:space="preserve">Illusion</x:t>
        </x:is>
      </x:c>
      <x:c r="E472" s="2" t="inlineStr">
        <x:is>
          <x:t xml:space="preserve">From spell description class tags</x:t>
        </x:is>
      </x:c>
      <x:c r="F472" s="2" t="inlineStr">
        <x:is>
          <x:t xml:space="preserve">SRD 5.2.1</x:t>
        </x:is>
      </x:c>
    </x:row>
    <x:row r="473" ht="18" customHeight="1">
      <x:c r="A473" s="2" t="inlineStr">
        <x:is>
          <x:t xml:space="preserve">Warlock</x:t>
        </x:is>
      </x:c>
      <x:c r="B473" s="2" t="inlineStr">
        <x:is>
          <x:t xml:space="preserve">2</x:t>
        </x:is>
      </x:c>
      <x:c r="C473" s="2" t="inlineStr">
        <x:is>
          <x:t xml:space="preserve">Misty Step</x:t>
        </x:is>
      </x:c>
      <x:c r="D473" s="2" t="inlineStr">
        <x:is>
          <x:t xml:space="preserve">Conjuration</x:t>
        </x:is>
      </x:c>
      <x:c r="E473" s="2" t="inlineStr">
        <x:is>
          <x:t xml:space="preserve">From spell description class tags</x:t>
        </x:is>
      </x:c>
      <x:c r="F473" s="2" t="inlineStr">
        <x:is>
          <x:t xml:space="preserve">SRD 5.2.1</x:t>
        </x:is>
      </x:c>
    </x:row>
    <x:row r="474" ht="18" customHeight="1">
      <x:c r="A474" s="2" t="inlineStr">
        <x:is>
          <x:t xml:space="preserve">Warlock</x:t>
        </x:is>
      </x:c>
      <x:c r="B474" s="2" t="inlineStr">
        <x:is>
          <x:t xml:space="preserve">2</x:t>
        </x:is>
      </x:c>
      <x:c r="C474" s="2" t="inlineStr">
        <x:is>
          <x:t xml:space="preserve">Ray of Enfeeblement</x:t>
        </x:is>
      </x:c>
      <x:c r="D474" s="2" t="inlineStr">
        <x:is>
          <x:t xml:space="preserve">Necromancy</x:t>
        </x:is>
      </x:c>
      <x:c r="E474" s="2" t="inlineStr">
        <x:is>
          <x:t xml:space="preserve">From spell description class tags</x:t>
        </x:is>
      </x:c>
      <x:c r="F474" s="2" t="inlineStr">
        <x:is>
          <x:t xml:space="preserve">SRD 5.2.1</x:t>
        </x:is>
      </x:c>
    </x:row>
    <x:row r="475" ht="18" customHeight="1">
      <x:c r="A475" s="2" t="inlineStr">
        <x:is>
          <x:t xml:space="preserve">Warlock</x:t>
        </x:is>
      </x:c>
      <x:c r="B475" s="2" t="inlineStr">
        <x:is>
          <x:t xml:space="preserve">2</x:t>
        </x:is>
      </x:c>
      <x:c r="C475" s="2" t="inlineStr">
        <x:is>
          <x:t xml:space="preserve">Spider Climb</x:t>
        </x:is>
      </x:c>
      <x:c r="D475" s="2" t="inlineStr">
        <x:is>
          <x:t xml:space="preserve">Transmutation</x:t>
        </x:is>
      </x:c>
      <x:c r="E475" s="2" t="inlineStr">
        <x:is>
          <x:t xml:space="preserve">From spell description class tags</x:t>
        </x:is>
      </x:c>
      <x:c r="F475" s="2" t="inlineStr">
        <x:is>
          <x:t xml:space="preserve">SRD 5.2.1</x:t>
        </x:is>
      </x:c>
    </x:row>
    <x:row r="476" ht="18" customHeight="1">
      <x:c r="A476" s="2" t="inlineStr">
        <x:is>
          <x:t xml:space="preserve">Warlock</x:t>
        </x:is>
      </x:c>
      <x:c r="B476" s="2" t="inlineStr">
        <x:is>
          <x:t xml:space="preserve">3</x:t>
        </x:is>
      </x:c>
      <x:c r="C476" s="2" t="inlineStr">
        <x:is>
          <x:t xml:space="preserve">Counterspell</x:t>
        </x:is>
      </x:c>
      <x:c r="D476" s="2" t="inlineStr">
        <x:is>
          <x:t xml:space="preserve">Abjuration</x:t>
        </x:is>
      </x:c>
      <x:c r="E476" s="2" t="inlineStr">
        <x:is>
          <x:t xml:space="preserve">From spell description class tags</x:t>
        </x:is>
      </x:c>
      <x:c r="F476" s="2" t="inlineStr">
        <x:is>
          <x:t xml:space="preserve">SRD 5.2.1</x:t>
        </x:is>
      </x:c>
    </x:row>
    <x:row r="477" ht="18" customHeight="1">
      <x:c r="A477" s="2" t="inlineStr">
        <x:is>
          <x:t xml:space="preserve">Warlock</x:t>
        </x:is>
      </x:c>
      <x:c r="B477" s="2" t="inlineStr">
        <x:is>
          <x:t xml:space="preserve">3</x:t>
        </x:is>
      </x:c>
      <x:c r="C477" s="2" t="inlineStr">
        <x:is>
          <x:t xml:space="preserve">Fear</x:t>
        </x:is>
      </x:c>
      <x:c r="D477" s="2" t="inlineStr">
        <x:is>
          <x:t xml:space="preserve">Illusion</x:t>
        </x:is>
      </x:c>
      <x:c r="E477" s="2" t="inlineStr">
        <x:is>
          <x:t xml:space="preserve">From spell description class tags</x:t>
        </x:is>
      </x:c>
      <x:c r="F477" s="2" t="inlineStr">
        <x:is>
          <x:t xml:space="preserve">SRD 5.2.1</x:t>
        </x:is>
      </x:c>
    </x:row>
    <x:row r="478" ht="18" customHeight="1">
      <x:c r="A478" s="2" t="inlineStr">
        <x:is>
          <x:t xml:space="preserve">Warlock</x:t>
        </x:is>
      </x:c>
      <x:c r="B478" s="2" t="inlineStr">
        <x:is>
          <x:t xml:space="preserve">3</x:t>
        </x:is>
      </x:c>
      <x:c r="C478" s="2" t="inlineStr">
        <x:is>
          <x:t xml:space="preserve">Fly</x:t>
        </x:is>
      </x:c>
      <x:c r="D478" s="2" t="inlineStr">
        <x:is>
          <x:t xml:space="preserve">Transmutation</x:t>
        </x:is>
      </x:c>
      <x:c r="E478" s="2" t="inlineStr">
        <x:is>
          <x:t xml:space="preserve">From spell description class tags</x:t>
        </x:is>
      </x:c>
      <x:c r="F478" s="2" t="inlineStr">
        <x:is>
          <x:t xml:space="preserve">SRD 5.2.1</x:t>
        </x:is>
      </x:c>
    </x:row>
    <x:row r="479" ht="18" customHeight="1">
      <x:c r="A479" s="2" t="inlineStr">
        <x:is>
          <x:t xml:space="preserve">Warlock</x:t>
        </x:is>
      </x:c>
      <x:c r="B479" s="2" t="inlineStr">
        <x:is>
          <x:t xml:space="preserve">3</x:t>
        </x:is>
      </x:c>
      <x:c r="C479" s="2" t="inlineStr">
        <x:is>
          <x:t xml:space="preserve">Gaseous Form</x:t>
        </x:is>
      </x:c>
      <x:c r="D479" s="2" t="inlineStr">
        <x:is>
          <x:t xml:space="preserve">Transmutation</x:t>
        </x:is>
      </x:c>
      <x:c r="E479" s="2" t="inlineStr">
        <x:is>
          <x:t xml:space="preserve">From spell description class tags</x:t>
        </x:is>
      </x:c>
      <x:c r="F479" s="2" t="inlineStr">
        <x:is>
          <x:t xml:space="preserve">SRD 5.2.1</x:t>
        </x:is>
      </x:c>
    </x:row>
    <x:row r="480" ht="18" customHeight="1">
      <x:c r="A480" s="2" t="inlineStr">
        <x:is>
          <x:t xml:space="preserve">Warlock</x:t>
        </x:is>
      </x:c>
      <x:c r="B480" s="2" t="inlineStr">
        <x:is>
          <x:t xml:space="preserve">3</x:t>
        </x:is>
      </x:c>
      <x:c r="C480" s="2" t="inlineStr">
        <x:is>
          <x:t xml:space="preserve">Hypnotic Pattern</x:t>
        </x:is>
      </x:c>
      <x:c r="D480" s="2" t="inlineStr">
        <x:is>
          <x:t xml:space="preserve">Illusion</x:t>
        </x:is>
      </x:c>
      <x:c r="E480" s="2" t="inlineStr">
        <x:is>
          <x:t xml:space="preserve">From spell description class tags</x:t>
        </x:is>
      </x:c>
      <x:c r="F480" s="2" t="inlineStr">
        <x:is>
          <x:t xml:space="preserve">SRD 5.2.1</x:t>
        </x:is>
      </x:c>
    </x:row>
    <x:row r="481" ht="18" customHeight="1">
      <x:c r="A481" s="2" t="inlineStr">
        <x:is>
          <x:t xml:space="preserve">Warlock</x:t>
        </x:is>
      </x:c>
      <x:c r="B481" s="2" t="inlineStr">
        <x:is>
          <x:t xml:space="preserve">3</x:t>
        </x:is>
      </x:c>
      <x:c r="C481" s="2" t="inlineStr">
        <x:is>
          <x:t xml:space="preserve">Magic Circle</x:t>
        </x:is>
      </x:c>
      <x:c r="D481" s="2" t="inlineStr">
        <x:is>
          <x:t xml:space="preserve">Abjuration</x:t>
        </x:is>
      </x:c>
      <x:c r="E481" s="2" t="inlineStr">
        <x:is>
          <x:t xml:space="preserve">From spell description class tags</x:t>
        </x:is>
      </x:c>
      <x:c r="F481" s="2" t="inlineStr">
        <x:is>
          <x:t xml:space="preserve">SRD 5.2.1</x:t>
        </x:is>
      </x:c>
    </x:row>
    <x:row r="482" ht="18" customHeight="1">
      <x:c r="A482" s="2" t="inlineStr">
        <x:is>
          <x:t xml:space="preserve">Warlock</x:t>
        </x:is>
      </x:c>
      <x:c r="B482" s="2" t="inlineStr">
        <x:is>
          <x:t xml:space="preserve">3</x:t>
        </x:is>
      </x:c>
      <x:c r="C482" s="2" t="inlineStr">
        <x:is>
          <x:t xml:space="preserve">Major Image</x:t>
        </x:is>
      </x:c>
      <x:c r="D482" s="2" t="inlineStr">
        <x:is>
          <x:t xml:space="preserve">Illusion</x:t>
        </x:is>
      </x:c>
      <x:c r="E482" s="2" t="inlineStr">
        <x:is>
          <x:t xml:space="preserve">From spell description class tags</x:t>
        </x:is>
      </x:c>
      <x:c r="F482" s="2" t="inlineStr">
        <x:is>
          <x:t xml:space="preserve">SRD 5.2.1</x:t>
        </x:is>
      </x:c>
    </x:row>
    <x:row r="483" ht="18" customHeight="1">
      <x:c r="A483" s="2" t="inlineStr">
        <x:is>
          <x:t xml:space="preserve">Warlock</x:t>
        </x:is>
      </x:c>
      <x:c r="B483" s="2" t="inlineStr">
        <x:is>
          <x:t xml:space="preserve">3</x:t>
        </x:is>
      </x:c>
      <x:c r="C483" s="2" t="inlineStr">
        <x:is>
          <x:t xml:space="preserve">Remove Curse</x:t>
        </x:is>
      </x:c>
      <x:c r="D483" s="2" t="inlineStr">
        <x:is>
          <x:t xml:space="preserve">Abjuration</x:t>
        </x:is>
      </x:c>
      <x:c r="E483" s="2" t="inlineStr">
        <x:is>
          <x:t xml:space="preserve">From spell description class tags</x:t>
        </x:is>
      </x:c>
      <x:c r="F483" s="2" t="inlineStr">
        <x:is>
          <x:t xml:space="preserve">SRD 5.2.1</x:t>
        </x:is>
      </x:c>
    </x:row>
    <x:row r="484" ht="18" customHeight="1">
      <x:c r="A484" s="2" t="inlineStr">
        <x:is>
          <x:t xml:space="preserve">Warlock</x:t>
        </x:is>
      </x:c>
      <x:c r="B484" s="2" t="inlineStr">
        <x:is>
          <x:t xml:space="preserve">3</x:t>
        </x:is>
      </x:c>
      <x:c r="C484" s="2" t="inlineStr">
        <x:is>
          <x:t xml:space="preserve">Vampiric Touch</x:t>
        </x:is>
      </x:c>
      <x:c r="D484" s="2" t="inlineStr">
        <x:is>
          <x:t xml:space="preserve">Necromancy</x:t>
        </x:is>
      </x:c>
      <x:c r="E484" s="2" t="inlineStr">
        <x:is>
          <x:t xml:space="preserve">From spell description class tags</x:t>
        </x:is>
      </x:c>
      <x:c r="F484" s="2" t="inlineStr">
        <x:is>
          <x:t xml:space="preserve">SRD 5.2.1</x:t>
        </x:is>
      </x:c>
    </x:row>
    <x:row r="485" ht="18" customHeight="1">
      <x:c r="A485" s="2" t="inlineStr">
        <x:is>
          <x:t xml:space="preserve">Warlock</x:t>
        </x:is>
      </x:c>
      <x:c r="B485" s="2" t="inlineStr">
        <x:is>
          <x:t xml:space="preserve">4</x:t>
        </x:is>
      </x:c>
      <x:c r="C485" s="2" t="inlineStr">
        <x:is>
          <x:t xml:space="preserve">Dimension Door</x:t>
        </x:is>
      </x:c>
      <x:c r="D485" s="2" t="inlineStr">
        <x:is>
          <x:t xml:space="preserve">Conjuration</x:t>
        </x:is>
      </x:c>
      <x:c r="E485" s="2" t="inlineStr">
        <x:is>
          <x:t xml:space="preserve">From spell description class tags</x:t>
        </x:is>
      </x:c>
      <x:c r="F485" s="2" t="inlineStr">
        <x:is>
          <x:t xml:space="preserve">SRD 5.2.1</x:t>
        </x:is>
      </x:c>
    </x:row>
    <x:row r="486" ht="18" customHeight="1">
      <x:c r="A486" s="2" t="inlineStr">
        <x:is>
          <x:t xml:space="preserve">Warlock</x:t>
        </x:is>
      </x:c>
      <x:c r="B486" s="2" t="inlineStr">
        <x:is>
          <x:t xml:space="preserve">4</x:t>
        </x:is>
      </x:c>
      <x:c r="C486" s="2" t="inlineStr">
        <x:is>
          <x:t xml:space="preserve">Hallucinatory Terrain</x:t>
        </x:is>
      </x:c>
      <x:c r="D486" s="2" t="inlineStr">
        <x:is>
          <x:t xml:space="preserve">Illusion</x:t>
        </x:is>
      </x:c>
      <x:c r="E486" s="2" t="inlineStr">
        <x:is>
          <x:t xml:space="preserve">From spell description class tags</x:t>
        </x:is>
      </x:c>
      <x:c r="F486" s="2" t="inlineStr">
        <x:is>
          <x:t xml:space="preserve">SRD 5.2.1</x:t>
        </x:is>
      </x:c>
    </x:row>
    <x:row r="487" ht="18" customHeight="1">
      <x:c r="A487" s="2" t="inlineStr">
        <x:is>
          <x:t xml:space="preserve">Warlock</x:t>
        </x:is>
      </x:c>
      <x:c r="B487" s="2" t="inlineStr">
        <x:is>
          <x:t xml:space="preserve">5</x:t>
        </x:is>
      </x:c>
      <x:c r="C487" s="2" t="inlineStr">
        <x:is>
          <x:t xml:space="preserve">Contact Other Plane</x:t>
        </x:is>
      </x:c>
      <x:c r="D487" s="2" t="inlineStr">
        <x:is>
          <x:t xml:space="preserve">Divination</x:t>
        </x:is>
      </x:c>
      <x:c r="E487" s="2" t="inlineStr">
        <x:is>
          <x:t xml:space="preserve">From spell description class tags</x:t>
        </x:is>
      </x:c>
      <x:c r="F487" s="2" t="inlineStr">
        <x:is>
          <x:t xml:space="preserve">SRD 5.2.1</x:t>
        </x:is>
      </x:c>
    </x:row>
    <x:row r="488" ht="18" customHeight="1">
      <x:c r="A488" s="2" t="inlineStr">
        <x:is>
          <x:t xml:space="preserve">Warlock</x:t>
        </x:is>
      </x:c>
      <x:c r="B488" s="2" t="inlineStr">
        <x:is>
          <x:t xml:space="preserve">5</x:t>
        </x:is>
      </x:c>
      <x:c r="C488" s="2" t="inlineStr">
        <x:is>
          <x:t xml:space="preserve">Dream</x:t>
        </x:is>
      </x:c>
      <x:c r="D488" s="2" t="inlineStr">
        <x:is>
          <x:t xml:space="preserve">Illusion</x:t>
        </x:is>
      </x:c>
      <x:c r="E488" s="2" t="inlineStr">
        <x:is>
          <x:t xml:space="preserve">From spell description class tags</x:t>
        </x:is>
      </x:c>
      <x:c r="F488" s="2" t="inlineStr">
        <x:is>
          <x:t xml:space="preserve">SRD 5.2.1</x:t>
        </x:is>
      </x:c>
    </x:row>
    <x:row r="489" ht="18" customHeight="1">
      <x:c r="A489" s="2" t="inlineStr">
        <x:is>
          <x:t xml:space="preserve">Warlock</x:t>
        </x:is>
      </x:c>
      <x:c r="B489" s="2" t="inlineStr">
        <x:is>
          <x:t xml:space="preserve">5</x:t>
        </x:is>
      </x:c>
      <x:c r="C489" s="2" t="inlineStr">
        <x:is>
          <x:t xml:space="preserve">Mislead</x:t>
        </x:is>
      </x:c>
      <x:c r="D489" s="2" t="inlineStr">
        <x:is>
          <x:t xml:space="preserve">Illusion</x:t>
        </x:is>
      </x:c>
      <x:c r="E489" s="2" t="inlineStr">
        <x:is>
          <x:t xml:space="preserve">From spell description class tags</x:t>
        </x:is>
      </x:c>
      <x:c r="F489" s="2" t="inlineStr">
        <x:is>
          <x:t xml:space="preserve">SRD 5.2.1</x:t>
        </x:is>
      </x:c>
    </x:row>
    <x:row r="490" ht="18" customHeight="1">
      <x:c r="A490" s="2" t="inlineStr">
        <x:is>
          <x:t xml:space="preserve">Warlock</x:t>
        </x:is>
      </x:c>
      <x:c r="B490" s="2" t="inlineStr">
        <x:is>
          <x:t xml:space="preserve">5</x:t>
        </x:is>
      </x:c>
      <x:c r="C490" s="2" t="inlineStr">
        <x:is>
          <x:t xml:space="preserve">Teleportation Circle</x:t>
        </x:is>
      </x:c>
      <x:c r="D490" s="2" t="inlineStr">
        <x:is>
          <x:t xml:space="preserve">Conjuration</x:t>
        </x:is>
      </x:c>
      <x:c r="E490" s="2" t="inlineStr">
        <x:is>
          <x:t xml:space="preserve">From spell description class tags</x:t>
        </x:is>
      </x:c>
      <x:c r="F490" s="2" t="inlineStr">
        <x:is>
          <x:t xml:space="preserve">SRD 5.2.1</x:t>
        </x:is>
      </x:c>
    </x:row>
    <x:row r="491" ht="18" customHeight="1">
      <x:c r="A491" s="2" t="inlineStr">
        <x:is>
          <x:t xml:space="preserve">Warlock</x:t>
        </x:is>
      </x:c>
      <x:c r="B491" s="2" t="inlineStr">
        <x:is>
          <x:t xml:space="preserve">6</x:t>
        </x:is>
      </x:c>
      <x:c r="C491" s="2" t="inlineStr">
        <x:is>
          <x:t xml:space="preserve">Circle of Death</x:t>
        </x:is>
      </x:c>
      <x:c r="D491" s="2" t="inlineStr">
        <x:is>
          <x:t xml:space="preserve">Necromancy</x:t>
        </x:is>
      </x:c>
      <x:c r="E491" s="2" t="inlineStr">
        <x:is>
          <x:t xml:space="preserve">From spell description class tags</x:t>
        </x:is>
      </x:c>
      <x:c r="F491" s="2" t="inlineStr">
        <x:is>
          <x:t xml:space="preserve">SRD 5.2.1</x:t>
        </x:is>
      </x:c>
    </x:row>
    <x:row r="492" ht="18" customHeight="1">
      <x:c r="A492" s="2" t="inlineStr">
        <x:is>
          <x:t xml:space="preserve">Warlock</x:t>
        </x:is>
      </x:c>
      <x:c r="B492" s="2" t="inlineStr">
        <x:is>
          <x:t xml:space="preserve">6</x:t>
        </x:is>
      </x:c>
      <x:c r="C492" s="2" t="inlineStr">
        <x:is>
          <x:t xml:space="preserve">Create Undead</x:t>
        </x:is>
      </x:c>
      <x:c r="D492" s="2" t="inlineStr">
        <x:is>
          <x:t xml:space="preserve">Necromancy</x:t>
        </x:is>
      </x:c>
      <x:c r="E492" s="2" t="inlineStr">
        <x:is>
          <x:t xml:space="preserve">From spell description class tags</x:t>
        </x:is>
      </x:c>
      <x:c r="F492" s="2" t="inlineStr">
        <x:is>
          <x:t xml:space="preserve">SRD 5.2.1</x:t>
        </x:is>
      </x:c>
    </x:row>
    <x:row r="493" ht="18" customHeight="1">
      <x:c r="A493" s="2" t="inlineStr">
        <x:is>
          <x:t xml:space="preserve">Warlock</x:t>
        </x:is>
      </x:c>
      <x:c r="B493" s="2" t="inlineStr">
        <x:is>
          <x:t xml:space="preserve">6</x:t>
        </x:is>
      </x:c>
      <x:c r="C493" s="2" t="inlineStr">
        <x:is>
          <x:t xml:space="preserve">Eyebite</x:t>
        </x:is>
      </x:c>
      <x:c r="D493" s="2" t="inlineStr">
        <x:is>
          <x:t xml:space="preserve">Necromancy</x:t>
        </x:is>
      </x:c>
      <x:c r="E493" s="2" t="inlineStr">
        <x:is>
          <x:t xml:space="preserve">From spell description class tags</x:t>
        </x:is>
      </x:c>
      <x:c r="F493" s="2" t="inlineStr">
        <x:is>
          <x:t xml:space="preserve">SRD 5.2.1</x:t>
        </x:is>
      </x:c>
    </x:row>
    <x:row r="494" ht="18" customHeight="1">
      <x:c r="A494" s="2" t="inlineStr">
        <x:is>
          <x:t xml:space="preserve">Warlock</x:t>
        </x:is>
      </x:c>
      <x:c r="B494" s="2" t="inlineStr">
        <x:is>
          <x:t xml:space="preserve">7</x:t>
        </x:is>
      </x:c>
      <x:c r="C494" s="2" t="inlineStr">
        <x:is>
          <x:t xml:space="preserve">Finger of Death</x:t>
        </x:is>
      </x:c>
      <x:c r="D494" s="2" t="inlineStr">
        <x:is>
          <x:t xml:space="preserve">Necromancy</x:t>
        </x:is>
      </x:c>
      <x:c r="E494" s="2" t="inlineStr">
        <x:is>
          <x:t xml:space="preserve">From spell description class tags</x:t>
        </x:is>
      </x:c>
      <x:c r="F494" s="2" t="inlineStr">
        <x:is>
          <x:t xml:space="preserve">SRD 5.2.1</x:t>
        </x:is>
      </x:c>
    </x:row>
    <x:row r="495" ht="18" customHeight="1">
      <x:c r="A495" s="2" t="inlineStr">
        <x:is>
          <x:t xml:space="preserve">Warlock</x:t>
        </x:is>
      </x:c>
      <x:c r="B495" s="2" t="inlineStr">
        <x:is>
          <x:t xml:space="preserve">7</x:t>
        </x:is>
      </x:c>
      <x:c r="C495" s="2" t="inlineStr">
        <x:is>
          <x:t xml:space="preserve">Forcecage</x:t>
        </x:is>
      </x:c>
      <x:c r="D495" s="2" t="inlineStr">
        <x:is>
          <x:t xml:space="preserve">Evocation</x:t>
        </x:is>
      </x:c>
      <x:c r="E495" s="2" t="inlineStr">
        <x:is>
          <x:t xml:space="preserve">From spell description class tags</x:t>
        </x:is>
      </x:c>
      <x:c r="F495" s="2" t="inlineStr">
        <x:is>
          <x:t xml:space="preserve">SRD 5.2.1</x:t>
        </x:is>
      </x:c>
    </x:row>
    <x:row r="496" ht="18" customHeight="1">
      <x:c r="A496" s="2" t="inlineStr">
        <x:is>
          <x:t xml:space="preserve">Warlock</x:t>
        </x:is>
      </x:c>
      <x:c r="B496" s="2" t="inlineStr">
        <x:is>
          <x:t xml:space="preserve">8</x:t>
        </x:is>
      </x:c>
      <x:c r="C496" s="2" t="inlineStr">
        <x:is>
          <x:t xml:space="preserve">Befuddlement</x:t>
        </x:is>
      </x:c>
      <x:c r="D496" s="2" t="inlineStr">
        <x:is>
          <x:t xml:space="preserve">Enchantment</x:t>
        </x:is>
      </x:c>
      <x:c r="E496" s="2" t="inlineStr">
        <x:is>
          <x:t xml:space="preserve">From spell description class tags</x:t>
        </x:is>
      </x:c>
      <x:c r="F496" s="2" t="inlineStr">
        <x:is>
          <x:t xml:space="preserve">SRD 5.2.1</x:t>
        </x:is>
      </x:c>
    </x:row>
    <x:row r="497" ht="18" customHeight="1">
      <x:c r="A497" s="2" t="inlineStr">
        <x:is>
          <x:t xml:space="preserve">Warlock</x:t>
        </x:is>
      </x:c>
      <x:c r="B497" s="2" t="inlineStr">
        <x:is>
          <x:t xml:space="preserve">8</x:t>
        </x:is>
      </x:c>
      <x:c r="C497" s="2" t="inlineStr">
        <x:is>
          <x:t xml:space="preserve">Demiplane</x:t>
        </x:is>
      </x:c>
      <x:c r="D497" s="2" t="inlineStr">
        <x:is>
          <x:t xml:space="preserve">Conjuration</x:t>
        </x:is>
      </x:c>
      <x:c r="E497" s="2" t="inlineStr">
        <x:is>
          <x:t xml:space="preserve">From spell description class tags</x:t>
        </x:is>
      </x:c>
      <x:c r="F497" s="2" t="inlineStr">
        <x:is>
          <x:t xml:space="preserve">SRD 5.2.1</x:t>
        </x:is>
      </x:c>
    </x:row>
    <x:row r="498" ht="18" customHeight="1">
      <x:c r="A498" s="2" t="inlineStr">
        <x:is>
          <x:t xml:space="preserve">Warlock</x:t>
        </x:is>
      </x:c>
      <x:c r="B498" s="2" t="inlineStr">
        <x:is>
          <x:t xml:space="preserve">8</x:t>
        </x:is>
      </x:c>
      <x:c r="C498" s="2" t="inlineStr">
        <x:is>
          <x:t xml:space="preserve">Glibness</x:t>
        </x:is>
      </x:c>
      <x:c r="D498" s="2" t="inlineStr">
        <x:is>
          <x:t xml:space="preserve">Enchantment</x:t>
        </x:is>
      </x:c>
      <x:c r="E498" s="2" t="inlineStr">
        <x:is>
          <x:t xml:space="preserve">From spell description class tags</x:t>
        </x:is>
      </x:c>
      <x:c r="F498" s="2" t="inlineStr">
        <x:is>
          <x:t xml:space="preserve">SRD 5.2.1</x:t>
        </x:is>
      </x:c>
    </x:row>
    <x:row r="499" ht="18" customHeight="1">
      <x:c r="A499" s="2" t="inlineStr">
        <x:is>
          <x:t xml:space="preserve">Warlock</x:t>
        </x:is>
      </x:c>
      <x:c r="B499" s="2" t="inlineStr">
        <x:is>
          <x:t xml:space="preserve">9</x:t>
        </x:is>
      </x:c>
      <x:c r="C499" s="2" t="inlineStr">
        <x:is>
          <x:t xml:space="preserve">Astral Projection</x:t>
        </x:is>
      </x:c>
      <x:c r="D499" s="2" t="inlineStr">
        <x:is>
          <x:t xml:space="preserve">Necromancy</x:t>
        </x:is>
      </x:c>
      <x:c r="E499" s="2" t="inlineStr">
        <x:is>
          <x:t xml:space="preserve">From spell description class tags</x:t>
        </x:is>
      </x:c>
      <x:c r="F499" s="2" t="inlineStr">
        <x:is>
          <x:t xml:space="preserve">SRD 5.2.1</x:t>
        </x:is>
      </x:c>
    </x:row>
    <x:row r="500" ht="18" customHeight="1">
      <x:c r="A500" s="2" t="inlineStr">
        <x:is>
          <x:t xml:space="preserve">Warlock</x:t>
        </x:is>
      </x:c>
      <x:c r="B500" s="2" t="inlineStr">
        <x:is>
          <x:t xml:space="preserve">9</x:t>
        </x:is>
      </x:c>
      <x:c r="C500" s="2" t="inlineStr">
        <x:is>
          <x:t xml:space="preserve">Foresight</x:t>
        </x:is>
      </x:c>
      <x:c r="D500" s="2" t="inlineStr">
        <x:is>
          <x:t xml:space="preserve">Divination</x:t>
        </x:is>
      </x:c>
      <x:c r="E500" s="2" t="inlineStr">
        <x:is>
          <x:t xml:space="preserve">From spell description class tags</x:t>
        </x:is>
      </x:c>
      <x:c r="F500" s="2" t="inlineStr">
        <x:is>
          <x:t xml:space="preserve">SRD 5.2.1</x:t>
        </x:is>
      </x:c>
    </x:row>
    <x:row r="501" ht="18" customHeight="1">
      <x:c r="A501" s="2" t="inlineStr">
        <x:is>
          <x:t xml:space="preserve">Warlock</x:t>
        </x:is>
      </x:c>
      <x:c r="B501" s="2" t="inlineStr">
        <x:is>
          <x:t xml:space="preserve">9</x:t>
        </x:is>
      </x:c>
      <x:c r="C501" s="2" t="inlineStr">
        <x:is>
          <x:t xml:space="preserve">Gate</x:t>
        </x:is>
      </x:c>
      <x:c r="D501" s="2" t="inlineStr">
        <x:is>
          <x:t xml:space="preserve">Conjuration</x:t>
        </x:is>
      </x:c>
      <x:c r="E501" s="2" t="inlineStr">
        <x:is>
          <x:t xml:space="preserve">From spell description class tags</x:t>
        </x:is>
      </x:c>
      <x:c r="F501" s="2" t="inlineStr">
        <x:is>
          <x:t xml:space="preserve">SRD 5.2.1</x:t>
        </x:is>
      </x:c>
    </x:row>
    <x:row r="502" ht="18" customHeight="1">
      <x:c r="A502" s="2" t="inlineStr">
        <x:is>
          <x:t xml:space="preserve">Warlock</x:t>
        </x:is>
      </x:c>
      <x:c r="B502" s="2" t="inlineStr">
        <x:is>
          <x:t xml:space="preserve">9</x:t>
        </x:is>
      </x:c>
      <x:c r="C502" s="2" t="inlineStr">
        <x:is>
          <x:t xml:space="preserve">Imprisonment</x:t>
        </x:is>
      </x:c>
      <x:c r="D502" s="2" t="inlineStr">
        <x:is>
          <x:t xml:space="preserve">Abjuration</x:t>
        </x:is>
      </x:c>
      <x:c r="E502" s="2" t="inlineStr">
        <x:is>
          <x:t xml:space="preserve">From spell description class tags</x:t>
        </x:is>
      </x:c>
      <x:c r="F502" s="2" t="inlineStr">
        <x:is>
          <x:t xml:space="preserve">SRD 5.2.1</x:t>
        </x:is>
      </x:c>
    </x:row>
    <x:row r="503" ht="18" customHeight="1">
      <x:c r="A503" s="2" t="inlineStr">
        <x:is>
          <x:t xml:space="preserve">Warlock</x:t>
        </x:is>
      </x:c>
      <x:c r="B503" s="2" t="inlineStr">
        <x:is>
          <x:t xml:space="preserve">9</x:t>
        </x:is>
      </x:c>
      <x:c r="C503" s="2" t="inlineStr">
        <x:is>
          <x:t xml:space="preserve">True Polymorph</x:t>
        </x:is>
      </x:c>
      <x:c r="D503" s="2" t="inlineStr">
        <x:is>
          <x:t xml:space="preserve">Transmutation</x:t>
        </x:is>
      </x:c>
      <x:c r="E503" s="2" t="inlineStr">
        <x:is>
          <x:t xml:space="preserve">From spell description class tags</x:t>
        </x:is>
      </x:c>
      <x:c r="F503" s="2" t="inlineStr">
        <x:is>
          <x:t xml:space="preserve">SRD 5.2.1</x:t>
        </x:is>
      </x:c>
    </x:row>
    <x:row r="504" ht="18" customHeight="1">
      <x:c r="A504" s="2" t="inlineStr">
        <x:is>
          <x:t xml:space="preserve">Warlock</x:t>
        </x:is>
      </x:c>
      <x:c r="B504" s="2" t="inlineStr">
        <x:is>
          <x:t xml:space="preserve">9</x:t>
        </x:is>
      </x:c>
      <x:c r="C504" s="2" t="inlineStr">
        <x:is>
          <x:t xml:space="preserve">Weird</x:t>
        </x:is>
      </x:c>
      <x:c r="D504" s="2" t="inlineStr">
        <x:is>
          <x:t xml:space="preserve">Illusion</x:t>
        </x:is>
      </x:c>
      <x:c r="E504" s="2" t="inlineStr">
        <x:is>
          <x:t xml:space="preserve">From spell description class tags</x:t>
        </x:is>
      </x:c>
      <x:c r="F504" s="2" t="inlineStr">
        <x:is>
          <x:t xml:space="preserve">SRD 5.2.1</x:t>
        </x:is>
      </x:c>
    </x:row>
    <x:row r="505" ht="18" customHeight="1">
      <x:c r="A505" s="2" t="inlineStr">
        <x:is>
          <x:t xml:space="preserve">Warlock</x:t>
        </x:is>
      </x:c>
      <x:c r="B505" s="2" t="inlineStr">
        <x:is>
          <x:t xml:space="preserve">Cantrip</x:t>
        </x:is>
      </x:c>
      <x:c r="C505" s="2" t="inlineStr">
        <x:is>
          <x:t xml:space="preserve">Chill Touch</x:t>
        </x:is>
      </x:c>
      <x:c r="D505" s="2" t="inlineStr">
        <x:is>
          <x:t xml:space="preserve">Necromancy</x:t>
        </x:is>
      </x:c>
      <x:c r="E505" s="2" t="inlineStr">
        <x:is>
          <x:t xml:space="preserve">From spell description class tags</x:t>
        </x:is>
      </x:c>
      <x:c r="F505" s="2" t="inlineStr">
        <x:is>
          <x:t xml:space="preserve">SRD 5.2.1</x:t>
        </x:is>
      </x:c>
    </x:row>
    <x:row r="506" ht="18" customHeight="1">
      <x:c r="A506" s="2" t="inlineStr">
        <x:is>
          <x:t xml:space="preserve">Warlock</x:t>
        </x:is>
      </x:c>
      <x:c r="B506" s="2" t="inlineStr">
        <x:is>
          <x:t xml:space="preserve">Cantrip</x:t>
        </x:is>
      </x:c>
      <x:c r="C506" s="2" t="inlineStr">
        <x:is>
          <x:t xml:space="preserve">Eldritch Blast</x:t>
        </x:is>
      </x:c>
      <x:c r="D506" s="2" t="inlineStr">
        <x:is>
          <x:t xml:space="preserve">Evocation</x:t>
        </x:is>
      </x:c>
      <x:c r="E506" s="2" t="inlineStr">
        <x:is>
          <x:t xml:space="preserve">From spell description class tags</x:t>
        </x:is>
      </x:c>
      <x:c r="F506" s="2" t="inlineStr">
        <x:is>
          <x:t xml:space="preserve">SRD 5.2.1</x:t>
        </x:is>
      </x:c>
    </x:row>
    <x:row r="507" ht="18" customHeight="1">
      <x:c r="A507" s="2" t="inlineStr">
        <x:is>
          <x:t xml:space="preserve">Warlock</x:t>
        </x:is>
      </x:c>
      <x:c r="B507" s="2" t="inlineStr">
        <x:is>
          <x:t xml:space="preserve">Cantrip</x:t>
        </x:is>
      </x:c>
      <x:c r="C507" s="2" t="inlineStr">
        <x:is>
          <x:t xml:space="preserve">Mage Hand</x:t>
        </x:is>
      </x:c>
      <x:c r="D507" s="2" t="inlineStr">
        <x:is>
          <x:t xml:space="preserve">Conjuration</x:t>
        </x:is>
      </x:c>
      <x:c r="E507" s="2" t="inlineStr">
        <x:is>
          <x:t xml:space="preserve">From spell description class tags</x:t>
        </x:is>
      </x:c>
      <x:c r="F507" s="2" t="inlineStr">
        <x:is>
          <x:t xml:space="preserve">SRD 5.2.1</x:t>
        </x:is>
      </x:c>
    </x:row>
    <x:row r="508" ht="18" customHeight="1">
      <x:c r="A508" s="2" t="inlineStr">
        <x:is>
          <x:t xml:space="preserve">Warlock</x:t>
        </x:is>
      </x:c>
      <x:c r="B508" s="2" t="inlineStr">
        <x:is>
          <x:t xml:space="preserve">Cantrip</x:t>
        </x:is>
      </x:c>
      <x:c r="C508" s="2" t="inlineStr">
        <x:is>
          <x:t xml:space="preserve">Minor Illusion</x:t>
        </x:is>
      </x:c>
      <x:c r="D508" s="2" t="inlineStr">
        <x:is>
          <x:t xml:space="preserve">Illusion</x:t>
        </x:is>
      </x:c>
      <x:c r="E508" s="2" t="inlineStr">
        <x:is>
          <x:t xml:space="preserve">From spell description class tags</x:t>
        </x:is>
      </x:c>
      <x:c r="F508" s="2" t="inlineStr">
        <x:is>
          <x:t xml:space="preserve">SRD 5.2.1</x:t>
        </x:is>
      </x:c>
    </x:row>
    <x:row r="509" ht="18" customHeight="1">
      <x:c r="A509" s="2" t="inlineStr">
        <x:is>
          <x:t xml:space="preserve">Warlock</x:t>
        </x:is>
      </x:c>
      <x:c r="B509" s="2" t="inlineStr">
        <x:is>
          <x:t xml:space="preserve">Cantrip</x:t>
        </x:is>
      </x:c>
      <x:c r="C509" s="2" t="inlineStr">
        <x:is>
          <x:t xml:space="preserve">True Strike</x:t>
        </x:is>
      </x:c>
      <x:c r="D509" s="2" t="inlineStr">
        <x:is>
          <x:t xml:space="preserve">Divination</x:t>
        </x:is>
      </x:c>
      <x:c r="E509" s="2" t="inlineStr">
        <x:is>
          <x:t xml:space="preserve">From spell description class tags</x:t>
        </x:is>
      </x:c>
      <x:c r="F509" s="2" t="inlineStr">
        <x:is>
          <x:t xml:space="preserve">SRD 5.2.1</x:t>
        </x:is>
      </x:c>
    </x:row>
    <x:row r="510" ht="18" customHeight="1">
      <x:c r="A510" s="2" t="inlineStr">
        <x:is>
          <x:t xml:space="preserve">Wizard</x:t>
        </x:is>
      </x:c>
      <x:c r="B510" s="2" t="inlineStr">
        <x:is>
          <x:t xml:space="preserve">1</x:t>
        </x:is>
      </x:c>
      <x:c r="C510" s="2" t="inlineStr">
        <x:is>
          <x:t xml:space="preserve">Alarm</x:t>
        </x:is>
      </x:c>
      <x:c r="D510" s="2" t="inlineStr">
        <x:is>
          <x:t xml:space="preserve">Abjuration</x:t>
        </x:is>
      </x:c>
      <x:c r="E510" s="2" t="inlineStr">
        <x:is>
          <x:t xml:space="preserve">From spell description class tags</x:t>
        </x:is>
      </x:c>
      <x:c r="F510" s="2" t="inlineStr">
        <x:is>
          <x:t xml:space="preserve">SRD 5.2.1</x:t>
        </x:is>
      </x:c>
    </x:row>
    <x:row r="511" ht="18" customHeight="1">
      <x:c r="A511" s="2" t="inlineStr">
        <x:is>
          <x:t xml:space="preserve">Wizard</x:t>
        </x:is>
      </x:c>
      <x:c r="B511" s="2" t="inlineStr">
        <x:is>
          <x:t xml:space="preserve">1</x:t>
        </x:is>
      </x:c>
      <x:c r="C511" s="2" t="inlineStr">
        <x:is>
          <x:t xml:space="preserve">Burning Hands</x:t>
        </x:is>
      </x:c>
      <x:c r="D511" s="2" t="inlineStr">
        <x:is>
          <x:t xml:space="preserve">Evocation</x:t>
        </x:is>
      </x:c>
      <x:c r="E511" s="2" t="inlineStr">
        <x:is>
          <x:t xml:space="preserve">From spell description class tags</x:t>
        </x:is>
      </x:c>
      <x:c r="F511" s="2" t="inlineStr">
        <x:is>
          <x:t xml:space="preserve">SRD 5.2.1</x:t>
        </x:is>
      </x:c>
    </x:row>
    <x:row r="512" ht="18" customHeight="1">
      <x:c r="A512" s="2" t="inlineStr">
        <x:is>
          <x:t xml:space="preserve">Wizard</x:t>
        </x:is>
      </x:c>
      <x:c r="B512" s="2" t="inlineStr">
        <x:is>
          <x:t xml:space="preserve">1</x:t>
        </x:is>
      </x:c>
      <x:c r="C512" s="2" t="inlineStr">
        <x:is>
          <x:t xml:space="preserve">Chromatic Orb</x:t>
        </x:is>
      </x:c>
      <x:c r="D512" s="2" t="inlineStr">
        <x:is>
          <x:t xml:space="preserve">Evocation</x:t>
        </x:is>
      </x:c>
      <x:c r="E512" s="2" t="inlineStr">
        <x:is>
          <x:t xml:space="preserve">From spell description class tags</x:t>
        </x:is>
      </x:c>
      <x:c r="F512" s="2" t="inlineStr">
        <x:is>
          <x:t xml:space="preserve">SRD 5.2.1</x:t>
        </x:is>
      </x:c>
    </x:row>
    <x:row r="513" ht="18" customHeight="1">
      <x:c r="A513" s="2" t="inlineStr">
        <x:is>
          <x:t xml:space="preserve">Wizard</x:t>
        </x:is>
      </x:c>
      <x:c r="B513" s="2" t="inlineStr">
        <x:is>
          <x:t xml:space="preserve">1</x:t>
        </x:is>
      </x:c>
      <x:c r="C513" s="2" t="inlineStr">
        <x:is>
          <x:t xml:space="preserve">Color Spray</x:t>
        </x:is>
      </x:c>
      <x:c r="D513" s="2" t="inlineStr">
        <x:is>
          <x:t xml:space="preserve">Illusion</x:t>
        </x:is>
      </x:c>
      <x:c r="E513" s="2" t="inlineStr">
        <x:is>
          <x:t xml:space="preserve">From spell description class tags</x:t>
        </x:is>
      </x:c>
      <x:c r="F513" s="2" t="inlineStr">
        <x:is>
          <x:t xml:space="preserve">SRD 5.2.1</x:t>
        </x:is>
      </x:c>
    </x:row>
    <x:row r="514" ht="18" customHeight="1">
      <x:c r="A514" s="2" t="inlineStr">
        <x:is>
          <x:t xml:space="preserve">Wizard</x:t>
        </x:is>
      </x:c>
      <x:c r="B514" s="2" t="inlineStr">
        <x:is>
          <x:t xml:space="preserve">1</x:t>
        </x:is>
      </x:c>
      <x:c r="C514" s="2" t="inlineStr">
        <x:is>
          <x:t xml:space="preserve">Comprehend Languages</x:t>
        </x:is>
      </x:c>
      <x:c r="D514" s="2" t="inlineStr">
        <x:is>
          <x:t xml:space="preserve">Divination</x:t>
        </x:is>
      </x:c>
      <x:c r="E514" s="2" t="inlineStr">
        <x:is>
          <x:t xml:space="preserve">From spell description class tags</x:t>
        </x:is>
      </x:c>
      <x:c r="F514" s="2" t="inlineStr">
        <x:is>
          <x:t xml:space="preserve">SRD 5.2.1</x:t>
        </x:is>
      </x:c>
    </x:row>
    <x:row r="515" ht="18" customHeight="1">
      <x:c r="A515" s="2" t="inlineStr">
        <x:is>
          <x:t xml:space="preserve">Wizard</x:t>
        </x:is>
      </x:c>
      <x:c r="B515" s="2" t="inlineStr">
        <x:is>
          <x:t xml:space="preserve">1</x:t>
        </x:is>
      </x:c>
      <x:c r="C515" s="2" t="inlineStr">
        <x:is>
          <x:t xml:space="preserve">Disguise Self</x:t>
        </x:is>
      </x:c>
      <x:c r="D515" s="2" t="inlineStr">
        <x:is>
          <x:t xml:space="preserve">Illusion</x:t>
        </x:is>
      </x:c>
      <x:c r="E515" s="2" t="inlineStr">
        <x:is>
          <x:t xml:space="preserve">From spell description class tags</x:t>
        </x:is>
      </x:c>
      <x:c r="F515" s="2" t="inlineStr">
        <x:is>
          <x:t xml:space="preserve">SRD 5.2.1</x:t>
        </x:is>
      </x:c>
    </x:row>
    <x:row r="516" ht="18" customHeight="1">
      <x:c r="A516" s="2" t="inlineStr">
        <x:is>
          <x:t xml:space="preserve">Wizard</x:t>
        </x:is>
      </x:c>
      <x:c r="B516" s="2" t="inlineStr">
        <x:is>
          <x:t xml:space="preserve">1</x:t>
        </x:is>
      </x:c>
      <x:c r="C516" s="2" t="inlineStr">
        <x:is>
          <x:t xml:space="preserve">Expeditious Retreat</x:t>
        </x:is>
      </x:c>
      <x:c r="D516" s="2" t="inlineStr">
        <x:is>
          <x:t xml:space="preserve">Transmutation</x:t>
        </x:is>
      </x:c>
      <x:c r="E516" s="2" t="inlineStr">
        <x:is>
          <x:t xml:space="preserve">From spell description class tags</x:t>
        </x:is>
      </x:c>
      <x:c r="F516" s="2" t="inlineStr">
        <x:is>
          <x:t xml:space="preserve">SRD 5.2.1</x:t>
        </x:is>
      </x:c>
    </x:row>
    <x:row r="517" ht="18" customHeight="1">
      <x:c r="A517" s="2" t="inlineStr">
        <x:is>
          <x:t xml:space="preserve">Wizard</x:t>
        </x:is>
      </x:c>
      <x:c r="B517" s="2" t="inlineStr">
        <x:is>
          <x:t xml:space="preserve">1</x:t>
        </x:is>
      </x:c>
      <x:c r="C517" s="2" t="inlineStr">
        <x:is>
          <x:t xml:space="preserve">False Life</x:t>
        </x:is>
      </x:c>
      <x:c r="D517" s="2" t="inlineStr">
        <x:is>
          <x:t xml:space="preserve">Necromancy</x:t>
        </x:is>
      </x:c>
      <x:c r="E517" s="2" t="inlineStr">
        <x:is>
          <x:t xml:space="preserve">From spell description class tags</x:t>
        </x:is>
      </x:c>
      <x:c r="F517" s="2" t="inlineStr">
        <x:is>
          <x:t xml:space="preserve">SRD 5.2.1</x:t>
        </x:is>
      </x:c>
    </x:row>
    <x:row r="518" ht="18" customHeight="1">
      <x:c r="A518" s="2" t="inlineStr">
        <x:is>
          <x:t xml:space="preserve">Wizard</x:t>
        </x:is>
      </x:c>
      <x:c r="B518" s="2" t="inlineStr">
        <x:is>
          <x:t xml:space="preserve">1</x:t>
        </x:is>
      </x:c>
      <x:c r="C518" s="2" t="inlineStr">
        <x:is>
          <x:t xml:space="preserve">Feather Fall</x:t>
        </x:is>
      </x:c>
      <x:c r="D518" s="2" t="inlineStr">
        <x:is>
          <x:t xml:space="preserve">Transmutation</x:t>
        </x:is>
      </x:c>
      <x:c r="E518" s="2" t="inlineStr">
        <x:is>
          <x:t xml:space="preserve">From spell description class tags</x:t>
        </x:is>
      </x:c>
      <x:c r="F518" s="2" t="inlineStr">
        <x:is>
          <x:t xml:space="preserve">SRD 5.2.1</x:t>
        </x:is>
      </x:c>
    </x:row>
    <x:row r="519" ht="18" customHeight="1">
      <x:c r="A519" s="2" t="inlineStr">
        <x:is>
          <x:t xml:space="preserve">Wizard</x:t>
        </x:is>
      </x:c>
      <x:c r="B519" s="2" t="inlineStr">
        <x:is>
          <x:t xml:space="preserve">1</x:t>
        </x:is>
      </x:c>
      <x:c r="C519" s="2" t="inlineStr">
        <x:is>
          <x:t xml:space="preserve">Find Familiar</x:t>
        </x:is>
      </x:c>
      <x:c r="D519" s="2" t="inlineStr">
        <x:is>
          <x:t xml:space="preserve">Conjuration</x:t>
        </x:is>
      </x:c>
      <x:c r="E519" s="2" t="inlineStr">
        <x:is>
          <x:t xml:space="preserve">From spell description class tags</x:t>
        </x:is>
      </x:c>
      <x:c r="F519" s="2" t="inlineStr">
        <x:is>
          <x:t xml:space="preserve">SRD 5.2.1</x:t>
        </x:is>
      </x:c>
    </x:row>
    <x:row r="520" ht="18" customHeight="1">
      <x:c r="A520" s="2" t="inlineStr">
        <x:is>
          <x:t xml:space="preserve">Wizard</x:t>
        </x:is>
      </x:c>
      <x:c r="B520" s="2" t="inlineStr">
        <x:is>
          <x:t xml:space="preserve">1</x:t>
        </x:is>
      </x:c>
      <x:c r="C520" s="2" t="inlineStr">
        <x:is>
          <x:t xml:space="preserve">Floating Disk</x:t>
        </x:is>
      </x:c>
      <x:c r="D520" s="2" t="inlineStr">
        <x:is>
          <x:t xml:space="preserve">Conjuration</x:t>
        </x:is>
      </x:c>
      <x:c r="E520" s="2" t="inlineStr">
        <x:is>
          <x:t xml:space="preserve">From spell description class tags</x:t>
        </x:is>
      </x:c>
      <x:c r="F520" s="2" t="inlineStr">
        <x:is>
          <x:t xml:space="preserve">SRD 5.2.1</x:t>
        </x:is>
      </x:c>
    </x:row>
    <x:row r="521" ht="18" customHeight="1">
      <x:c r="A521" s="2" t="inlineStr">
        <x:is>
          <x:t xml:space="preserve">Wizard</x:t>
        </x:is>
      </x:c>
      <x:c r="B521" s="2" t="inlineStr">
        <x:is>
          <x:t xml:space="preserve">1</x:t>
        </x:is>
      </x:c>
      <x:c r="C521" s="2" t="inlineStr">
        <x:is>
          <x:t xml:space="preserve">Fog Cloud</x:t>
        </x:is>
      </x:c>
      <x:c r="D521" s="2" t="inlineStr">
        <x:is>
          <x:t xml:space="preserve">Conjuration</x:t>
        </x:is>
      </x:c>
      <x:c r="E521" s="2" t="inlineStr">
        <x:is>
          <x:t xml:space="preserve">From spell description class tags</x:t>
        </x:is>
      </x:c>
      <x:c r="F521" s="2" t="inlineStr">
        <x:is>
          <x:t xml:space="preserve">SRD 5.2.1</x:t>
        </x:is>
      </x:c>
    </x:row>
    <x:row r="522" ht="18" customHeight="1">
      <x:c r="A522" s="2" t="inlineStr">
        <x:is>
          <x:t xml:space="preserve">Wizard</x:t>
        </x:is>
      </x:c>
      <x:c r="B522" s="2" t="inlineStr">
        <x:is>
          <x:t xml:space="preserve">1</x:t>
        </x:is>
      </x:c>
      <x:c r="C522" s="2" t="inlineStr">
        <x:is>
          <x:t xml:space="preserve">Grease</x:t>
        </x:is>
      </x:c>
      <x:c r="D522" s="2" t="inlineStr">
        <x:is>
          <x:t xml:space="preserve">Conjuration</x:t>
        </x:is>
      </x:c>
      <x:c r="E522" s="2" t="inlineStr">
        <x:is>
          <x:t xml:space="preserve">From spell description class tags</x:t>
        </x:is>
      </x:c>
      <x:c r="F522" s="2" t="inlineStr">
        <x:is>
          <x:t xml:space="preserve">SRD 5.2.1</x:t>
        </x:is>
      </x:c>
    </x:row>
    <x:row r="523" ht="18" customHeight="1">
      <x:c r="A523" s="2" t="inlineStr">
        <x:is>
          <x:t xml:space="preserve">Wizard</x:t>
        </x:is>
      </x:c>
      <x:c r="B523" s="2" t="inlineStr">
        <x:is>
          <x:t xml:space="preserve">1</x:t>
        </x:is>
      </x:c>
      <x:c r="C523" s="2" t="inlineStr">
        <x:is>
          <x:t xml:space="preserve">Hideous Laughter</x:t>
        </x:is>
      </x:c>
      <x:c r="D523" s="2" t="inlineStr">
        <x:is>
          <x:t xml:space="preserve">Enchantment</x:t>
        </x:is>
      </x:c>
      <x:c r="E523" s="2" t="inlineStr">
        <x:is>
          <x:t xml:space="preserve">From spell description class tags</x:t>
        </x:is>
      </x:c>
      <x:c r="F523" s="2" t="inlineStr">
        <x:is>
          <x:t xml:space="preserve">SRD 5.2.1</x:t>
        </x:is>
      </x:c>
    </x:row>
    <x:row r="524" ht="18" customHeight="1">
      <x:c r="A524" s="2" t="inlineStr">
        <x:is>
          <x:t xml:space="preserve">Wizard</x:t>
        </x:is>
      </x:c>
      <x:c r="B524" s="2" t="inlineStr">
        <x:is>
          <x:t xml:space="preserve">1</x:t>
        </x:is>
      </x:c>
      <x:c r="C524" s="2" t="inlineStr">
        <x:is>
          <x:t xml:space="preserve">Ice Knife</x:t>
        </x:is>
      </x:c>
      <x:c r="D524" s="2" t="inlineStr">
        <x:is>
          <x:t xml:space="preserve">Conjuration</x:t>
        </x:is>
      </x:c>
      <x:c r="E524" s="2" t="inlineStr">
        <x:is>
          <x:t xml:space="preserve">From spell description class tags</x:t>
        </x:is>
      </x:c>
      <x:c r="F524" s="2" t="inlineStr">
        <x:is>
          <x:t xml:space="preserve">SRD 5.2.1</x:t>
        </x:is>
      </x:c>
    </x:row>
    <x:row r="525" ht="18" customHeight="1">
      <x:c r="A525" s="2" t="inlineStr">
        <x:is>
          <x:t xml:space="preserve">Wizard</x:t>
        </x:is>
      </x:c>
      <x:c r="B525" s="2" t="inlineStr">
        <x:is>
          <x:t xml:space="preserve">1</x:t>
        </x:is>
      </x:c>
      <x:c r="C525" s="2" t="inlineStr">
        <x:is>
          <x:t xml:space="preserve">Identify</x:t>
        </x:is>
      </x:c>
      <x:c r="D525" s="2" t="inlineStr">
        <x:is>
          <x:t xml:space="preserve">Divination</x:t>
        </x:is>
      </x:c>
      <x:c r="E525" s="2" t="inlineStr">
        <x:is>
          <x:t xml:space="preserve">From spell description class tags</x:t>
        </x:is>
      </x:c>
      <x:c r="F525" s="2" t="inlineStr">
        <x:is>
          <x:t xml:space="preserve">SRD 5.2.1</x:t>
        </x:is>
      </x:c>
    </x:row>
    <x:row r="526" ht="18" customHeight="1">
      <x:c r="A526" s="2" t="inlineStr">
        <x:is>
          <x:t xml:space="preserve">Wizard</x:t>
        </x:is>
      </x:c>
      <x:c r="B526" s="2" t="inlineStr">
        <x:is>
          <x:t xml:space="preserve">1</x:t>
        </x:is>
      </x:c>
      <x:c r="C526" s="2" t="inlineStr">
        <x:is>
          <x:t xml:space="preserve">Illusory Script</x:t>
        </x:is>
      </x:c>
      <x:c r="D526" s="2" t="inlineStr">
        <x:is>
          <x:t xml:space="preserve">Illusion</x:t>
        </x:is>
      </x:c>
      <x:c r="E526" s="2" t="inlineStr">
        <x:is>
          <x:t xml:space="preserve">From spell description class tags</x:t>
        </x:is>
      </x:c>
      <x:c r="F526" s="2" t="inlineStr">
        <x:is>
          <x:t xml:space="preserve">SRD 5.2.1</x:t>
        </x:is>
      </x:c>
    </x:row>
    <x:row r="527" ht="18" customHeight="1">
      <x:c r="A527" s="2" t="inlineStr">
        <x:is>
          <x:t xml:space="preserve">Wizard</x:t>
        </x:is>
      </x:c>
      <x:c r="B527" s="2" t="inlineStr">
        <x:is>
          <x:t xml:space="preserve">1</x:t>
        </x:is>
      </x:c>
      <x:c r="C527" s="2" t="inlineStr">
        <x:is>
          <x:t xml:space="preserve">Longstrider</x:t>
        </x:is>
      </x:c>
      <x:c r="D527" s="2" t="inlineStr">
        <x:is>
          <x:t xml:space="preserve">Transmutation</x:t>
        </x:is>
      </x:c>
      <x:c r="E527" s="2" t="inlineStr">
        <x:is>
          <x:t xml:space="preserve">From spell description class tags</x:t>
        </x:is>
      </x:c>
      <x:c r="F527" s="2" t="inlineStr">
        <x:is>
          <x:t xml:space="preserve">SRD 5.2.1</x:t>
        </x:is>
      </x:c>
    </x:row>
    <x:row r="528" ht="18" customHeight="1">
      <x:c r="A528" s="2" t="inlineStr">
        <x:is>
          <x:t xml:space="preserve">Wizard</x:t>
        </x:is>
      </x:c>
      <x:c r="B528" s="2" t="inlineStr">
        <x:is>
          <x:t xml:space="preserve">1</x:t>
        </x:is>
      </x:c>
      <x:c r="C528" s="2" t="inlineStr">
        <x:is>
          <x:t xml:space="preserve">Mage Armor</x:t>
        </x:is>
      </x:c>
      <x:c r="D528" s="2" t="inlineStr">
        <x:is>
          <x:t xml:space="preserve">Abjuration</x:t>
        </x:is>
      </x:c>
      <x:c r="E528" s="2" t="inlineStr">
        <x:is>
          <x:t xml:space="preserve">From spell description class tags</x:t>
        </x:is>
      </x:c>
      <x:c r="F528" s="2" t="inlineStr">
        <x:is>
          <x:t xml:space="preserve">SRD 5.2.1</x:t>
        </x:is>
      </x:c>
    </x:row>
    <x:row r="529" ht="18" customHeight="1">
      <x:c r="A529" s="2" t="inlineStr">
        <x:is>
          <x:t xml:space="preserve">Wizard</x:t>
        </x:is>
      </x:c>
      <x:c r="B529" s="2" t="inlineStr">
        <x:is>
          <x:t xml:space="preserve">1</x:t>
        </x:is>
      </x:c>
      <x:c r="C529" s="2" t="inlineStr">
        <x:is>
          <x:t xml:space="preserve">Magic Missile</x:t>
        </x:is>
      </x:c>
      <x:c r="D529" s="2" t="inlineStr">
        <x:is>
          <x:t xml:space="preserve">Evocation</x:t>
        </x:is>
      </x:c>
      <x:c r="E529" s="2" t="inlineStr">
        <x:is>
          <x:t xml:space="preserve">From spell description class tags</x:t>
        </x:is>
      </x:c>
      <x:c r="F529" s="2" t="inlineStr">
        <x:is>
          <x:t xml:space="preserve">SRD 5.2.1</x:t>
        </x:is>
      </x:c>
    </x:row>
    <x:row r="530" ht="18" customHeight="1">
      <x:c r="A530" s="2" t="inlineStr">
        <x:is>
          <x:t xml:space="preserve">Wizard</x:t>
        </x:is>
      </x:c>
      <x:c r="B530" s="2" t="inlineStr">
        <x:is>
          <x:t xml:space="preserve">1</x:t>
        </x:is>
      </x:c>
      <x:c r="C530" s="2" t="inlineStr">
        <x:is>
          <x:t xml:space="preserve">Ray of Sickness</x:t>
        </x:is>
      </x:c>
      <x:c r="D530" s="2" t="inlineStr">
        <x:is>
          <x:t xml:space="preserve">Necromancy</x:t>
        </x:is>
      </x:c>
      <x:c r="E530" s="2" t="inlineStr">
        <x:is>
          <x:t xml:space="preserve">From spell description class tags</x:t>
        </x:is>
      </x:c>
      <x:c r="F530" s="2" t="inlineStr">
        <x:is>
          <x:t xml:space="preserve">SRD 5.2.1</x:t>
        </x:is>
      </x:c>
    </x:row>
    <x:row r="531" ht="18" customHeight="1">
      <x:c r="A531" s="2" t="inlineStr">
        <x:is>
          <x:t xml:space="preserve">Wizard</x:t>
        </x:is>
      </x:c>
      <x:c r="B531" s="2" t="inlineStr">
        <x:is>
          <x:t xml:space="preserve">1</x:t>
        </x:is>
      </x:c>
      <x:c r="C531" s="2" t="inlineStr">
        <x:is>
          <x:t xml:space="preserve">Shield</x:t>
        </x:is>
      </x:c>
      <x:c r="D531" s="2" t="inlineStr">
        <x:is>
          <x:t xml:space="preserve">Abjuration</x:t>
        </x:is>
      </x:c>
      <x:c r="E531" s="2" t="inlineStr">
        <x:is>
          <x:t xml:space="preserve">From spell description class tags</x:t>
        </x:is>
      </x:c>
      <x:c r="F531" s="2" t="inlineStr">
        <x:is>
          <x:t xml:space="preserve">SRD 5.2.1</x:t>
        </x:is>
      </x:c>
    </x:row>
    <x:row r="532" ht="18" customHeight="1">
      <x:c r="A532" s="2" t="inlineStr">
        <x:is>
          <x:t xml:space="preserve">Wizard</x:t>
        </x:is>
      </x:c>
      <x:c r="B532" s="2" t="inlineStr">
        <x:is>
          <x:t xml:space="preserve">1</x:t>
        </x:is>
      </x:c>
      <x:c r="C532" s="2" t="inlineStr">
        <x:is>
          <x:t xml:space="preserve">Silent Image</x:t>
        </x:is>
      </x:c>
      <x:c r="D532" s="2" t="inlineStr">
        <x:is>
          <x:t xml:space="preserve">Illusion</x:t>
        </x:is>
      </x:c>
      <x:c r="E532" s="2" t="inlineStr">
        <x:is>
          <x:t xml:space="preserve">From spell description class tags</x:t>
        </x:is>
      </x:c>
      <x:c r="F532" s="2" t="inlineStr">
        <x:is>
          <x:t xml:space="preserve">SRD 5.2.1</x:t>
        </x:is>
      </x:c>
    </x:row>
    <x:row r="533" ht="18" customHeight="1">
      <x:c r="A533" s="2" t="inlineStr">
        <x:is>
          <x:t xml:space="preserve">Wizard</x:t>
        </x:is>
      </x:c>
      <x:c r="B533" s="2" t="inlineStr">
        <x:is>
          <x:t xml:space="preserve">1</x:t>
        </x:is>
      </x:c>
      <x:c r="C533" s="2" t="inlineStr">
        <x:is>
          <x:t xml:space="preserve">Sleep</x:t>
        </x:is>
      </x:c>
      <x:c r="D533" s="2" t="inlineStr">
        <x:is>
          <x:t xml:space="preserve">Enchantment</x:t>
        </x:is>
      </x:c>
      <x:c r="E533" s="2" t="inlineStr">
        <x:is>
          <x:t xml:space="preserve">From spell description class tags</x:t>
        </x:is>
      </x:c>
      <x:c r="F533" s="2" t="inlineStr">
        <x:is>
          <x:t xml:space="preserve">SRD 5.2.1</x:t>
        </x:is>
      </x:c>
    </x:row>
    <x:row r="534" ht="18" customHeight="1">
      <x:c r="A534" s="2" t="inlineStr">
        <x:is>
          <x:t xml:space="preserve">Wizard</x:t>
        </x:is>
      </x:c>
      <x:c r="B534" s="2" t="inlineStr">
        <x:is>
          <x:t xml:space="preserve">1</x:t>
        </x:is>
      </x:c>
      <x:c r="C534" s="2" t="inlineStr">
        <x:is>
          <x:t xml:space="preserve">Thunderwave</x:t>
        </x:is>
      </x:c>
      <x:c r="D534" s="2" t="inlineStr">
        <x:is>
          <x:t xml:space="preserve">Evocation</x:t>
        </x:is>
      </x:c>
      <x:c r="E534" s="2" t="inlineStr">
        <x:is>
          <x:t xml:space="preserve">From spell description class tags</x:t>
        </x:is>
      </x:c>
      <x:c r="F534" s="2" t="inlineStr">
        <x:is>
          <x:t xml:space="preserve">SRD 5.2.1</x:t>
        </x:is>
      </x:c>
    </x:row>
    <x:row r="535" ht="18" customHeight="1">
      <x:c r="A535" s="2" t="inlineStr">
        <x:is>
          <x:t xml:space="preserve">Wizard</x:t>
        </x:is>
      </x:c>
      <x:c r="B535" s="2" t="inlineStr">
        <x:is>
          <x:t xml:space="preserve">1</x:t>
        </x:is>
      </x:c>
      <x:c r="C535" s="2" t="inlineStr">
        <x:is>
          <x:t xml:space="preserve">Unseen Servant</x:t>
        </x:is>
      </x:c>
      <x:c r="D535" s="2" t="inlineStr">
        <x:is>
          <x:t xml:space="preserve">Conjuration</x:t>
        </x:is>
      </x:c>
      <x:c r="E535" s="2" t="inlineStr">
        <x:is>
          <x:t xml:space="preserve">From spell description class tags</x:t>
        </x:is>
      </x:c>
      <x:c r="F535" s="2" t="inlineStr">
        <x:is>
          <x:t xml:space="preserve">SRD 5.2.1</x:t>
        </x:is>
      </x:c>
    </x:row>
    <x:row r="536" ht="18" customHeight="1">
      <x:c r="A536" s="2" t="inlineStr">
        <x:is>
          <x:t xml:space="preserve">Wizard</x:t>
        </x:is>
      </x:c>
      <x:c r="B536" s="2" t="inlineStr">
        <x:is>
          <x:t xml:space="preserve">2</x:t>
        </x:is>
      </x:c>
      <x:c r="C536" s="2" t="inlineStr">
        <x:is>
          <x:t xml:space="preserve">Acid Arrow</x:t>
        </x:is>
      </x:c>
      <x:c r="D536" s="2" t="inlineStr">
        <x:is>
          <x:t xml:space="preserve">Evocation</x:t>
        </x:is>
      </x:c>
      <x:c r="E536" s="2" t="inlineStr">
        <x:is>
          <x:t xml:space="preserve">From spell description class tags</x:t>
        </x:is>
      </x:c>
      <x:c r="F536" s="2" t="inlineStr">
        <x:is>
          <x:t xml:space="preserve">SRD 5.2.1</x:t>
        </x:is>
      </x:c>
    </x:row>
    <x:row r="537" ht="18" customHeight="1">
      <x:c r="A537" s="2" t="inlineStr">
        <x:is>
          <x:t xml:space="preserve">Wizard</x:t>
        </x:is>
      </x:c>
      <x:c r="B537" s="2" t="inlineStr">
        <x:is>
          <x:t xml:space="preserve">2</x:t>
        </x:is>
      </x:c>
      <x:c r="C537" s="2" t="inlineStr">
        <x:is>
          <x:t xml:space="preserve">Alter Self</x:t>
        </x:is>
      </x:c>
      <x:c r="D537" s="2" t="inlineStr">
        <x:is>
          <x:t xml:space="preserve">Transmutation</x:t>
        </x:is>
      </x:c>
      <x:c r="E537" s="2" t="inlineStr">
        <x:is>
          <x:t xml:space="preserve">From spell description class tags</x:t>
        </x:is>
      </x:c>
      <x:c r="F537" s="2" t="inlineStr">
        <x:is>
          <x:t xml:space="preserve">SRD 5.2.1</x:t>
        </x:is>
      </x:c>
    </x:row>
    <x:row r="538" ht="18" customHeight="1">
      <x:c r="A538" s="2" t="inlineStr">
        <x:is>
          <x:t xml:space="preserve">Wizard</x:t>
        </x:is>
      </x:c>
      <x:c r="B538" s="2" t="inlineStr">
        <x:is>
          <x:t xml:space="preserve">2</x:t>
        </x:is>
      </x:c>
      <x:c r="C538" s="2" t="inlineStr">
        <x:is>
          <x:t xml:space="preserve">Arcane Lock</x:t>
        </x:is>
      </x:c>
      <x:c r="D538" s="2" t="inlineStr">
        <x:is>
          <x:t xml:space="preserve">Abjuration</x:t>
        </x:is>
      </x:c>
      <x:c r="E538" s="2" t="inlineStr">
        <x:is>
          <x:t xml:space="preserve">From spell description class tags</x:t>
        </x:is>
      </x:c>
      <x:c r="F538" s="2" t="inlineStr">
        <x:is>
          <x:t xml:space="preserve">SRD 5.2.1</x:t>
        </x:is>
      </x:c>
    </x:row>
    <x:row r="539" ht="18" customHeight="1">
      <x:c r="A539" s="2" t="inlineStr">
        <x:is>
          <x:t xml:space="preserve">Wizard</x:t>
        </x:is>
      </x:c>
      <x:c r="B539" s="2" t="inlineStr">
        <x:is>
          <x:t xml:space="preserve">2</x:t>
        </x:is>
      </x:c>
      <x:c r="C539" s="2" t="inlineStr">
        <x:is>
          <x:t xml:space="preserve">Arcanist’s Magic Aura</x:t>
        </x:is>
      </x:c>
      <x:c r="D539" s="2" t="inlineStr">
        <x:is>
          <x:t xml:space="preserve">Illusion</x:t>
        </x:is>
      </x:c>
      <x:c r="E539" s="2" t="inlineStr">
        <x:is>
          <x:t xml:space="preserve">From spell description class tags</x:t>
        </x:is>
      </x:c>
      <x:c r="F539" s="2" t="inlineStr">
        <x:is>
          <x:t xml:space="preserve">SRD 5.2.1</x:t>
        </x:is>
      </x:c>
    </x:row>
    <x:row r="540" ht="18" customHeight="1">
      <x:c r="A540" s="2" t="inlineStr">
        <x:is>
          <x:t xml:space="preserve">Wizard</x:t>
        </x:is>
      </x:c>
      <x:c r="B540" s="2" t="inlineStr">
        <x:is>
          <x:t xml:space="preserve">2</x:t>
        </x:is>
      </x:c>
      <x:c r="C540" s="2" t="inlineStr">
        <x:is>
          <x:t xml:space="preserve">Augury</x:t>
        </x:is>
      </x:c>
      <x:c r="D540" s="2" t="inlineStr">
        <x:is>
          <x:t xml:space="preserve">Divination</x:t>
        </x:is>
      </x:c>
      <x:c r="E540" s="2" t="inlineStr">
        <x:is>
          <x:t xml:space="preserve">From spell description class tags</x:t>
        </x:is>
      </x:c>
      <x:c r="F540" s="2" t="inlineStr">
        <x:is>
          <x:t xml:space="preserve">SRD 5.2.1</x:t>
        </x:is>
      </x:c>
    </x:row>
    <x:row r="541" ht="18" customHeight="1">
      <x:c r="A541" s="2" t="inlineStr">
        <x:is>
          <x:t xml:space="preserve">Wizard</x:t>
        </x:is>
      </x:c>
      <x:c r="B541" s="2" t="inlineStr">
        <x:is>
          <x:t xml:space="preserve">2</x:t>
        </x:is>
      </x:c>
      <x:c r="C541" s="2" t="inlineStr">
        <x:is>
          <x:t xml:space="preserve">Blindness/Deafness</x:t>
        </x:is>
      </x:c>
      <x:c r="D541" s="2" t="inlineStr">
        <x:is>
          <x:t xml:space="preserve">Transmutation</x:t>
        </x:is>
      </x:c>
      <x:c r="E541" s="2" t="inlineStr">
        <x:is>
          <x:t xml:space="preserve">From spell description class tags</x:t>
        </x:is>
      </x:c>
      <x:c r="F541" s="2" t="inlineStr">
        <x:is>
          <x:t xml:space="preserve">SRD 5.2.1</x:t>
        </x:is>
      </x:c>
    </x:row>
    <x:row r="542" ht="18" customHeight="1">
      <x:c r="A542" s="2" t="inlineStr">
        <x:is>
          <x:t xml:space="preserve">Wizard</x:t>
        </x:is>
      </x:c>
      <x:c r="B542" s="2" t="inlineStr">
        <x:is>
          <x:t xml:space="preserve">2</x:t>
        </x:is>
      </x:c>
      <x:c r="C542" s="2" t="inlineStr">
        <x:is>
          <x:t xml:space="preserve">Blur</x:t>
        </x:is>
      </x:c>
      <x:c r="D542" s="2" t="inlineStr">
        <x:is>
          <x:t xml:space="preserve">Illusion</x:t>
        </x:is>
      </x:c>
      <x:c r="E542" s="2" t="inlineStr">
        <x:is>
          <x:t xml:space="preserve">From spell description class tags</x:t>
        </x:is>
      </x:c>
      <x:c r="F542" s="2" t="inlineStr">
        <x:is>
          <x:t xml:space="preserve">SRD 5.2.1</x:t>
        </x:is>
      </x:c>
    </x:row>
    <x:row r="543" ht="18" customHeight="1">
      <x:c r="A543" s="2" t="inlineStr">
        <x:is>
          <x:t xml:space="preserve">Wizard</x:t>
        </x:is>
      </x:c>
      <x:c r="B543" s="2" t="inlineStr">
        <x:is>
          <x:t xml:space="preserve">2</x:t>
        </x:is>
      </x:c>
      <x:c r="C543" s="2" t="inlineStr">
        <x:is>
          <x:t xml:space="preserve">Continual Flame</x:t>
        </x:is>
      </x:c>
      <x:c r="D543" s="2" t="inlineStr">
        <x:is>
          <x:t xml:space="preserve">Evocation</x:t>
        </x:is>
      </x:c>
      <x:c r="E543" s="2" t="inlineStr">
        <x:is>
          <x:t xml:space="preserve">From spell description class tags</x:t>
        </x:is>
      </x:c>
      <x:c r="F543" s="2" t="inlineStr">
        <x:is>
          <x:t xml:space="preserve">SRD 5.2.1</x:t>
        </x:is>
      </x:c>
    </x:row>
    <x:row r="544" ht="18" customHeight="1">
      <x:c r="A544" s="2" t="inlineStr">
        <x:is>
          <x:t xml:space="preserve">Wizard</x:t>
        </x:is>
      </x:c>
      <x:c r="B544" s="2" t="inlineStr">
        <x:is>
          <x:t xml:space="preserve">2</x:t>
        </x:is>
      </x:c>
      <x:c r="C544" s="2" t="inlineStr">
        <x:is>
          <x:t xml:space="preserve">Darkness</x:t>
        </x:is>
      </x:c>
      <x:c r="D544" s="2" t="inlineStr">
        <x:is>
          <x:t xml:space="preserve">Evocation</x:t>
        </x:is>
      </x:c>
      <x:c r="E544" s="2" t="inlineStr">
        <x:is>
          <x:t xml:space="preserve">From spell description class tags</x:t>
        </x:is>
      </x:c>
      <x:c r="F544" s="2" t="inlineStr">
        <x:is>
          <x:t xml:space="preserve">SRD 5.2.1</x:t>
        </x:is>
      </x:c>
    </x:row>
    <x:row r="545" ht="18" customHeight="1">
      <x:c r="A545" s="2" t="inlineStr">
        <x:is>
          <x:t xml:space="preserve">Wizard</x:t>
        </x:is>
      </x:c>
      <x:c r="B545" s="2" t="inlineStr">
        <x:is>
          <x:t xml:space="preserve">2</x:t>
        </x:is>
      </x:c>
      <x:c r="C545" s="2" t="inlineStr">
        <x:is>
          <x:t xml:space="preserve">Detect Thoughts</x:t>
        </x:is>
      </x:c>
      <x:c r="D545" s="2" t="inlineStr">
        <x:is>
          <x:t xml:space="preserve">Divination</x:t>
        </x:is>
      </x:c>
      <x:c r="E545" s="2" t="inlineStr">
        <x:is>
          <x:t xml:space="preserve">From spell description class tags</x:t>
        </x:is>
      </x:c>
      <x:c r="F545" s="2" t="inlineStr">
        <x:is>
          <x:t xml:space="preserve">SRD 5.2.1</x:t>
        </x:is>
      </x:c>
    </x:row>
    <x:row r="546" ht="18" customHeight="1">
      <x:c r="A546" s="2" t="inlineStr">
        <x:is>
          <x:t xml:space="preserve">Wizard</x:t>
        </x:is>
      </x:c>
      <x:c r="B546" s="2" t="inlineStr">
        <x:is>
          <x:t xml:space="preserve">2</x:t>
        </x:is>
      </x:c>
      <x:c r="C546" s="2" t="inlineStr">
        <x:is>
          <x:t xml:space="preserve">Dragon’s Breath</x:t>
        </x:is>
      </x:c>
      <x:c r="D546" s="2" t="inlineStr">
        <x:is>
          <x:t xml:space="preserve">Transmutation</x:t>
        </x:is>
      </x:c>
      <x:c r="E546" s="2" t="inlineStr">
        <x:is>
          <x:t xml:space="preserve">From spell description class tags</x:t>
        </x:is>
      </x:c>
      <x:c r="F546" s="2" t="inlineStr">
        <x:is>
          <x:t xml:space="preserve">SRD 5.2.1</x:t>
        </x:is>
      </x:c>
    </x:row>
    <x:row r="547" ht="18" customHeight="1">
      <x:c r="A547" s="2" t="inlineStr">
        <x:is>
          <x:t xml:space="preserve">Wizard</x:t>
        </x:is>
      </x:c>
      <x:c r="B547" s="2" t="inlineStr">
        <x:is>
          <x:t xml:space="preserve">2</x:t>
        </x:is>
      </x:c>
      <x:c r="C547" s="2" t="inlineStr">
        <x:is>
          <x:t xml:space="preserve">Enlarge/Reduce</x:t>
        </x:is>
      </x:c>
      <x:c r="D547" s="2" t="inlineStr">
        <x:is>
          <x:t xml:space="preserve">Transmutation</x:t>
        </x:is>
      </x:c>
      <x:c r="E547" s="2" t="inlineStr">
        <x:is>
          <x:t xml:space="preserve">From spell description class tags</x:t>
        </x:is>
      </x:c>
      <x:c r="F547" s="2" t="inlineStr">
        <x:is>
          <x:t xml:space="preserve">SRD 5.2.1</x:t>
        </x:is>
      </x:c>
    </x:row>
    <x:row r="548" ht="18" customHeight="1">
      <x:c r="A548" s="2" t="inlineStr">
        <x:is>
          <x:t xml:space="preserve">Wizard</x:t>
        </x:is>
      </x:c>
      <x:c r="B548" s="2" t="inlineStr">
        <x:is>
          <x:t xml:space="preserve">2</x:t>
        </x:is>
      </x:c>
      <x:c r="C548" s="2" t="inlineStr">
        <x:is>
          <x:t xml:space="preserve">Flaming Sphere</x:t>
        </x:is>
      </x:c>
      <x:c r="D548" s="2" t="inlineStr">
        <x:is>
          <x:t xml:space="preserve">Conjuration</x:t>
        </x:is>
      </x:c>
      <x:c r="E548" s="2" t="inlineStr">
        <x:is>
          <x:t xml:space="preserve">From spell description class tags</x:t>
        </x:is>
      </x:c>
      <x:c r="F548" s="2" t="inlineStr">
        <x:is>
          <x:t xml:space="preserve">SRD 5.2.1</x:t>
        </x:is>
      </x:c>
    </x:row>
    <x:row r="549" ht="18" customHeight="1">
      <x:c r="A549" s="2" t="inlineStr">
        <x:is>
          <x:t xml:space="preserve">Wizard</x:t>
        </x:is>
      </x:c>
      <x:c r="B549" s="2" t="inlineStr">
        <x:is>
          <x:t xml:space="preserve">2</x:t>
        </x:is>
      </x:c>
      <x:c r="C549" s="2" t="inlineStr">
        <x:is>
          <x:t xml:space="preserve">Gentle Repose</x:t>
        </x:is>
      </x:c>
      <x:c r="D549" s="2" t="inlineStr">
        <x:is>
          <x:t xml:space="preserve">Necromancy</x:t>
        </x:is>
      </x:c>
      <x:c r="E549" s="2" t="inlineStr">
        <x:is>
          <x:t xml:space="preserve">From spell description class tags</x:t>
        </x:is>
      </x:c>
      <x:c r="F549" s="2" t="inlineStr">
        <x:is>
          <x:t xml:space="preserve">SRD 5.2.1</x:t>
        </x:is>
      </x:c>
    </x:row>
    <x:row r="550" ht="18" customHeight="1">
      <x:c r="A550" s="2" t="inlineStr">
        <x:is>
          <x:t xml:space="preserve">Wizard</x:t>
        </x:is>
      </x:c>
      <x:c r="B550" s="2" t="inlineStr">
        <x:is>
          <x:t xml:space="preserve">2</x:t>
        </x:is>
      </x:c>
      <x:c r="C550" s="2" t="inlineStr">
        <x:is>
          <x:t xml:space="preserve">Gust of Wind</x:t>
        </x:is>
      </x:c>
      <x:c r="D550" s="2" t="inlineStr">
        <x:is>
          <x:t xml:space="preserve">Evocation</x:t>
        </x:is>
      </x:c>
      <x:c r="E550" s="2" t="inlineStr">
        <x:is>
          <x:t xml:space="preserve">From spell description class tags</x:t>
        </x:is>
      </x:c>
      <x:c r="F550" s="2" t="inlineStr">
        <x:is>
          <x:t xml:space="preserve">SRD 5.2.1</x:t>
        </x:is>
      </x:c>
    </x:row>
    <x:row r="551" ht="18" customHeight="1">
      <x:c r="A551" s="2" t="inlineStr">
        <x:is>
          <x:t xml:space="preserve">Wizard</x:t>
        </x:is>
      </x:c>
      <x:c r="B551" s="2" t="inlineStr">
        <x:is>
          <x:t xml:space="preserve">2</x:t>
        </x:is>
      </x:c>
      <x:c r="C551" s="2" t="inlineStr">
        <x:is>
          <x:t xml:space="preserve">Invisibility</x:t>
        </x:is>
      </x:c>
      <x:c r="D551" s="2" t="inlineStr">
        <x:is>
          <x:t xml:space="preserve">Illusion</x:t>
        </x:is>
      </x:c>
      <x:c r="E551" s="2" t="inlineStr">
        <x:is>
          <x:t xml:space="preserve">From spell description class tags</x:t>
        </x:is>
      </x:c>
      <x:c r="F551" s="2" t="inlineStr">
        <x:is>
          <x:t xml:space="preserve">SRD 5.2.1</x:t>
        </x:is>
      </x:c>
    </x:row>
    <x:row r="552" ht="18" customHeight="1">
      <x:c r="A552" s="2" t="inlineStr">
        <x:is>
          <x:t xml:space="preserve">Wizard</x:t>
        </x:is>
      </x:c>
      <x:c r="B552" s="2" t="inlineStr">
        <x:is>
          <x:t xml:space="preserve">2</x:t>
        </x:is>
      </x:c>
      <x:c r="C552" s="2" t="inlineStr">
        <x:is>
          <x:t xml:space="preserve">Knock</x:t>
        </x:is>
      </x:c>
      <x:c r="D552" s="2" t="inlineStr">
        <x:is>
          <x:t xml:space="preserve">Transmutation</x:t>
        </x:is>
      </x:c>
      <x:c r="E552" s="2" t="inlineStr">
        <x:is>
          <x:t xml:space="preserve">From spell description class tags</x:t>
        </x:is>
      </x:c>
      <x:c r="F552" s="2" t="inlineStr">
        <x:is>
          <x:t xml:space="preserve">SRD 5.2.1</x:t>
        </x:is>
      </x:c>
    </x:row>
    <x:row r="553" ht="18" customHeight="1">
      <x:c r="A553" s="2" t="inlineStr">
        <x:is>
          <x:t xml:space="preserve">Wizard</x:t>
        </x:is>
      </x:c>
      <x:c r="B553" s="2" t="inlineStr">
        <x:is>
          <x:t xml:space="preserve">2</x:t>
        </x:is>
      </x:c>
      <x:c r="C553" s="2" t="inlineStr">
        <x:is>
          <x:t xml:space="preserve">Levitate</x:t>
        </x:is>
      </x:c>
      <x:c r="D553" s="2" t="inlineStr">
        <x:is>
          <x:t xml:space="preserve">Transmutation</x:t>
        </x:is>
      </x:c>
      <x:c r="E553" s="2" t="inlineStr">
        <x:is>
          <x:t xml:space="preserve">From spell description class tags</x:t>
        </x:is>
      </x:c>
      <x:c r="F553" s="2" t="inlineStr">
        <x:is>
          <x:t xml:space="preserve">SRD 5.2.1</x:t>
        </x:is>
      </x:c>
    </x:row>
    <x:row r="554" ht="18" customHeight="1">
      <x:c r="A554" s="2" t="inlineStr">
        <x:is>
          <x:t xml:space="preserve">Wizard</x:t>
        </x:is>
      </x:c>
      <x:c r="B554" s="2" t="inlineStr">
        <x:is>
          <x:t xml:space="preserve">2</x:t>
        </x:is>
      </x:c>
      <x:c r="C554" s="2" t="inlineStr">
        <x:is>
          <x:t xml:space="preserve">Magic Mouth</x:t>
        </x:is>
      </x:c>
      <x:c r="D554" s="2" t="inlineStr">
        <x:is>
          <x:t xml:space="preserve">Illusion</x:t>
        </x:is>
      </x:c>
      <x:c r="E554" s="2" t="inlineStr">
        <x:is>
          <x:t xml:space="preserve">From spell description class tags</x:t>
        </x:is>
      </x:c>
      <x:c r="F554" s="2" t="inlineStr">
        <x:is>
          <x:t xml:space="preserve">SRD 5.2.1</x:t>
        </x:is>
      </x:c>
    </x:row>
    <x:row r="555" ht="18" customHeight="1">
      <x:c r="A555" s="2" t="inlineStr">
        <x:is>
          <x:t xml:space="preserve">Wizard</x:t>
        </x:is>
      </x:c>
      <x:c r="B555" s="2" t="inlineStr">
        <x:is>
          <x:t xml:space="preserve">2</x:t>
        </x:is>
      </x:c>
      <x:c r="C555" s="2" t="inlineStr">
        <x:is>
          <x:t xml:space="preserve">Mind Spike</x:t>
        </x:is>
      </x:c>
      <x:c r="D555" s="2" t="inlineStr">
        <x:is>
          <x:t xml:space="preserve">Divination</x:t>
        </x:is>
      </x:c>
      <x:c r="E555" s="2" t="inlineStr">
        <x:is>
          <x:t xml:space="preserve">From spell description class tags</x:t>
        </x:is>
      </x:c>
      <x:c r="F555" s="2" t="inlineStr">
        <x:is>
          <x:t xml:space="preserve">SRD 5.2.1</x:t>
        </x:is>
      </x:c>
    </x:row>
    <x:row r="556" ht="18" customHeight="1">
      <x:c r="A556" s="2" t="inlineStr">
        <x:is>
          <x:t xml:space="preserve">Wizard</x:t>
        </x:is>
      </x:c>
      <x:c r="B556" s="2" t="inlineStr">
        <x:is>
          <x:t xml:space="preserve">2</x:t>
        </x:is>
      </x:c>
      <x:c r="C556" s="2" t="inlineStr">
        <x:is>
          <x:t xml:space="preserve">Mirror Image</x:t>
        </x:is>
      </x:c>
      <x:c r="D556" s="2" t="inlineStr">
        <x:is>
          <x:t xml:space="preserve">Illusion</x:t>
        </x:is>
      </x:c>
      <x:c r="E556" s="2" t="inlineStr">
        <x:is>
          <x:t xml:space="preserve">From spell description class tags</x:t>
        </x:is>
      </x:c>
      <x:c r="F556" s="2" t="inlineStr">
        <x:is>
          <x:t xml:space="preserve">SRD 5.2.1</x:t>
        </x:is>
      </x:c>
    </x:row>
    <x:row r="557" ht="18" customHeight="1">
      <x:c r="A557" s="2" t="inlineStr">
        <x:is>
          <x:t xml:space="preserve">Wizard</x:t>
        </x:is>
      </x:c>
      <x:c r="B557" s="2" t="inlineStr">
        <x:is>
          <x:t xml:space="preserve">2</x:t>
        </x:is>
      </x:c>
      <x:c r="C557" s="2" t="inlineStr">
        <x:is>
          <x:t xml:space="preserve">Misty Step</x:t>
        </x:is>
      </x:c>
      <x:c r="D557" s="2" t="inlineStr">
        <x:is>
          <x:t xml:space="preserve">Conjuration</x:t>
        </x:is>
      </x:c>
      <x:c r="E557" s="2" t="inlineStr">
        <x:is>
          <x:t xml:space="preserve">From spell description class tags</x:t>
        </x:is>
      </x:c>
      <x:c r="F557" s="2" t="inlineStr">
        <x:is>
          <x:t xml:space="preserve">SRD 5.2.1</x:t>
        </x:is>
      </x:c>
    </x:row>
    <x:row r="558" ht="18" customHeight="1">
      <x:c r="A558" s="2" t="inlineStr">
        <x:is>
          <x:t xml:space="preserve">Wizard</x:t>
        </x:is>
      </x:c>
      <x:c r="B558" s="2" t="inlineStr">
        <x:is>
          <x:t xml:space="preserve">2</x:t>
        </x:is>
      </x:c>
      <x:c r="C558" s="2" t="inlineStr">
        <x:is>
          <x:t xml:space="preserve">Phantasmal Force</x:t>
        </x:is>
      </x:c>
      <x:c r="D558" s="2" t="inlineStr">
        <x:is>
          <x:t xml:space="preserve">Illusion</x:t>
        </x:is>
      </x:c>
      <x:c r="E558" s="2" t="inlineStr">
        <x:is>
          <x:t xml:space="preserve">From spell description class tags</x:t>
        </x:is>
      </x:c>
      <x:c r="F558" s="2" t="inlineStr">
        <x:is>
          <x:t xml:space="preserve">SRD 5.2.1</x:t>
        </x:is>
      </x:c>
    </x:row>
    <x:row r="559" ht="18" customHeight="1">
      <x:c r="A559" s="2" t="inlineStr">
        <x:is>
          <x:t xml:space="preserve">Wizard</x:t>
        </x:is>
      </x:c>
      <x:c r="B559" s="2" t="inlineStr">
        <x:is>
          <x:t xml:space="preserve">2</x:t>
        </x:is>
      </x:c>
      <x:c r="C559" s="2" t="inlineStr">
        <x:is>
          <x:t xml:space="preserve">Ray of Enfeeblement</x:t>
        </x:is>
      </x:c>
      <x:c r="D559" s="2" t="inlineStr">
        <x:is>
          <x:t xml:space="preserve">Necromancy</x:t>
        </x:is>
      </x:c>
      <x:c r="E559" s="2" t="inlineStr">
        <x:is>
          <x:t xml:space="preserve">From spell description class tags</x:t>
        </x:is>
      </x:c>
      <x:c r="F559" s="2" t="inlineStr">
        <x:is>
          <x:t xml:space="preserve">SRD 5.2.1</x:t>
        </x:is>
      </x:c>
    </x:row>
    <x:row r="560" ht="18" customHeight="1">
      <x:c r="A560" s="2" t="inlineStr">
        <x:is>
          <x:t xml:space="preserve">Wizard</x:t>
        </x:is>
      </x:c>
      <x:c r="B560" s="2" t="inlineStr">
        <x:is>
          <x:t xml:space="preserve">2</x:t>
        </x:is>
      </x:c>
      <x:c r="C560" s="2" t="inlineStr">
        <x:is>
          <x:t xml:space="preserve">Rope Trick</x:t>
        </x:is>
      </x:c>
      <x:c r="D560" s="2" t="inlineStr">
        <x:is>
          <x:t xml:space="preserve">Transmutation</x:t>
        </x:is>
      </x:c>
      <x:c r="E560" s="2" t="inlineStr">
        <x:is>
          <x:t xml:space="preserve">From spell description class tags</x:t>
        </x:is>
      </x:c>
      <x:c r="F560" s="2" t="inlineStr">
        <x:is>
          <x:t xml:space="preserve">SRD 5.2.1</x:t>
        </x:is>
      </x:c>
    </x:row>
    <x:row r="561" ht="18" customHeight="1">
      <x:c r="A561" s="2" t="inlineStr">
        <x:is>
          <x:t xml:space="preserve">Wizard</x:t>
        </x:is>
      </x:c>
      <x:c r="B561" s="2" t="inlineStr">
        <x:is>
          <x:t xml:space="preserve">2</x:t>
        </x:is>
      </x:c>
      <x:c r="C561" s="2" t="inlineStr">
        <x:is>
          <x:t xml:space="preserve">Scorching Ray</x:t>
        </x:is>
      </x:c>
      <x:c r="D561" s="2" t="inlineStr">
        <x:is>
          <x:t xml:space="preserve">Evocation</x:t>
        </x:is>
      </x:c>
      <x:c r="E561" s="2" t="inlineStr">
        <x:is>
          <x:t xml:space="preserve">From spell description class tags</x:t>
        </x:is>
      </x:c>
      <x:c r="F561" s="2" t="inlineStr">
        <x:is>
          <x:t xml:space="preserve">SRD 5.2.1</x:t>
        </x:is>
      </x:c>
    </x:row>
    <x:row r="562" ht="18" customHeight="1">
      <x:c r="A562" s="2" t="inlineStr">
        <x:is>
          <x:t xml:space="preserve">Wizard</x:t>
        </x:is>
      </x:c>
      <x:c r="B562" s="2" t="inlineStr">
        <x:is>
          <x:t xml:space="preserve">2</x:t>
        </x:is>
      </x:c>
      <x:c r="C562" s="2" t="inlineStr">
        <x:is>
          <x:t xml:space="preserve">See Invisibility</x:t>
        </x:is>
      </x:c>
      <x:c r="D562" s="2" t="inlineStr">
        <x:is>
          <x:t xml:space="preserve">Divination</x:t>
        </x:is>
      </x:c>
      <x:c r="E562" s="2" t="inlineStr">
        <x:is>
          <x:t xml:space="preserve">From spell description class tags</x:t>
        </x:is>
      </x:c>
      <x:c r="F562" s="2" t="inlineStr">
        <x:is>
          <x:t xml:space="preserve">SRD 5.2.1</x:t>
        </x:is>
      </x:c>
    </x:row>
    <x:row r="563" ht="18" customHeight="1">
      <x:c r="A563" s="2" t="inlineStr">
        <x:is>
          <x:t xml:space="preserve">Wizard</x:t>
        </x:is>
      </x:c>
      <x:c r="B563" s="2" t="inlineStr">
        <x:is>
          <x:t xml:space="preserve">2</x:t>
        </x:is>
      </x:c>
      <x:c r="C563" s="2" t="inlineStr">
        <x:is>
          <x:t xml:space="preserve">Shatter</x:t>
        </x:is>
      </x:c>
      <x:c r="D563" s="2" t="inlineStr">
        <x:is>
          <x:t xml:space="preserve">Evocation</x:t>
        </x:is>
      </x:c>
      <x:c r="E563" s="2" t="inlineStr">
        <x:is>
          <x:t xml:space="preserve">From spell description class tags</x:t>
        </x:is>
      </x:c>
      <x:c r="F563" s="2" t="inlineStr">
        <x:is>
          <x:t xml:space="preserve">SRD 5.2.1</x:t>
        </x:is>
      </x:c>
    </x:row>
    <x:row r="564" ht="18" customHeight="1">
      <x:c r="A564" s="2" t="inlineStr">
        <x:is>
          <x:t xml:space="preserve">Wizard</x:t>
        </x:is>
      </x:c>
      <x:c r="B564" s="2" t="inlineStr">
        <x:is>
          <x:t xml:space="preserve">2</x:t>
        </x:is>
      </x:c>
      <x:c r="C564" s="2" t="inlineStr">
        <x:is>
          <x:t xml:space="preserve">Spider Climb</x:t>
        </x:is>
      </x:c>
      <x:c r="D564" s="2" t="inlineStr">
        <x:is>
          <x:t xml:space="preserve">Transmutation</x:t>
        </x:is>
      </x:c>
      <x:c r="E564" s="2" t="inlineStr">
        <x:is>
          <x:t xml:space="preserve">From spell description class tags</x:t>
        </x:is>
      </x:c>
      <x:c r="F564" s="2" t="inlineStr">
        <x:is>
          <x:t xml:space="preserve">SRD 5.2.1</x:t>
        </x:is>
      </x:c>
    </x:row>
    <x:row r="565" ht="18" customHeight="1">
      <x:c r="A565" s="2" t="inlineStr">
        <x:is>
          <x:t xml:space="preserve">Wizard</x:t>
        </x:is>
      </x:c>
      <x:c r="B565" s="2" t="inlineStr">
        <x:is>
          <x:t xml:space="preserve">2</x:t>
        </x:is>
      </x:c>
      <x:c r="C565" s="2" t="inlineStr">
        <x:is>
          <x:t xml:space="preserve">Web</x:t>
        </x:is>
      </x:c>
      <x:c r="D565" s="2" t="inlineStr">
        <x:is>
          <x:t xml:space="preserve">Conjuration</x:t>
        </x:is>
      </x:c>
      <x:c r="E565" s="2" t="inlineStr">
        <x:is>
          <x:t xml:space="preserve">From spell description class tags</x:t>
        </x:is>
      </x:c>
      <x:c r="F565" s="2" t="inlineStr">
        <x:is>
          <x:t xml:space="preserve">SRD 5.2.1</x:t>
        </x:is>
      </x:c>
    </x:row>
    <x:row r="566" ht="18" customHeight="1">
      <x:c r="A566" s="2" t="inlineStr">
        <x:is>
          <x:t xml:space="preserve">Wizard</x:t>
        </x:is>
      </x:c>
      <x:c r="B566" s="2" t="inlineStr">
        <x:is>
          <x:t xml:space="preserve">3</x:t>
        </x:is>
      </x:c>
      <x:c r="C566" s="2" t="inlineStr">
        <x:is>
          <x:t xml:space="preserve">Animate Dead</x:t>
        </x:is>
      </x:c>
      <x:c r="D566" s="2" t="inlineStr">
        <x:is>
          <x:t xml:space="preserve">Necromancy</x:t>
        </x:is>
      </x:c>
      <x:c r="E566" s="2" t="inlineStr">
        <x:is>
          <x:t xml:space="preserve">From spell description class tags</x:t>
        </x:is>
      </x:c>
      <x:c r="F566" s="2" t="inlineStr">
        <x:is>
          <x:t xml:space="preserve">SRD 5.2.1</x:t>
        </x:is>
      </x:c>
    </x:row>
    <x:row r="567" ht="18" customHeight="1">
      <x:c r="A567" s="2" t="inlineStr">
        <x:is>
          <x:t xml:space="preserve">Wizard</x:t>
        </x:is>
      </x:c>
      <x:c r="B567" s="2" t="inlineStr">
        <x:is>
          <x:t xml:space="preserve">3</x:t>
        </x:is>
      </x:c>
      <x:c r="C567" s="2" t="inlineStr">
        <x:is>
          <x:t xml:space="preserve">Bestow Curse</x:t>
        </x:is>
      </x:c>
      <x:c r="D567" s="2" t="inlineStr">
        <x:is>
          <x:t xml:space="preserve">Necromancy</x:t>
        </x:is>
      </x:c>
      <x:c r="E567" s="2" t="inlineStr">
        <x:is>
          <x:t xml:space="preserve">From spell description class tags</x:t>
        </x:is>
      </x:c>
      <x:c r="F567" s="2" t="inlineStr">
        <x:is>
          <x:t xml:space="preserve">SRD 5.2.1</x:t>
        </x:is>
      </x:c>
    </x:row>
    <x:row r="568" ht="18" customHeight="1">
      <x:c r="A568" s="2" t="inlineStr">
        <x:is>
          <x:t xml:space="preserve">Wizard</x:t>
        </x:is>
      </x:c>
      <x:c r="B568" s="2" t="inlineStr">
        <x:is>
          <x:t xml:space="preserve">3</x:t>
        </x:is>
      </x:c>
      <x:c r="C568" s="2" t="inlineStr">
        <x:is>
          <x:t xml:space="preserve">Blink</x:t>
        </x:is>
      </x:c>
      <x:c r="D568" s="2" t="inlineStr">
        <x:is>
          <x:t xml:space="preserve">Transmutation</x:t>
        </x:is>
      </x:c>
      <x:c r="E568" s="2" t="inlineStr">
        <x:is>
          <x:t xml:space="preserve">From spell description class tags</x:t>
        </x:is>
      </x:c>
      <x:c r="F568" s="2" t="inlineStr">
        <x:is>
          <x:t xml:space="preserve">SRD 5.2.1</x:t>
        </x:is>
      </x:c>
    </x:row>
    <x:row r="569" ht="18" customHeight="1">
      <x:c r="A569" s="2" t="inlineStr">
        <x:is>
          <x:t xml:space="preserve">Wizard</x:t>
        </x:is>
      </x:c>
      <x:c r="B569" s="2" t="inlineStr">
        <x:is>
          <x:t xml:space="preserve">3</x:t>
        </x:is>
      </x:c>
      <x:c r="C569" s="2" t="inlineStr">
        <x:is>
          <x:t xml:space="preserve">Clairvoyance</x:t>
        </x:is>
      </x:c>
      <x:c r="D569" s="2" t="inlineStr">
        <x:is>
          <x:t xml:space="preserve">Divination</x:t>
        </x:is>
      </x:c>
      <x:c r="E569" s="2" t="inlineStr">
        <x:is>
          <x:t xml:space="preserve">From spell description class tags</x:t>
        </x:is>
      </x:c>
      <x:c r="F569" s="2" t="inlineStr">
        <x:is>
          <x:t xml:space="preserve">SRD 5.2.1</x:t>
        </x:is>
      </x:c>
    </x:row>
    <x:row r="570" ht="18" customHeight="1">
      <x:c r="A570" s="2" t="inlineStr">
        <x:is>
          <x:t xml:space="preserve">Wizard</x:t>
        </x:is>
      </x:c>
      <x:c r="B570" s="2" t="inlineStr">
        <x:is>
          <x:t xml:space="preserve">3</x:t>
        </x:is>
      </x:c>
      <x:c r="C570" s="2" t="inlineStr">
        <x:is>
          <x:t xml:space="preserve">Counterspell</x:t>
        </x:is>
      </x:c>
      <x:c r="D570" s="2" t="inlineStr">
        <x:is>
          <x:t xml:space="preserve">Abjuration</x:t>
        </x:is>
      </x:c>
      <x:c r="E570" s="2" t="inlineStr">
        <x:is>
          <x:t xml:space="preserve">From spell description class tags</x:t>
        </x:is>
      </x:c>
      <x:c r="F570" s="2" t="inlineStr">
        <x:is>
          <x:t xml:space="preserve">SRD 5.2.1</x:t>
        </x:is>
      </x:c>
    </x:row>
    <x:row r="571" ht="18" customHeight="1">
      <x:c r="A571" s="2" t="inlineStr">
        <x:is>
          <x:t xml:space="preserve">Wizard</x:t>
        </x:is>
      </x:c>
      <x:c r="B571" s="2" t="inlineStr">
        <x:is>
          <x:t xml:space="preserve">3</x:t>
        </x:is>
      </x:c>
      <x:c r="C571" s="2" t="inlineStr">
        <x:is>
          <x:t xml:space="preserve">Fear</x:t>
        </x:is>
      </x:c>
      <x:c r="D571" s="2" t="inlineStr">
        <x:is>
          <x:t xml:space="preserve">Illusion</x:t>
        </x:is>
      </x:c>
      <x:c r="E571" s="2" t="inlineStr">
        <x:is>
          <x:t xml:space="preserve">From spell description class tags</x:t>
        </x:is>
      </x:c>
      <x:c r="F571" s="2" t="inlineStr">
        <x:is>
          <x:t xml:space="preserve">SRD 5.2.1</x:t>
        </x:is>
      </x:c>
    </x:row>
    <x:row r="572" ht="18" customHeight="1">
      <x:c r="A572" s="2" t="inlineStr">
        <x:is>
          <x:t xml:space="preserve">Wizard</x:t>
        </x:is>
      </x:c>
      <x:c r="B572" s="2" t="inlineStr">
        <x:is>
          <x:t xml:space="preserve">3</x:t>
        </x:is>
      </x:c>
      <x:c r="C572" s="2" t="inlineStr">
        <x:is>
          <x:t xml:space="preserve">Fireball</x:t>
        </x:is>
      </x:c>
      <x:c r="D572" s="2" t="inlineStr">
        <x:is>
          <x:t xml:space="preserve">Evocation</x:t>
        </x:is>
      </x:c>
      <x:c r="E572" s="2" t="inlineStr">
        <x:is>
          <x:t xml:space="preserve">From spell description class tags</x:t>
        </x:is>
      </x:c>
      <x:c r="F572" s="2" t="inlineStr">
        <x:is>
          <x:t xml:space="preserve">SRD 5.2.1</x:t>
        </x:is>
      </x:c>
    </x:row>
    <x:row r="573" ht="18" customHeight="1">
      <x:c r="A573" s="2" t="inlineStr">
        <x:is>
          <x:t xml:space="preserve">Wizard</x:t>
        </x:is>
      </x:c>
      <x:c r="B573" s="2" t="inlineStr">
        <x:is>
          <x:t xml:space="preserve">3</x:t>
        </x:is>
      </x:c>
      <x:c r="C573" s="2" t="inlineStr">
        <x:is>
          <x:t xml:space="preserve">Fly</x:t>
        </x:is>
      </x:c>
      <x:c r="D573" s="2" t="inlineStr">
        <x:is>
          <x:t xml:space="preserve">Transmutation</x:t>
        </x:is>
      </x:c>
      <x:c r="E573" s="2" t="inlineStr">
        <x:is>
          <x:t xml:space="preserve">From spell description class tags</x:t>
        </x:is>
      </x:c>
      <x:c r="F573" s="2" t="inlineStr">
        <x:is>
          <x:t xml:space="preserve">SRD 5.2.1</x:t>
        </x:is>
      </x:c>
    </x:row>
    <x:row r="574" ht="18" customHeight="1">
      <x:c r="A574" s="2" t="inlineStr">
        <x:is>
          <x:t xml:space="preserve">Wizard</x:t>
        </x:is>
      </x:c>
      <x:c r="B574" s="2" t="inlineStr">
        <x:is>
          <x:t xml:space="preserve">3</x:t>
        </x:is>
      </x:c>
      <x:c r="C574" s="2" t="inlineStr">
        <x:is>
          <x:t xml:space="preserve">Gaseous Form</x:t>
        </x:is>
      </x:c>
      <x:c r="D574" s="2" t="inlineStr">
        <x:is>
          <x:t xml:space="preserve">Transmutation</x:t>
        </x:is>
      </x:c>
      <x:c r="E574" s="2" t="inlineStr">
        <x:is>
          <x:t xml:space="preserve">From spell description class tags</x:t>
        </x:is>
      </x:c>
      <x:c r="F574" s="2" t="inlineStr">
        <x:is>
          <x:t xml:space="preserve">SRD 5.2.1</x:t>
        </x:is>
      </x:c>
    </x:row>
    <x:row r="575" ht="18" customHeight="1">
      <x:c r="A575" s="2" t="inlineStr">
        <x:is>
          <x:t xml:space="preserve">Wizard</x:t>
        </x:is>
      </x:c>
      <x:c r="B575" s="2" t="inlineStr">
        <x:is>
          <x:t xml:space="preserve">3</x:t>
        </x:is>
      </x:c>
      <x:c r="C575" s="2" t="inlineStr">
        <x:is>
          <x:t xml:space="preserve">Glyph of Warding</x:t>
        </x:is>
      </x:c>
      <x:c r="D575" s="2" t="inlineStr">
        <x:is>
          <x:t xml:space="preserve">Abjuration</x:t>
        </x:is>
      </x:c>
      <x:c r="E575" s="2" t="inlineStr">
        <x:is>
          <x:t xml:space="preserve">From spell description class tags</x:t>
        </x:is>
      </x:c>
      <x:c r="F575" s="2" t="inlineStr">
        <x:is>
          <x:t xml:space="preserve">SRD 5.2.1</x:t>
        </x:is>
      </x:c>
    </x:row>
    <x:row r="576" ht="18" customHeight="1">
      <x:c r="A576" s="2" t="inlineStr">
        <x:is>
          <x:t xml:space="preserve">Wizard</x:t>
        </x:is>
      </x:c>
      <x:c r="B576" s="2" t="inlineStr">
        <x:is>
          <x:t xml:space="preserve">3</x:t>
        </x:is>
      </x:c>
      <x:c r="C576" s="2" t="inlineStr">
        <x:is>
          <x:t xml:space="preserve">Haste</x:t>
        </x:is>
      </x:c>
      <x:c r="D576" s="2" t="inlineStr">
        <x:is>
          <x:t xml:space="preserve">Transmutation</x:t>
        </x:is>
      </x:c>
      <x:c r="E576" s="2" t="inlineStr">
        <x:is>
          <x:t xml:space="preserve">From spell description class tags</x:t>
        </x:is>
      </x:c>
      <x:c r="F576" s="2" t="inlineStr">
        <x:is>
          <x:t xml:space="preserve">SRD 5.2.1</x:t>
        </x:is>
      </x:c>
    </x:row>
    <x:row r="577" ht="18" customHeight="1">
      <x:c r="A577" s="2" t="inlineStr">
        <x:is>
          <x:t xml:space="preserve">Wizard</x:t>
        </x:is>
      </x:c>
      <x:c r="B577" s="2" t="inlineStr">
        <x:is>
          <x:t xml:space="preserve">3</x:t>
        </x:is>
      </x:c>
      <x:c r="C577" s="2" t="inlineStr">
        <x:is>
          <x:t xml:space="preserve">Hypnotic Pattern</x:t>
        </x:is>
      </x:c>
      <x:c r="D577" s="2" t="inlineStr">
        <x:is>
          <x:t xml:space="preserve">Illusion</x:t>
        </x:is>
      </x:c>
      <x:c r="E577" s="2" t="inlineStr">
        <x:is>
          <x:t xml:space="preserve">From spell description class tags</x:t>
        </x:is>
      </x:c>
      <x:c r="F577" s="2" t="inlineStr">
        <x:is>
          <x:t xml:space="preserve">SRD 5.2.1</x:t>
        </x:is>
      </x:c>
    </x:row>
    <x:row r="578" ht="18" customHeight="1">
      <x:c r="A578" s="2" t="inlineStr">
        <x:is>
          <x:t xml:space="preserve">Wizard</x:t>
        </x:is>
      </x:c>
      <x:c r="B578" s="2" t="inlineStr">
        <x:is>
          <x:t xml:space="preserve">3</x:t>
        </x:is>
      </x:c>
      <x:c r="C578" s="2" t="inlineStr">
        <x:is>
          <x:t xml:space="preserve">Lightning Bolt</x:t>
        </x:is>
      </x:c>
      <x:c r="D578" s="2" t="inlineStr">
        <x:is>
          <x:t xml:space="preserve">Evocation</x:t>
        </x:is>
      </x:c>
      <x:c r="E578" s="2" t="inlineStr">
        <x:is>
          <x:t xml:space="preserve">From spell description class tags</x:t>
        </x:is>
      </x:c>
      <x:c r="F578" s="2" t="inlineStr">
        <x:is>
          <x:t xml:space="preserve">SRD 5.2.1</x:t>
        </x:is>
      </x:c>
    </x:row>
    <x:row r="579" ht="18" customHeight="1">
      <x:c r="A579" s="2" t="inlineStr">
        <x:is>
          <x:t xml:space="preserve">Wizard</x:t>
        </x:is>
      </x:c>
      <x:c r="B579" s="2" t="inlineStr">
        <x:is>
          <x:t xml:space="preserve">3</x:t>
        </x:is>
      </x:c>
      <x:c r="C579" s="2" t="inlineStr">
        <x:is>
          <x:t xml:space="preserve">Magic Circle</x:t>
        </x:is>
      </x:c>
      <x:c r="D579" s="2" t="inlineStr">
        <x:is>
          <x:t xml:space="preserve">Abjuration</x:t>
        </x:is>
      </x:c>
      <x:c r="E579" s="2" t="inlineStr">
        <x:is>
          <x:t xml:space="preserve">From spell description class tags</x:t>
        </x:is>
      </x:c>
      <x:c r="F579" s="2" t="inlineStr">
        <x:is>
          <x:t xml:space="preserve">SRD 5.2.1</x:t>
        </x:is>
      </x:c>
    </x:row>
    <x:row r="580" ht="18" customHeight="1">
      <x:c r="A580" s="2" t="inlineStr">
        <x:is>
          <x:t xml:space="preserve">Wizard</x:t>
        </x:is>
      </x:c>
      <x:c r="B580" s="2" t="inlineStr">
        <x:is>
          <x:t xml:space="preserve">3</x:t>
        </x:is>
      </x:c>
      <x:c r="C580" s="2" t="inlineStr">
        <x:is>
          <x:t xml:space="preserve">Major Image</x:t>
        </x:is>
      </x:c>
      <x:c r="D580" s="2" t="inlineStr">
        <x:is>
          <x:t xml:space="preserve">Illusion</x:t>
        </x:is>
      </x:c>
      <x:c r="E580" s="2" t="inlineStr">
        <x:is>
          <x:t xml:space="preserve">From spell description class tags</x:t>
        </x:is>
      </x:c>
      <x:c r="F580" s="2" t="inlineStr">
        <x:is>
          <x:t xml:space="preserve">SRD 5.2.1</x:t>
        </x:is>
      </x:c>
    </x:row>
    <x:row r="581" ht="18" customHeight="1">
      <x:c r="A581" s="2" t="inlineStr">
        <x:is>
          <x:t xml:space="preserve">Wizard</x:t>
        </x:is>
      </x:c>
      <x:c r="B581" s="2" t="inlineStr">
        <x:is>
          <x:t xml:space="preserve">3</x:t>
        </x:is>
      </x:c>
      <x:c r="C581" s="2" t="inlineStr">
        <x:is>
          <x:t xml:space="preserve">Nondetection</x:t>
        </x:is>
      </x:c>
      <x:c r="D581" s="2" t="inlineStr">
        <x:is>
          <x:t xml:space="preserve">Abjuration</x:t>
        </x:is>
      </x:c>
      <x:c r="E581" s="2" t="inlineStr">
        <x:is>
          <x:t xml:space="preserve">From spell description class tags</x:t>
        </x:is>
      </x:c>
      <x:c r="F581" s="2" t="inlineStr">
        <x:is>
          <x:t xml:space="preserve">SRD 5.2.1</x:t>
        </x:is>
      </x:c>
    </x:row>
    <x:row r="582" ht="18" customHeight="1">
      <x:c r="A582" s="2" t="inlineStr">
        <x:is>
          <x:t xml:space="preserve">Wizard</x:t>
        </x:is>
      </x:c>
      <x:c r="B582" s="2" t="inlineStr">
        <x:is>
          <x:t xml:space="preserve">3</x:t>
        </x:is>
      </x:c>
      <x:c r="C582" s="2" t="inlineStr">
        <x:is>
          <x:t xml:space="preserve">Phantom Steed</x:t>
        </x:is>
      </x:c>
      <x:c r="D582" s="2" t="inlineStr">
        <x:is>
          <x:t xml:space="preserve">Illusion</x:t>
        </x:is>
      </x:c>
      <x:c r="E582" s="2" t="inlineStr">
        <x:is>
          <x:t xml:space="preserve">From spell description class tags</x:t>
        </x:is>
      </x:c>
      <x:c r="F582" s="2" t="inlineStr">
        <x:is>
          <x:t xml:space="preserve">SRD 5.2.1</x:t>
        </x:is>
      </x:c>
    </x:row>
    <x:row r="583" ht="18" customHeight="1">
      <x:c r="A583" s="2" t="inlineStr">
        <x:is>
          <x:t xml:space="preserve">Wizard</x:t>
        </x:is>
      </x:c>
      <x:c r="B583" s="2" t="inlineStr">
        <x:is>
          <x:t xml:space="preserve">3</x:t>
        </x:is>
      </x:c>
      <x:c r="C583" s="2" t="inlineStr">
        <x:is>
          <x:t xml:space="preserve">Remove Curse</x:t>
        </x:is>
      </x:c>
      <x:c r="D583" s="2" t="inlineStr">
        <x:is>
          <x:t xml:space="preserve">Abjuration</x:t>
        </x:is>
      </x:c>
      <x:c r="E583" s="2" t="inlineStr">
        <x:is>
          <x:t xml:space="preserve">From spell description class tags</x:t>
        </x:is>
      </x:c>
      <x:c r="F583" s="2" t="inlineStr">
        <x:is>
          <x:t xml:space="preserve">SRD 5.2.1</x:t>
        </x:is>
      </x:c>
    </x:row>
    <x:row r="584" ht="18" customHeight="1">
      <x:c r="A584" s="2" t="inlineStr">
        <x:is>
          <x:t xml:space="preserve">Wizard</x:t>
        </x:is>
      </x:c>
      <x:c r="B584" s="2" t="inlineStr">
        <x:is>
          <x:t xml:space="preserve">3</x:t>
        </x:is>
      </x:c>
      <x:c r="C584" s="2" t="inlineStr">
        <x:is>
          <x:t xml:space="preserve">Sending</x:t>
        </x:is>
      </x:c>
      <x:c r="D584" s="2" t="inlineStr">
        <x:is>
          <x:t xml:space="preserve">Divination</x:t>
        </x:is>
      </x:c>
      <x:c r="E584" s="2" t="inlineStr">
        <x:is>
          <x:t xml:space="preserve">From spell description class tags</x:t>
        </x:is>
      </x:c>
      <x:c r="F584" s="2" t="inlineStr">
        <x:is>
          <x:t xml:space="preserve">SRD 5.2.1</x:t>
        </x:is>
      </x:c>
    </x:row>
    <x:row r="585" ht="18" customHeight="1">
      <x:c r="A585" s="2" t="inlineStr">
        <x:is>
          <x:t xml:space="preserve">Wizard</x:t>
        </x:is>
      </x:c>
      <x:c r="B585" s="2" t="inlineStr">
        <x:is>
          <x:t xml:space="preserve">3</x:t>
        </x:is>
      </x:c>
      <x:c r="C585" s="2" t="inlineStr">
        <x:is>
          <x:t xml:space="preserve">Sleet Storm</x:t>
        </x:is>
      </x:c>
      <x:c r="D585" s="2" t="inlineStr">
        <x:is>
          <x:t xml:space="preserve">Conjuration</x:t>
        </x:is>
      </x:c>
      <x:c r="E585" s="2" t="inlineStr">
        <x:is>
          <x:t xml:space="preserve">From spell description class tags</x:t>
        </x:is>
      </x:c>
      <x:c r="F585" s="2" t="inlineStr">
        <x:is>
          <x:t xml:space="preserve">SRD 5.2.1</x:t>
        </x:is>
      </x:c>
    </x:row>
    <x:row r="586" ht="18" customHeight="1">
      <x:c r="A586" s="2" t="inlineStr">
        <x:is>
          <x:t xml:space="preserve">Wizard</x:t>
        </x:is>
      </x:c>
      <x:c r="B586" s="2" t="inlineStr">
        <x:is>
          <x:t xml:space="preserve">3</x:t>
        </x:is>
      </x:c>
      <x:c r="C586" s="2" t="inlineStr">
        <x:is>
          <x:t xml:space="preserve">Slow</x:t>
        </x:is>
      </x:c>
      <x:c r="D586" s="2" t="inlineStr">
        <x:is>
          <x:t xml:space="preserve">Transmutation</x:t>
        </x:is>
      </x:c>
      <x:c r="E586" s="2" t="inlineStr">
        <x:is>
          <x:t xml:space="preserve">From spell description class tags</x:t>
        </x:is>
      </x:c>
      <x:c r="F586" s="2" t="inlineStr">
        <x:is>
          <x:t xml:space="preserve">SRD 5.2.1</x:t>
        </x:is>
      </x:c>
    </x:row>
    <x:row r="587" ht="18" customHeight="1">
      <x:c r="A587" s="2" t="inlineStr">
        <x:is>
          <x:t xml:space="preserve">Wizard</x:t>
        </x:is>
      </x:c>
      <x:c r="B587" s="2" t="inlineStr">
        <x:is>
          <x:t xml:space="preserve">3</x:t>
        </x:is>
      </x:c>
      <x:c r="C587" s="2" t="inlineStr">
        <x:is>
          <x:t xml:space="preserve">Speak with Dead</x:t>
        </x:is>
      </x:c>
      <x:c r="D587" s="2" t="inlineStr">
        <x:is>
          <x:t xml:space="preserve">Necromancy</x:t>
        </x:is>
      </x:c>
      <x:c r="E587" s="2" t="inlineStr">
        <x:is>
          <x:t xml:space="preserve">From spell description class tags</x:t>
        </x:is>
      </x:c>
      <x:c r="F587" s="2" t="inlineStr">
        <x:is>
          <x:t xml:space="preserve">SRD 5.2.1</x:t>
        </x:is>
      </x:c>
    </x:row>
    <x:row r="588" ht="18" customHeight="1">
      <x:c r="A588" s="2" t="inlineStr">
        <x:is>
          <x:t xml:space="preserve">Wizard</x:t>
        </x:is>
      </x:c>
      <x:c r="B588" s="2" t="inlineStr">
        <x:is>
          <x:t xml:space="preserve">3</x:t>
        </x:is>
      </x:c>
      <x:c r="C588" s="2" t="inlineStr">
        <x:is>
          <x:t xml:space="preserve">Stinking Cloud</x:t>
        </x:is>
      </x:c>
      <x:c r="D588" s="2" t="inlineStr">
        <x:is>
          <x:t xml:space="preserve">Conjuration</x:t>
        </x:is>
      </x:c>
      <x:c r="E588" s="2" t="inlineStr">
        <x:is>
          <x:t xml:space="preserve">From spell description class tags</x:t>
        </x:is>
      </x:c>
      <x:c r="F588" s="2" t="inlineStr">
        <x:is>
          <x:t xml:space="preserve">SRD 5.2.1</x:t>
        </x:is>
      </x:c>
    </x:row>
    <x:row r="589" ht="18" customHeight="1">
      <x:c r="A589" s="2" t="inlineStr">
        <x:is>
          <x:t xml:space="preserve">Wizard</x:t>
        </x:is>
      </x:c>
      <x:c r="B589" s="2" t="inlineStr">
        <x:is>
          <x:t xml:space="preserve">3</x:t>
        </x:is>
      </x:c>
      <x:c r="C589" s="2" t="inlineStr">
        <x:is>
          <x:t xml:space="preserve">Tiny Hut</x:t>
        </x:is>
      </x:c>
      <x:c r="D589" s="2" t="inlineStr">
        <x:is>
          <x:t xml:space="preserve">Evocation</x:t>
        </x:is>
      </x:c>
      <x:c r="E589" s="2" t="inlineStr">
        <x:is>
          <x:t xml:space="preserve">From spell description class tags</x:t>
        </x:is>
      </x:c>
      <x:c r="F589" s="2" t="inlineStr">
        <x:is>
          <x:t xml:space="preserve">SRD 5.2.1</x:t>
        </x:is>
      </x:c>
    </x:row>
    <x:row r="590" ht="18" customHeight="1">
      <x:c r="A590" s="2" t="inlineStr">
        <x:is>
          <x:t xml:space="preserve">Wizard</x:t>
        </x:is>
      </x:c>
      <x:c r="B590" s="2" t="inlineStr">
        <x:is>
          <x:t xml:space="preserve">3</x:t>
        </x:is>
      </x:c>
      <x:c r="C590" s="2" t="inlineStr">
        <x:is>
          <x:t xml:space="preserve">Vampiric Touch</x:t>
        </x:is>
      </x:c>
      <x:c r="D590" s="2" t="inlineStr">
        <x:is>
          <x:t xml:space="preserve">Necromancy</x:t>
        </x:is>
      </x:c>
      <x:c r="E590" s="2" t="inlineStr">
        <x:is>
          <x:t xml:space="preserve">From spell description class tags</x:t>
        </x:is>
      </x:c>
      <x:c r="F590" s="2" t="inlineStr">
        <x:is>
          <x:t xml:space="preserve">SRD 5.2.1</x:t>
        </x:is>
      </x:c>
    </x:row>
    <x:row r="591" ht="18" customHeight="1">
      <x:c r="A591" s="2" t="inlineStr">
        <x:is>
          <x:t xml:space="preserve">Wizard</x:t>
        </x:is>
      </x:c>
      <x:c r="B591" s="2" t="inlineStr">
        <x:is>
          <x:t xml:space="preserve">4</x:t>
        </x:is>
      </x:c>
      <x:c r="C591" s="2" t="inlineStr">
        <x:is>
          <x:t xml:space="preserve">Arcane Eye</x:t>
        </x:is>
      </x:c>
      <x:c r="D591" s="2" t="inlineStr">
        <x:is>
          <x:t xml:space="preserve">Divination</x:t>
        </x:is>
      </x:c>
      <x:c r="E591" s="2" t="inlineStr">
        <x:is>
          <x:t xml:space="preserve">From spell description class tags</x:t>
        </x:is>
      </x:c>
      <x:c r="F591" s="2" t="inlineStr">
        <x:is>
          <x:t xml:space="preserve">SRD 5.2.1</x:t>
        </x:is>
      </x:c>
    </x:row>
    <x:row r="592" ht="18" customHeight="1">
      <x:c r="A592" s="2" t="inlineStr">
        <x:is>
          <x:t xml:space="preserve">Wizard</x:t>
        </x:is>
      </x:c>
      <x:c r="B592" s="2" t="inlineStr">
        <x:is>
          <x:t xml:space="preserve">4</x:t>
        </x:is>
      </x:c>
      <x:c r="C592" s="2" t="inlineStr">
        <x:is>
          <x:t xml:space="preserve">Black Tentacles</x:t>
        </x:is>
      </x:c>
      <x:c r="D592" s="2" t="inlineStr">
        <x:is>
          <x:t xml:space="preserve">Conjuration</x:t>
        </x:is>
      </x:c>
      <x:c r="E592" s="2" t="inlineStr">
        <x:is>
          <x:t xml:space="preserve">From spell description class tags</x:t>
        </x:is>
      </x:c>
      <x:c r="F592" s="2" t="inlineStr">
        <x:is>
          <x:t xml:space="preserve">SRD 5.2.1</x:t>
        </x:is>
      </x:c>
    </x:row>
    <x:row r="593" ht="18" customHeight="1">
      <x:c r="A593" s="2" t="inlineStr">
        <x:is>
          <x:t xml:space="preserve">Wizard</x:t>
        </x:is>
      </x:c>
      <x:c r="B593" s="2" t="inlineStr">
        <x:is>
          <x:t xml:space="preserve">4</x:t>
        </x:is>
      </x:c>
      <x:c r="C593" s="2" t="inlineStr">
        <x:is>
          <x:t xml:space="preserve">Confusion</x:t>
        </x:is>
      </x:c>
      <x:c r="D593" s="2" t="inlineStr">
        <x:is>
          <x:t xml:space="preserve">Enchantment</x:t>
        </x:is>
      </x:c>
      <x:c r="E593" s="2" t="inlineStr">
        <x:is>
          <x:t xml:space="preserve">From spell description class tags</x:t>
        </x:is>
      </x:c>
      <x:c r="F593" s="2" t="inlineStr">
        <x:is>
          <x:t xml:space="preserve">SRD 5.2.1</x:t>
        </x:is>
      </x:c>
    </x:row>
    <x:row r="594" ht="18" customHeight="1">
      <x:c r="A594" s="2" t="inlineStr">
        <x:is>
          <x:t xml:space="preserve">Wizard</x:t>
        </x:is>
      </x:c>
      <x:c r="B594" s="2" t="inlineStr">
        <x:is>
          <x:t xml:space="preserve">4</x:t>
        </x:is>
      </x:c>
      <x:c r="C594" s="2" t="inlineStr">
        <x:is>
          <x:t xml:space="preserve">Conjure Minor Elementals</x:t>
        </x:is>
      </x:c>
      <x:c r="D594" s="2" t="inlineStr">
        <x:is>
          <x:t xml:space="preserve">Conjuration</x:t>
        </x:is>
      </x:c>
      <x:c r="E594" s="2" t="inlineStr">
        <x:is>
          <x:t xml:space="preserve">From spell description class tags</x:t>
        </x:is>
      </x:c>
      <x:c r="F594" s="2" t="inlineStr">
        <x:is>
          <x:t xml:space="preserve">SRD 5.2.1</x:t>
        </x:is>
      </x:c>
    </x:row>
    <x:row r="595" ht="18" customHeight="1">
      <x:c r="A595" s="2" t="inlineStr">
        <x:is>
          <x:t xml:space="preserve">Wizard</x:t>
        </x:is>
      </x:c>
      <x:c r="B595" s="2" t="inlineStr">
        <x:is>
          <x:t xml:space="preserve">4</x:t>
        </x:is>
      </x:c>
      <x:c r="C595" s="2" t="inlineStr">
        <x:is>
          <x:t xml:space="preserve">Control Water</x:t>
        </x:is>
      </x:c>
      <x:c r="D595" s="2" t="inlineStr">
        <x:is>
          <x:t xml:space="preserve">Transmutation</x:t>
        </x:is>
      </x:c>
      <x:c r="E595" s="2" t="inlineStr">
        <x:is>
          <x:t xml:space="preserve">From spell description class tags</x:t>
        </x:is>
      </x:c>
      <x:c r="F595" s="2" t="inlineStr">
        <x:is>
          <x:t xml:space="preserve">SRD 5.2.1</x:t>
        </x:is>
      </x:c>
    </x:row>
    <x:row r="596" ht="18" customHeight="1">
      <x:c r="A596" s="2" t="inlineStr">
        <x:is>
          <x:t xml:space="preserve">Wizard</x:t>
        </x:is>
      </x:c>
      <x:c r="B596" s="2" t="inlineStr">
        <x:is>
          <x:t xml:space="preserve">4</x:t>
        </x:is>
      </x:c>
      <x:c r="C596" s="2" t="inlineStr">
        <x:is>
          <x:t xml:space="preserve">Dimension Door</x:t>
        </x:is>
      </x:c>
      <x:c r="D596" s="2" t="inlineStr">
        <x:is>
          <x:t xml:space="preserve">Conjuration</x:t>
        </x:is>
      </x:c>
      <x:c r="E596" s="2" t="inlineStr">
        <x:is>
          <x:t xml:space="preserve">From spell description class tags</x:t>
        </x:is>
      </x:c>
      <x:c r="F596" s="2" t="inlineStr">
        <x:is>
          <x:t xml:space="preserve">SRD 5.2.1</x:t>
        </x:is>
      </x:c>
    </x:row>
    <x:row r="597" ht="18" customHeight="1">
      <x:c r="A597" s="2" t="inlineStr">
        <x:is>
          <x:t xml:space="preserve">Wizard</x:t>
        </x:is>
      </x:c>
      <x:c r="B597" s="2" t="inlineStr">
        <x:is>
          <x:t xml:space="preserve">4</x:t>
        </x:is>
      </x:c>
      <x:c r="C597" s="2" t="inlineStr">
        <x:is>
          <x:t xml:space="preserve">Divination</x:t>
        </x:is>
      </x:c>
      <x:c r="D597" s="2" t="inlineStr">
        <x:is>
          <x:t xml:space="preserve">Divination</x:t>
        </x:is>
      </x:c>
      <x:c r="E597" s="2" t="inlineStr">
        <x:is>
          <x:t xml:space="preserve">From spell description class tags</x:t>
        </x:is>
      </x:c>
      <x:c r="F597" s="2" t="inlineStr">
        <x:is>
          <x:t xml:space="preserve">SRD 5.2.1</x:t>
        </x:is>
      </x:c>
    </x:row>
    <x:row r="598" ht="18" customHeight="1">
      <x:c r="A598" s="2" t="inlineStr">
        <x:is>
          <x:t xml:space="preserve">Wizard</x:t>
        </x:is>
      </x:c>
      <x:c r="B598" s="2" t="inlineStr">
        <x:is>
          <x:t xml:space="preserve">4</x:t>
        </x:is>
      </x:c>
      <x:c r="C598" s="2" t="inlineStr">
        <x:is>
          <x:t xml:space="preserve">Fabricate</x:t>
        </x:is>
      </x:c>
      <x:c r="D598" s="2" t="inlineStr">
        <x:is>
          <x:t xml:space="preserve">Transmutation</x:t>
        </x:is>
      </x:c>
      <x:c r="E598" s="2" t="inlineStr">
        <x:is>
          <x:t xml:space="preserve">From spell description class tags</x:t>
        </x:is>
      </x:c>
      <x:c r="F598" s="2" t="inlineStr">
        <x:is>
          <x:t xml:space="preserve">SRD 5.2.1</x:t>
        </x:is>
      </x:c>
    </x:row>
    <x:row r="599" ht="18" customHeight="1">
      <x:c r="A599" s="2" t="inlineStr">
        <x:is>
          <x:t xml:space="preserve">Wizard</x:t>
        </x:is>
      </x:c>
      <x:c r="B599" s="2" t="inlineStr">
        <x:is>
          <x:t xml:space="preserve">4</x:t>
        </x:is>
      </x:c>
      <x:c r="C599" s="2" t="inlineStr">
        <x:is>
          <x:t xml:space="preserve">Faithful Hound</x:t>
        </x:is>
      </x:c>
      <x:c r="D599" s="2" t="inlineStr">
        <x:is>
          <x:t xml:space="preserve">Conjuration</x:t>
        </x:is>
      </x:c>
      <x:c r="E599" s="2" t="inlineStr">
        <x:is>
          <x:t xml:space="preserve">From spell description class tags</x:t>
        </x:is>
      </x:c>
      <x:c r="F599" s="2" t="inlineStr">
        <x:is>
          <x:t xml:space="preserve">SRD 5.2.1</x:t>
        </x:is>
      </x:c>
    </x:row>
    <x:row r="600" ht="18" customHeight="1">
      <x:c r="A600" s="2" t="inlineStr">
        <x:is>
          <x:t xml:space="preserve">Wizard</x:t>
        </x:is>
      </x:c>
      <x:c r="B600" s="2" t="inlineStr">
        <x:is>
          <x:t xml:space="preserve">4</x:t>
        </x:is>
      </x:c>
      <x:c r="C600" s="2" t="inlineStr">
        <x:is>
          <x:t xml:space="preserve">Fire Shield</x:t>
        </x:is>
      </x:c>
      <x:c r="D600" s="2" t="inlineStr">
        <x:is>
          <x:t xml:space="preserve">Evocation</x:t>
        </x:is>
      </x:c>
      <x:c r="E600" s="2" t="inlineStr">
        <x:is>
          <x:t xml:space="preserve">From spell description class tags</x:t>
        </x:is>
      </x:c>
      <x:c r="F600" s="2" t="inlineStr">
        <x:is>
          <x:t xml:space="preserve">SRD 5.2.1</x:t>
        </x:is>
      </x:c>
    </x:row>
    <x:row r="601" ht="18" customHeight="1">
      <x:c r="A601" s="2" t="inlineStr">
        <x:is>
          <x:t xml:space="preserve">Wizard</x:t>
        </x:is>
      </x:c>
      <x:c r="B601" s="2" t="inlineStr">
        <x:is>
          <x:t xml:space="preserve">4</x:t>
        </x:is>
      </x:c>
      <x:c r="C601" s="2" t="inlineStr">
        <x:is>
          <x:t xml:space="preserve">Greater Invisibility</x:t>
        </x:is>
      </x:c>
      <x:c r="D601" s="2" t="inlineStr">
        <x:is>
          <x:t xml:space="preserve">Illusion</x:t>
        </x:is>
      </x:c>
      <x:c r="E601" s="2" t="inlineStr">
        <x:is>
          <x:t xml:space="preserve">From spell description class tags</x:t>
        </x:is>
      </x:c>
      <x:c r="F601" s="2" t="inlineStr">
        <x:is>
          <x:t xml:space="preserve">SRD 5.2.1</x:t>
        </x:is>
      </x:c>
    </x:row>
    <x:row r="602" ht="18" customHeight="1">
      <x:c r="A602" s="2" t="inlineStr">
        <x:is>
          <x:t xml:space="preserve">Wizard</x:t>
        </x:is>
      </x:c>
      <x:c r="B602" s="2" t="inlineStr">
        <x:is>
          <x:t xml:space="preserve">4</x:t>
        </x:is>
      </x:c>
      <x:c r="C602" s="2" t="inlineStr">
        <x:is>
          <x:t xml:space="preserve">Hallucinatory Terrain</x:t>
        </x:is>
      </x:c>
      <x:c r="D602" s="2" t="inlineStr">
        <x:is>
          <x:t xml:space="preserve">Illusion</x:t>
        </x:is>
      </x:c>
      <x:c r="E602" s="2" t="inlineStr">
        <x:is>
          <x:t xml:space="preserve">From spell description class tags</x:t>
        </x:is>
      </x:c>
      <x:c r="F602" s="2" t="inlineStr">
        <x:is>
          <x:t xml:space="preserve">SRD 5.2.1</x:t>
        </x:is>
      </x:c>
    </x:row>
    <x:row r="603" ht="18" customHeight="1">
      <x:c r="A603" s="2" t="inlineStr">
        <x:is>
          <x:t xml:space="preserve">Wizard</x:t>
        </x:is>
      </x:c>
      <x:c r="B603" s="2" t="inlineStr">
        <x:is>
          <x:t xml:space="preserve">4</x:t>
        </x:is>
      </x:c>
      <x:c r="C603" s="2" t="inlineStr">
        <x:is>
          <x:t xml:space="preserve">Ice Storm</x:t>
        </x:is>
      </x:c>
      <x:c r="D603" s="2" t="inlineStr">
        <x:is>
          <x:t xml:space="preserve">Evocation</x:t>
        </x:is>
      </x:c>
      <x:c r="E603" s="2" t="inlineStr">
        <x:is>
          <x:t xml:space="preserve">From spell description class tags</x:t>
        </x:is>
      </x:c>
      <x:c r="F603" s="2" t="inlineStr">
        <x:is>
          <x:t xml:space="preserve">SRD 5.2.1</x:t>
        </x:is>
      </x:c>
    </x:row>
    <x:row r="604" ht="18" customHeight="1">
      <x:c r="A604" s="2" t="inlineStr">
        <x:is>
          <x:t xml:space="preserve">Wizard</x:t>
        </x:is>
      </x:c>
      <x:c r="B604" s="2" t="inlineStr">
        <x:is>
          <x:t xml:space="preserve">4</x:t>
        </x:is>
      </x:c>
      <x:c r="C604" s="2" t="inlineStr">
        <x:is>
          <x:t xml:space="preserve">Phantasmal Killer</x:t>
        </x:is>
      </x:c>
      <x:c r="D604" s="2" t="inlineStr">
        <x:is>
          <x:t xml:space="preserve">Illusion</x:t>
        </x:is>
      </x:c>
      <x:c r="E604" s="2" t="inlineStr">
        <x:is>
          <x:t xml:space="preserve">From spell description class tags</x:t>
        </x:is>
      </x:c>
      <x:c r="F604" s="2" t="inlineStr">
        <x:is>
          <x:t xml:space="preserve">SRD 5.2.1</x:t>
        </x:is>
      </x:c>
    </x:row>
    <x:row r="605" ht="18" customHeight="1">
      <x:c r="A605" s="2" t="inlineStr">
        <x:is>
          <x:t xml:space="preserve">Wizard</x:t>
        </x:is>
      </x:c>
      <x:c r="B605" s="2" t="inlineStr">
        <x:is>
          <x:t xml:space="preserve">4</x:t>
        </x:is>
      </x:c>
      <x:c r="C605" s="2" t="inlineStr">
        <x:is>
          <x:t xml:space="preserve">Polymorph</x:t>
        </x:is>
      </x:c>
      <x:c r="D605" s="2" t="inlineStr">
        <x:is>
          <x:t xml:space="preserve">Transmutation</x:t>
        </x:is>
      </x:c>
      <x:c r="E605" s="2" t="inlineStr">
        <x:is>
          <x:t xml:space="preserve">From spell description class tags</x:t>
        </x:is>
      </x:c>
      <x:c r="F605" s="2" t="inlineStr">
        <x:is>
          <x:t xml:space="preserve">SRD 5.2.1</x:t>
        </x:is>
      </x:c>
    </x:row>
    <x:row r="606" ht="18" customHeight="1">
      <x:c r="A606" s="2" t="inlineStr">
        <x:is>
          <x:t xml:space="preserve">Wizard</x:t>
        </x:is>
      </x:c>
      <x:c r="B606" s="2" t="inlineStr">
        <x:is>
          <x:t xml:space="preserve">4</x:t>
        </x:is>
      </x:c>
      <x:c r="C606" s="2" t="inlineStr">
        <x:is>
          <x:t xml:space="preserve">Private Sanctum</x:t>
        </x:is>
      </x:c>
      <x:c r="D606" s="2" t="inlineStr">
        <x:is>
          <x:t xml:space="preserve">Abjuration</x:t>
        </x:is>
      </x:c>
      <x:c r="E606" s="2" t="inlineStr">
        <x:is>
          <x:t xml:space="preserve">From spell description class tags</x:t>
        </x:is>
      </x:c>
      <x:c r="F606" s="2" t="inlineStr">
        <x:is>
          <x:t xml:space="preserve">SRD 5.2.1</x:t>
        </x:is>
      </x:c>
    </x:row>
    <x:row r="607" ht="18" customHeight="1">
      <x:c r="A607" s="2" t="inlineStr">
        <x:is>
          <x:t xml:space="preserve">Wizard</x:t>
        </x:is>
      </x:c>
      <x:c r="B607" s="2" t="inlineStr">
        <x:is>
          <x:t xml:space="preserve">4</x:t>
        </x:is>
      </x:c>
      <x:c r="C607" s="2" t="inlineStr">
        <x:is>
          <x:t xml:space="preserve">Resilient Sphere</x:t>
        </x:is>
      </x:c>
      <x:c r="D607" s="2" t="inlineStr">
        <x:is>
          <x:t xml:space="preserve">Abjuration</x:t>
        </x:is>
      </x:c>
      <x:c r="E607" s="2" t="inlineStr">
        <x:is>
          <x:t xml:space="preserve">From spell description class tags</x:t>
        </x:is>
      </x:c>
      <x:c r="F607" s="2" t="inlineStr">
        <x:is>
          <x:t xml:space="preserve">SRD 5.2.1</x:t>
        </x:is>
      </x:c>
    </x:row>
    <x:row r="608" ht="18" customHeight="1">
      <x:c r="A608" s="2" t="inlineStr">
        <x:is>
          <x:t xml:space="preserve">Wizard</x:t>
        </x:is>
      </x:c>
      <x:c r="B608" s="2" t="inlineStr">
        <x:is>
          <x:t xml:space="preserve">4</x:t>
        </x:is>
      </x:c>
      <x:c r="C608" s="2" t="inlineStr">
        <x:is>
          <x:t xml:space="preserve">Secret Chest</x:t>
        </x:is>
      </x:c>
      <x:c r="D608" s="2" t="inlineStr">
        <x:is>
          <x:t xml:space="preserve">Conjuration</x:t>
        </x:is>
      </x:c>
      <x:c r="E608" s="2" t="inlineStr">
        <x:is>
          <x:t xml:space="preserve">From spell description class tags</x:t>
        </x:is>
      </x:c>
      <x:c r="F608" s="2" t="inlineStr">
        <x:is>
          <x:t xml:space="preserve">SRD 5.2.1</x:t>
        </x:is>
      </x:c>
    </x:row>
    <x:row r="609" ht="18" customHeight="1">
      <x:c r="A609" s="2" t="inlineStr">
        <x:is>
          <x:t xml:space="preserve">Wizard</x:t>
        </x:is>
      </x:c>
      <x:c r="B609" s="2" t="inlineStr">
        <x:is>
          <x:t xml:space="preserve">4</x:t>
        </x:is>
      </x:c>
      <x:c r="C609" s="2" t="inlineStr">
        <x:is>
          <x:t xml:space="preserve">Stone Shape</x:t>
        </x:is>
      </x:c>
      <x:c r="D609" s="2" t="inlineStr">
        <x:is>
          <x:t xml:space="preserve">Transmutation</x:t>
        </x:is>
      </x:c>
      <x:c r="E609" s="2" t="inlineStr">
        <x:is>
          <x:t xml:space="preserve">From spell description class tags</x:t>
        </x:is>
      </x:c>
      <x:c r="F609" s="2" t="inlineStr">
        <x:is>
          <x:t xml:space="preserve">SRD 5.2.1</x:t>
        </x:is>
      </x:c>
    </x:row>
    <x:row r="610" ht="18" customHeight="1">
      <x:c r="A610" s="2" t="inlineStr">
        <x:is>
          <x:t xml:space="preserve">Wizard</x:t>
        </x:is>
      </x:c>
      <x:c r="B610" s="2" t="inlineStr">
        <x:is>
          <x:t xml:space="preserve">4</x:t>
        </x:is>
      </x:c>
      <x:c r="C610" s="2" t="inlineStr">
        <x:is>
          <x:t xml:space="preserve">Vitriolic Sphere</x:t>
        </x:is>
      </x:c>
      <x:c r="D610" s="2" t="inlineStr">
        <x:is>
          <x:t xml:space="preserve">Evocation</x:t>
        </x:is>
      </x:c>
      <x:c r="E610" s="2" t="inlineStr">
        <x:is>
          <x:t xml:space="preserve">From spell description class tags</x:t>
        </x:is>
      </x:c>
      <x:c r="F610" s="2" t="inlineStr">
        <x:is>
          <x:t xml:space="preserve">SRD 5.2.1</x:t>
        </x:is>
      </x:c>
    </x:row>
    <x:row r="611" ht="18" customHeight="1">
      <x:c r="A611" s="2" t="inlineStr">
        <x:is>
          <x:t xml:space="preserve">Wizard</x:t>
        </x:is>
      </x:c>
      <x:c r="B611" s="2" t="inlineStr">
        <x:is>
          <x:t xml:space="preserve">4</x:t>
        </x:is>
      </x:c>
      <x:c r="C611" s="2" t="inlineStr">
        <x:is>
          <x:t xml:space="preserve">Wall of Fire</x:t>
        </x:is>
      </x:c>
      <x:c r="D611" s="2" t="inlineStr">
        <x:is>
          <x:t xml:space="preserve">Evocation</x:t>
        </x:is>
      </x:c>
      <x:c r="E611" s="2" t="inlineStr">
        <x:is>
          <x:t xml:space="preserve">From spell description class tags</x:t>
        </x:is>
      </x:c>
      <x:c r="F611" s="2" t="inlineStr">
        <x:is>
          <x:t xml:space="preserve">SRD 5.2.1</x:t>
        </x:is>
      </x:c>
    </x:row>
    <x:row r="612" ht="18" customHeight="1">
      <x:c r="A612" s="2" t="inlineStr">
        <x:is>
          <x:t xml:space="preserve">Wizard</x:t>
        </x:is>
      </x:c>
      <x:c r="B612" s="2" t="inlineStr">
        <x:is>
          <x:t xml:space="preserve">5</x:t>
        </x:is>
      </x:c>
      <x:c r="C612" s="2" t="inlineStr">
        <x:is>
          <x:t xml:space="preserve">Animate Objects</x:t>
        </x:is>
      </x:c>
      <x:c r="D612" s="2" t="inlineStr">
        <x:is>
          <x:t xml:space="preserve">Transmutation</x:t>
        </x:is>
      </x:c>
      <x:c r="E612" s="2" t="inlineStr">
        <x:is>
          <x:t xml:space="preserve">From spell description class tags</x:t>
        </x:is>
      </x:c>
      <x:c r="F612" s="2" t="inlineStr">
        <x:is>
          <x:t xml:space="preserve">SRD 5.2.1</x:t>
        </x:is>
      </x:c>
    </x:row>
    <x:row r="613" ht="18" customHeight="1">
      <x:c r="A613" s="2" t="inlineStr">
        <x:is>
          <x:t xml:space="preserve">Wizard</x:t>
        </x:is>
      </x:c>
      <x:c r="B613" s="2" t="inlineStr">
        <x:is>
          <x:t xml:space="preserve">5</x:t>
        </x:is>
      </x:c>
      <x:c r="C613" s="2" t="inlineStr">
        <x:is>
          <x:t xml:space="preserve">Arcane Hand</x:t>
        </x:is>
      </x:c>
      <x:c r="D613" s="2" t="inlineStr">
        <x:is>
          <x:t xml:space="preserve">Evocation</x:t>
        </x:is>
      </x:c>
      <x:c r="E613" s="2" t="inlineStr">
        <x:is>
          <x:t xml:space="preserve">From spell description class tags</x:t>
        </x:is>
      </x:c>
      <x:c r="F613" s="2" t="inlineStr">
        <x:is>
          <x:t xml:space="preserve">SRD 5.2.1</x:t>
        </x:is>
      </x:c>
    </x:row>
    <x:row r="614" ht="18" customHeight="1">
      <x:c r="A614" s="2" t="inlineStr">
        <x:is>
          <x:t xml:space="preserve">Wizard</x:t>
        </x:is>
      </x:c>
      <x:c r="B614" s="2" t="inlineStr">
        <x:is>
          <x:t xml:space="preserve">5</x:t>
        </x:is>
      </x:c>
      <x:c r="C614" s="2" t="inlineStr">
        <x:is>
          <x:t xml:space="preserve">Cloudkill</x:t>
        </x:is>
      </x:c>
      <x:c r="D614" s="2" t="inlineStr">
        <x:is>
          <x:t xml:space="preserve">Conjuration</x:t>
        </x:is>
      </x:c>
      <x:c r="E614" s="2" t="inlineStr">
        <x:is>
          <x:t xml:space="preserve">From spell description class tags</x:t>
        </x:is>
      </x:c>
      <x:c r="F614" s="2" t="inlineStr">
        <x:is>
          <x:t xml:space="preserve">SRD 5.2.1</x:t>
        </x:is>
      </x:c>
    </x:row>
    <x:row r="615" ht="18" customHeight="1">
      <x:c r="A615" s="2" t="inlineStr">
        <x:is>
          <x:t xml:space="preserve">Wizard</x:t>
        </x:is>
      </x:c>
      <x:c r="B615" s="2" t="inlineStr">
        <x:is>
          <x:t xml:space="preserve">5</x:t>
        </x:is>
      </x:c>
      <x:c r="C615" s="2" t="inlineStr">
        <x:is>
          <x:t xml:space="preserve">Cone of Cold</x:t>
        </x:is>
      </x:c>
      <x:c r="D615" s="2" t="inlineStr">
        <x:is>
          <x:t xml:space="preserve">Evocation</x:t>
        </x:is>
      </x:c>
      <x:c r="E615" s="2" t="inlineStr">
        <x:is>
          <x:t xml:space="preserve">From spell description class tags</x:t>
        </x:is>
      </x:c>
      <x:c r="F615" s="2" t="inlineStr">
        <x:is>
          <x:t xml:space="preserve">SRD 5.2.1</x:t>
        </x:is>
      </x:c>
    </x:row>
    <x:row r="616" ht="18" customHeight="1">
      <x:c r="A616" s="2" t="inlineStr">
        <x:is>
          <x:t xml:space="preserve">Wizard</x:t>
        </x:is>
      </x:c>
      <x:c r="B616" s="2" t="inlineStr">
        <x:is>
          <x:t xml:space="preserve">5</x:t>
        </x:is>
      </x:c>
      <x:c r="C616" s="2" t="inlineStr">
        <x:is>
          <x:t xml:space="preserve">Conjure Elemental</x:t>
        </x:is>
      </x:c>
      <x:c r="D616" s="2" t="inlineStr">
        <x:is>
          <x:t xml:space="preserve">Conjuration</x:t>
        </x:is>
      </x:c>
      <x:c r="E616" s="2" t="inlineStr">
        <x:is>
          <x:t xml:space="preserve">From spell description class tags</x:t>
        </x:is>
      </x:c>
      <x:c r="F616" s="2" t="inlineStr">
        <x:is>
          <x:t xml:space="preserve">SRD 5.2.1</x:t>
        </x:is>
      </x:c>
    </x:row>
    <x:row r="617" ht="18" customHeight="1">
      <x:c r="A617" s="2" t="inlineStr">
        <x:is>
          <x:t xml:space="preserve">Wizard</x:t>
        </x:is>
      </x:c>
      <x:c r="B617" s="2" t="inlineStr">
        <x:is>
          <x:t xml:space="preserve">5</x:t>
        </x:is>
      </x:c>
      <x:c r="C617" s="2" t="inlineStr">
        <x:is>
          <x:t xml:space="preserve">Contact Other Plane</x:t>
        </x:is>
      </x:c>
      <x:c r="D617" s="2" t="inlineStr">
        <x:is>
          <x:t xml:space="preserve">Divination</x:t>
        </x:is>
      </x:c>
      <x:c r="E617" s="2" t="inlineStr">
        <x:is>
          <x:t xml:space="preserve">From spell description class tags</x:t>
        </x:is>
      </x:c>
      <x:c r="F617" s="2" t="inlineStr">
        <x:is>
          <x:t xml:space="preserve">SRD 5.2.1</x:t>
        </x:is>
      </x:c>
    </x:row>
    <x:row r="618" ht="18" customHeight="1">
      <x:c r="A618" s="2" t="inlineStr">
        <x:is>
          <x:t xml:space="preserve">Wizard</x:t>
        </x:is>
      </x:c>
      <x:c r="B618" s="2" t="inlineStr">
        <x:is>
          <x:t xml:space="preserve">5</x:t>
        </x:is>
      </x:c>
      <x:c r="C618" s="2" t="inlineStr">
        <x:is>
          <x:t xml:space="preserve">Creation</x:t>
        </x:is>
      </x:c>
      <x:c r="D618" s="2" t="inlineStr">
        <x:is>
          <x:t xml:space="preserve">Illusion</x:t>
        </x:is>
      </x:c>
      <x:c r="E618" s="2" t="inlineStr">
        <x:is>
          <x:t xml:space="preserve">From spell description class tags</x:t>
        </x:is>
      </x:c>
      <x:c r="F618" s="2" t="inlineStr">
        <x:is>
          <x:t xml:space="preserve">SRD 5.2.1</x:t>
        </x:is>
      </x:c>
    </x:row>
    <x:row r="619" ht="18" customHeight="1">
      <x:c r="A619" s="2" t="inlineStr">
        <x:is>
          <x:t xml:space="preserve">Wizard</x:t>
        </x:is>
      </x:c>
      <x:c r="B619" s="2" t="inlineStr">
        <x:is>
          <x:t xml:space="preserve">5</x:t>
        </x:is>
      </x:c>
      <x:c r="C619" s="2" t="inlineStr">
        <x:is>
          <x:t xml:space="preserve">Dominate Person</x:t>
        </x:is>
      </x:c>
      <x:c r="D619" s="2" t="inlineStr">
        <x:is>
          <x:t xml:space="preserve">Enchantment</x:t>
        </x:is>
      </x:c>
      <x:c r="E619" s="2" t="inlineStr">
        <x:is>
          <x:t xml:space="preserve">From spell description class tags</x:t>
        </x:is>
      </x:c>
      <x:c r="F619" s="2" t="inlineStr">
        <x:is>
          <x:t xml:space="preserve">SRD 5.2.1</x:t>
        </x:is>
      </x:c>
    </x:row>
    <x:row r="620" ht="18" customHeight="1">
      <x:c r="A620" s="2" t="inlineStr">
        <x:is>
          <x:t xml:space="preserve">Wizard</x:t>
        </x:is>
      </x:c>
      <x:c r="B620" s="2" t="inlineStr">
        <x:is>
          <x:t xml:space="preserve">5</x:t>
        </x:is>
      </x:c>
      <x:c r="C620" s="2" t="inlineStr">
        <x:is>
          <x:t xml:space="preserve">Dream</x:t>
        </x:is>
      </x:c>
      <x:c r="D620" s="2" t="inlineStr">
        <x:is>
          <x:t xml:space="preserve">Illusion</x:t>
        </x:is>
      </x:c>
      <x:c r="E620" s="2" t="inlineStr">
        <x:is>
          <x:t xml:space="preserve">From spell description class tags</x:t>
        </x:is>
      </x:c>
      <x:c r="F620" s="2" t="inlineStr">
        <x:is>
          <x:t xml:space="preserve">SRD 5.2.1</x:t>
        </x:is>
      </x:c>
    </x:row>
    <x:row r="621" ht="18" customHeight="1">
      <x:c r="A621" s="2" t="inlineStr">
        <x:is>
          <x:t xml:space="preserve">Wizard</x:t>
        </x:is>
      </x:c>
      <x:c r="B621" s="2" t="inlineStr">
        <x:is>
          <x:t xml:space="preserve">5</x:t>
        </x:is>
      </x:c>
      <x:c r="C621" s="2" t="inlineStr">
        <x:is>
          <x:t xml:space="preserve">Legend Lore</x:t>
        </x:is>
      </x:c>
      <x:c r="D621" s="2" t="inlineStr">
        <x:is>
          <x:t xml:space="preserve">Divination</x:t>
        </x:is>
      </x:c>
      <x:c r="E621" s="2" t="inlineStr">
        <x:is>
          <x:t xml:space="preserve">From spell description class tags</x:t>
        </x:is>
      </x:c>
      <x:c r="F621" s="2" t="inlineStr">
        <x:is>
          <x:t xml:space="preserve">SRD 5.2.1</x:t>
        </x:is>
      </x:c>
    </x:row>
    <x:row r="622" ht="18" customHeight="1">
      <x:c r="A622" s="2" t="inlineStr">
        <x:is>
          <x:t xml:space="preserve">Wizard</x:t>
        </x:is>
      </x:c>
      <x:c r="B622" s="2" t="inlineStr">
        <x:is>
          <x:t xml:space="preserve">5</x:t>
        </x:is>
      </x:c>
      <x:c r="C622" s="2" t="inlineStr">
        <x:is>
          <x:t xml:space="preserve">Mislead</x:t>
        </x:is>
      </x:c>
      <x:c r="D622" s="2" t="inlineStr">
        <x:is>
          <x:t xml:space="preserve">Illusion</x:t>
        </x:is>
      </x:c>
      <x:c r="E622" s="2" t="inlineStr">
        <x:is>
          <x:t xml:space="preserve">From spell description class tags</x:t>
        </x:is>
      </x:c>
      <x:c r="F622" s="2" t="inlineStr">
        <x:is>
          <x:t xml:space="preserve">SRD 5.2.1</x:t>
        </x:is>
      </x:c>
    </x:row>
    <x:row r="623" ht="18" customHeight="1">
      <x:c r="A623" s="2" t="inlineStr">
        <x:is>
          <x:t xml:space="preserve">Wizard</x:t>
        </x:is>
      </x:c>
      <x:c r="B623" s="2" t="inlineStr">
        <x:is>
          <x:t xml:space="preserve">5</x:t>
        </x:is>
      </x:c>
      <x:c r="C623" s="2" t="inlineStr">
        <x:is>
          <x:t xml:space="preserve">Modify Memory</x:t>
        </x:is>
      </x:c>
      <x:c r="D623" s="2" t="inlineStr">
        <x:is>
          <x:t xml:space="preserve">Enchantment</x:t>
        </x:is>
      </x:c>
      <x:c r="E623" s="2" t="inlineStr">
        <x:is>
          <x:t xml:space="preserve">From spell description class tags</x:t>
        </x:is>
      </x:c>
      <x:c r="F623" s="2" t="inlineStr">
        <x:is>
          <x:t xml:space="preserve">SRD 5.2.1</x:t>
        </x:is>
      </x:c>
    </x:row>
    <x:row r="624" ht="18" customHeight="1">
      <x:c r="A624" s="2" t="inlineStr">
        <x:is>
          <x:t xml:space="preserve">Wizard</x:t>
        </x:is>
      </x:c>
      <x:c r="B624" s="2" t="inlineStr">
        <x:is>
          <x:t xml:space="preserve">5</x:t>
        </x:is>
      </x:c>
      <x:c r="C624" s="2" t="inlineStr">
        <x:is>
          <x:t xml:space="preserve">Passwall</x:t>
        </x:is>
      </x:c>
      <x:c r="D624" s="2" t="inlineStr">
        <x:is>
          <x:t xml:space="preserve">Transmutation</x:t>
        </x:is>
      </x:c>
      <x:c r="E624" s="2" t="inlineStr">
        <x:is>
          <x:t xml:space="preserve">From spell description class tags</x:t>
        </x:is>
      </x:c>
      <x:c r="F624" s="2" t="inlineStr">
        <x:is>
          <x:t xml:space="preserve">SRD 5.2.1</x:t>
        </x:is>
      </x:c>
    </x:row>
    <x:row r="625" ht="18" customHeight="1">
      <x:c r="A625" s="2" t="inlineStr">
        <x:is>
          <x:t xml:space="preserve">Wizard</x:t>
        </x:is>
      </x:c>
      <x:c r="B625" s="2" t="inlineStr">
        <x:is>
          <x:t xml:space="preserve">5</x:t>
        </x:is>
      </x:c>
      <x:c r="C625" s="2" t="inlineStr">
        <x:is>
          <x:t xml:space="preserve">Seeming</x:t>
        </x:is>
      </x:c>
      <x:c r="D625" s="2" t="inlineStr">
        <x:is>
          <x:t xml:space="preserve">Illusion</x:t>
        </x:is>
      </x:c>
      <x:c r="E625" s="2" t="inlineStr">
        <x:is>
          <x:t xml:space="preserve">From spell description class tags</x:t>
        </x:is>
      </x:c>
      <x:c r="F625" s="2" t="inlineStr">
        <x:is>
          <x:t xml:space="preserve">SRD 5.2.1</x:t>
        </x:is>
      </x:c>
    </x:row>
    <x:row r="626" ht="18" customHeight="1">
      <x:c r="A626" s="2" t="inlineStr">
        <x:is>
          <x:t xml:space="preserve">Wizard</x:t>
        </x:is>
      </x:c>
      <x:c r="B626" s="2" t="inlineStr">
        <x:is>
          <x:t xml:space="preserve">5</x:t>
        </x:is>
      </x:c>
      <x:c r="C626" s="2" t="inlineStr">
        <x:is>
          <x:t xml:space="preserve">Summon Dragon</x:t>
        </x:is>
      </x:c>
      <x:c r="D626" s="2" t="inlineStr">
        <x:is>
          <x:t xml:space="preserve">Conjuration</x:t>
        </x:is>
      </x:c>
      <x:c r="E626" s="2" t="inlineStr">
        <x:is>
          <x:t xml:space="preserve">From spell description class tags</x:t>
        </x:is>
      </x:c>
      <x:c r="F626" s="2" t="inlineStr">
        <x:is>
          <x:t xml:space="preserve">SRD 5.2.1</x:t>
        </x:is>
      </x:c>
    </x:row>
    <x:row r="627" ht="18" customHeight="1">
      <x:c r="A627" s="2" t="inlineStr">
        <x:is>
          <x:t xml:space="preserve">Wizard</x:t>
        </x:is>
      </x:c>
      <x:c r="B627" s="2" t="inlineStr">
        <x:is>
          <x:t xml:space="preserve">5</x:t>
        </x:is>
      </x:c>
      <x:c r="C627" s="2" t="inlineStr">
        <x:is>
          <x:t xml:space="preserve">Telekinesis</x:t>
        </x:is>
      </x:c>
      <x:c r="D627" s="2" t="inlineStr">
        <x:is>
          <x:t xml:space="preserve">Transmutation</x:t>
        </x:is>
      </x:c>
      <x:c r="E627" s="2" t="inlineStr">
        <x:is>
          <x:t xml:space="preserve">From spell description class tags</x:t>
        </x:is>
      </x:c>
      <x:c r="F627" s="2" t="inlineStr">
        <x:is>
          <x:t xml:space="preserve">SRD 5.2.1</x:t>
        </x:is>
      </x:c>
    </x:row>
    <x:row r="628" ht="18" customHeight="1">
      <x:c r="A628" s="2" t="inlineStr">
        <x:is>
          <x:t xml:space="preserve">Wizard</x:t>
        </x:is>
      </x:c>
      <x:c r="B628" s="2" t="inlineStr">
        <x:is>
          <x:t xml:space="preserve">5</x:t>
        </x:is>
      </x:c>
      <x:c r="C628" s="2" t="inlineStr">
        <x:is>
          <x:t xml:space="preserve">Telepathic Bond</x:t>
        </x:is>
      </x:c>
      <x:c r="D628" s="2" t="inlineStr">
        <x:is>
          <x:t xml:space="preserve">Divination</x:t>
        </x:is>
      </x:c>
      <x:c r="E628" s="2" t="inlineStr">
        <x:is>
          <x:t xml:space="preserve">From spell description class tags</x:t>
        </x:is>
      </x:c>
      <x:c r="F628" s="2" t="inlineStr">
        <x:is>
          <x:t xml:space="preserve">SRD 5.2.1</x:t>
        </x:is>
      </x:c>
    </x:row>
    <x:row r="629" ht="18" customHeight="1">
      <x:c r="A629" s="2" t="inlineStr">
        <x:is>
          <x:t xml:space="preserve">Wizard</x:t>
        </x:is>
      </x:c>
      <x:c r="B629" s="2" t="inlineStr">
        <x:is>
          <x:t xml:space="preserve">5</x:t>
        </x:is>
      </x:c>
      <x:c r="C629" s="2" t="inlineStr">
        <x:is>
          <x:t xml:space="preserve">Teleportation Circle</x:t>
        </x:is>
      </x:c>
      <x:c r="D629" s="2" t="inlineStr">
        <x:is>
          <x:t xml:space="preserve">Conjuration</x:t>
        </x:is>
      </x:c>
      <x:c r="E629" s="2" t="inlineStr">
        <x:is>
          <x:t xml:space="preserve">From spell description class tags</x:t>
        </x:is>
      </x:c>
      <x:c r="F629" s="2" t="inlineStr">
        <x:is>
          <x:t xml:space="preserve">SRD 5.2.1</x:t>
        </x:is>
      </x:c>
    </x:row>
    <x:row r="630" ht="18" customHeight="1">
      <x:c r="A630" s="2" t="inlineStr">
        <x:is>
          <x:t xml:space="preserve">Wizard</x:t>
        </x:is>
      </x:c>
      <x:c r="B630" s="2" t="inlineStr">
        <x:is>
          <x:t xml:space="preserve">5</x:t>
        </x:is>
      </x:c>
      <x:c r="C630" s="2" t="inlineStr">
        <x:is>
          <x:t xml:space="preserve">Wall of Force</x:t>
        </x:is>
      </x:c>
      <x:c r="D630" s="2" t="inlineStr">
        <x:is>
          <x:t xml:space="preserve">Evocation</x:t>
        </x:is>
      </x:c>
      <x:c r="E630" s="2" t="inlineStr">
        <x:is>
          <x:t xml:space="preserve">From spell description class tags</x:t>
        </x:is>
      </x:c>
      <x:c r="F630" s="2" t="inlineStr">
        <x:is>
          <x:t xml:space="preserve">SRD 5.2.1</x:t>
        </x:is>
      </x:c>
    </x:row>
    <x:row r="631" ht="18" customHeight="1">
      <x:c r="A631" s="2" t="inlineStr">
        <x:is>
          <x:t xml:space="preserve">Wizard</x:t>
        </x:is>
      </x:c>
      <x:c r="B631" s="2" t="inlineStr">
        <x:is>
          <x:t xml:space="preserve">5</x:t>
        </x:is>
      </x:c>
      <x:c r="C631" s="2" t="inlineStr">
        <x:is>
          <x:t xml:space="preserve">Wall of Stone</x:t>
        </x:is>
      </x:c>
      <x:c r="D631" s="2" t="inlineStr">
        <x:is>
          <x:t xml:space="preserve">Evocation</x:t>
        </x:is>
      </x:c>
      <x:c r="E631" s="2" t="inlineStr">
        <x:is>
          <x:t xml:space="preserve">From spell description class tags</x:t>
        </x:is>
      </x:c>
      <x:c r="F631" s="2" t="inlineStr">
        <x:is>
          <x:t xml:space="preserve">SRD 5.2.1</x:t>
        </x:is>
      </x:c>
    </x:row>
    <x:row r="632" ht="18" customHeight="1">
      <x:c r="A632" s="2" t="inlineStr">
        <x:is>
          <x:t xml:space="preserve">Wizard</x:t>
        </x:is>
      </x:c>
      <x:c r="B632" s="2" t="inlineStr">
        <x:is>
          <x:t xml:space="preserve">6</x:t>
        </x:is>
      </x:c>
      <x:c r="C632" s="2" t="inlineStr">
        <x:is>
          <x:t xml:space="preserve">Chain Lightning</x:t>
        </x:is>
      </x:c>
      <x:c r="D632" s="2" t="inlineStr">
        <x:is>
          <x:t xml:space="preserve">Evocation</x:t>
        </x:is>
      </x:c>
      <x:c r="E632" s="2" t="inlineStr">
        <x:is>
          <x:t xml:space="preserve">From spell description class tags</x:t>
        </x:is>
      </x:c>
      <x:c r="F632" s="2" t="inlineStr">
        <x:is>
          <x:t xml:space="preserve">SRD 5.2.1</x:t>
        </x:is>
      </x:c>
    </x:row>
    <x:row r="633" ht="18" customHeight="1">
      <x:c r="A633" s="2" t="inlineStr">
        <x:is>
          <x:t xml:space="preserve">Wizard</x:t>
        </x:is>
      </x:c>
      <x:c r="B633" s="2" t="inlineStr">
        <x:is>
          <x:t xml:space="preserve">6</x:t>
        </x:is>
      </x:c>
      <x:c r="C633" s="2" t="inlineStr">
        <x:is>
          <x:t xml:space="preserve">Circle of Death</x:t>
        </x:is>
      </x:c>
      <x:c r="D633" s="2" t="inlineStr">
        <x:is>
          <x:t xml:space="preserve">Necromancy</x:t>
        </x:is>
      </x:c>
      <x:c r="E633" s="2" t="inlineStr">
        <x:is>
          <x:t xml:space="preserve">From spell description class tags</x:t>
        </x:is>
      </x:c>
      <x:c r="F633" s="2" t="inlineStr">
        <x:is>
          <x:t xml:space="preserve">SRD 5.2.1</x:t>
        </x:is>
      </x:c>
    </x:row>
    <x:row r="634" ht="18" customHeight="1">
      <x:c r="A634" s="2" t="inlineStr">
        <x:is>
          <x:t xml:space="preserve">Wizard</x:t>
        </x:is>
      </x:c>
      <x:c r="B634" s="2" t="inlineStr">
        <x:is>
          <x:t xml:space="preserve">6</x:t>
        </x:is>
      </x:c>
      <x:c r="C634" s="2" t="inlineStr">
        <x:is>
          <x:t xml:space="preserve">Contingency</x:t>
        </x:is>
      </x:c>
      <x:c r="D634" s="2" t="inlineStr">
        <x:is>
          <x:t xml:space="preserve">Abjuration</x:t>
        </x:is>
      </x:c>
      <x:c r="E634" s="2" t="inlineStr">
        <x:is>
          <x:t xml:space="preserve">From spell description class tags</x:t>
        </x:is>
      </x:c>
      <x:c r="F634" s="2" t="inlineStr">
        <x:is>
          <x:t xml:space="preserve">SRD 5.2.1</x:t>
        </x:is>
      </x:c>
    </x:row>
    <x:row r="635" ht="18" customHeight="1">
      <x:c r="A635" s="2" t="inlineStr">
        <x:is>
          <x:t xml:space="preserve">Wizard</x:t>
        </x:is>
      </x:c>
      <x:c r="B635" s="2" t="inlineStr">
        <x:is>
          <x:t xml:space="preserve">6</x:t>
        </x:is>
      </x:c>
      <x:c r="C635" s="2" t="inlineStr">
        <x:is>
          <x:t xml:space="preserve">Create Undead</x:t>
        </x:is>
      </x:c>
      <x:c r="D635" s="2" t="inlineStr">
        <x:is>
          <x:t xml:space="preserve">Necromancy</x:t>
        </x:is>
      </x:c>
      <x:c r="E635" s="2" t="inlineStr">
        <x:is>
          <x:t xml:space="preserve">From spell description class tags</x:t>
        </x:is>
      </x:c>
      <x:c r="F635" s="2" t="inlineStr">
        <x:is>
          <x:t xml:space="preserve">SRD 5.2.1</x:t>
        </x:is>
      </x:c>
    </x:row>
    <x:row r="636" ht="18" customHeight="1">
      <x:c r="A636" s="2" t="inlineStr">
        <x:is>
          <x:t xml:space="preserve">Wizard</x:t>
        </x:is>
      </x:c>
      <x:c r="B636" s="2" t="inlineStr">
        <x:is>
          <x:t xml:space="preserve">6</x:t>
        </x:is>
      </x:c>
      <x:c r="C636" s="2" t="inlineStr">
        <x:is>
          <x:t xml:space="preserve">Disintegrate</x:t>
        </x:is>
      </x:c>
      <x:c r="D636" s="2" t="inlineStr">
        <x:is>
          <x:t xml:space="preserve">Transmutation</x:t>
        </x:is>
      </x:c>
      <x:c r="E636" s="2" t="inlineStr">
        <x:is>
          <x:t xml:space="preserve">From spell description class tags</x:t>
        </x:is>
      </x:c>
      <x:c r="F636" s="2" t="inlineStr">
        <x:is>
          <x:t xml:space="preserve">SRD 5.2.1</x:t>
        </x:is>
      </x:c>
    </x:row>
    <x:row r="637" ht="18" customHeight="1">
      <x:c r="A637" s="2" t="inlineStr">
        <x:is>
          <x:t xml:space="preserve">Wizard</x:t>
        </x:is>
      </x:c>
      <x:c r="B637" s="2" t="inlineStr">
        <x:is>
          <x:t xml:space="preserve">6</x:t>
        </x:is>
      </x:c>
      <x:c r="C637" s="2" t="inlineStr">
        <x:is>
          <x:t xml:space="preserve">Eyebite</x:t>
        </x:is>
      </x:c>
      <x:c r="D637" s="2" t="inlineStr">
        <x:is>
          <x:t xml:space="preserve">Necromancy</x:t>
        </x:is>
      </x:c>
      <x:c r="E637" s="2" t="inlineStr">
        <x:is>
          <x:t xml:space="preserve">From spell description class tags</x:t>
        </x:is>
      </x:c>
      <x:c r="F637" s="2" t="inlineStr">
        <x:is>
          <x:t xml:space="preserve">SRD 5.2.1</x:t>
        </x:is>
      </x:c>
    </x:row>
    <x:row r="638" ht="18" customHeight="1">
      <x:c r="A638" s="2" t="inlineStr">
        <x:is>
          <x:t xml:space="preserve">Wizard</x:t>
        </x:is>
      </x:c>
      <x:c r="B638" s="2" t="inlineStr">
        <x:is>
          <x:t xml:space="preserve">6</x:t>
        </x:is>
      </x:c>
      <x:c r="C638" s="2" t="inlineStr">
        <x:is>
          <x:t xml:space="preserve">Flesh to Stone</x:t>
        </x:is>
      </x:c>
      <x:c r="D638" s="2" t="inlineStr">
        <x:is>
          <x:t xml:space="preserve">Transmutation</x:t>
        </x:is>
      </x:c>
      <x:c r="E638" s="2" t="inlineStr">
        <x:is>
          <x:t xml:space="preserve">From spell description class tags</x:t>
        </x:is>
      </x:c>
      <x:c r="F638" s="2" t="inlineStr">
        <x:is>
          <x:t xml:space="preserve">SRD 5.2.1</x:t>
        </x:is>
      </x:c>
    </x:row>
    <x:row r="639" ht="18" customHeight="1">
      <x:c r="A639" s="2" t="inlineStr">
        <x:is>
          <x:t xml:space="preserve">Wizard</x:t>
        </x:is>
      </x:c>
      <x:c r="B639" s="2" t="inlineStr">
        <x:is>
          <x:t xml:space="preserve">6</x:t>
        </x:is>
      </x:c>
      <x:c r="C639" s="2" t="inlineStr">
        <x:is>
          <x:t xml:space="preserve">Freezing Sphere</x:t>
        </x:is>
      </x:c>
      <x:c r="D639" s="2" t="inlineStr">
        <x:is>
          <x:t xml:space="preserve">Evocation</x:t>
        </x:is>
      </x:c>
      <x:c r="E639" s="2" t="inlineStr">
        <x:is>
          <x:t xml:space="preserve">From spell description class tags</x:t>
        </x:is>
      </x:c>
      <x:c r="F639" s="2" t="inlineStr">
        <x:is>
          <x:t xml:space="preserve">SRD 5.2.1</x:t>
        </x:is>
      </x:c>
    </x:row>
    <x:row r="640" ht="18" customHeight="1">
      <x:c r="A640" s="2" t="inlineStr">
        <x:is>
          <x:t xml:space="preserve">Wizard</x:t>
        </x:is>
      </x:c>
      <x:c r="B640" s="2" t="inlineStr">
        <x:is>
          <x:t xml:space="preserve">6</x:t>
        </x:is>
      </x:c>
      <x:c r="C640" s="2" t="inlineStr">
        <x:is>
          <x:t xml:space="preserve">Globe of Invulnerability</x:t>
        </x:is>
      </x:c>
      <x:c r="D640" s="2" t="inlineStr">
        <x:is>
          <x:t xml:space="preserve">Abjuration</x:t>
        </x:is>
      </x:c>
      <x:c r="E640" s="2" t="inlineStr">
        <x:is>
          <x:t xml:space="preserve">From spell description class tags</x:t>
        </x:is>
      </x:c>
      <x:c r="F640" s="2" t="inlineStr">
        <x:is>
          <x:t xml:space="preserve">SRD 5.2.1</x:t>
        </x:is>
      </x:c>
    </x:row>
    <x:row r="641" ht="18" customHeight="1">
      <x:c r="A641" s="2" t="inlineStr">
        <x:is>
          <x:t xml:space="preserve">Wizard</x:t>
        </x:is>
      </x:c>
      <x:c r="B641" s="2" t="inlineStr">
        <x:is>
          <x:t xml:space="preserve">6</x:t>
        </x:is>
      </x:c>
      <x:c r="C641" s="2" t="inlineStr">
        <x:is>
          <x:t xml:space="preserve">Guards and Wards</x:t>
        </x:is>
      </x:c>
      <x:c r="D641" s="2" t="inlineStr">
        <x:is>
          <x:t xml:space="preserve">Abjuration</x:t>
        </x:is>
      </x:c>
      <x:c r="E641" s="2" t="inlineStr">
        <x:is>
          <x:t xml:space="preserve">From spell description class tags</x:t>
        </x:is>
      </x:c>
      <x:c r="F641" s="2" t="inlineStr">
        <x:is>
          <x:t xml:space="preserve">SRD 5.2.1</x:t>
        </x:is>
      </x:c>
    </x:row>
    <x:row r="642" ht="18" customHeight="1">
      <x:c r="A642" s="2" t="inlineStr">
        <x:is>
          <x:t xml:space="preserve">Wizard</x:t>
        </x:is>
      </x:c>
      <x:c r="B642" s="2" t="inlineStr">
        <x:is>
          <x:t xml:space="preserve">6</x:t>
        </x:is>
      </x:c>
      <x:c r="C642" s="2" t="inlineStr">
        <x:is>
          <x:t xml:space="preserve">Instant Summons</x:t>
        </x:is>
      </x:c>
      <x:c r="D642" s="2" t="inlineStr">
        <x:is>
          <x:t xml:space="preserve">Conjuration</x:t>
        </x:is>
      </x:c>
      <x:c r="E642" s="2" t="inlineStr">
        <x:is>
          <x:t xml:space="preserve">From spell description class tags</x:t>
        </x:is>
      </x:c>
      <x:c r="F642" s="2" t="inlineStr">
        <x:is>
          <x:t xml:space="preserve">SRD 5.2.1</x:t>
        </x:is>
      </x:c>
    </x:row>
    <x:row r="643" ht="18" customHeight="1">
      <x:c r="A643" s="2" t="inlineStr">
        <x:is>
          <x:t xml:space="preserve">Wizard</x:t>
        </x:is>
      </x:c>
      <x:c r="B643" s="2" t="inlineStr">
        <x:is>
          <x:t xml:space="preserve">6</x:t>
        </x:is>
      </x:c>
      <x:c r="C643" s="2" t="inlineStr">
        <x:is>
          <x:t xml:space="preserve">Irresistible Dance</x:t>
        </x:is>
      </x:c>
      <x:c r="D643" s="2" t="inlineStr">
        <x:is>
          <x:t xml:space="preserve">Enchantment</x:t>
        </x:is>
      </x:c>
      <x:c r="E643" s="2" t="inlineStr">
        <x:is>
          <x:t xml:space="preserve">From spell description class tags</x:t>
        </x:is>
      </x:c>
      <x:c r="F643" s="2" t="inlineStr">
        <x:is>
          <x:t xml:space="preserve">SRD 5.2.1</x:t>
        </x:is>
      </x:c>
    </x:row>
    <x:row r="644" ht="18" customHeight="1">
      <x:c r="A644" s="2" t="inlineStr">
        <x:is>
          <x:t xml:space="preserve">Wizard</x:t>
        </x:is>
      </x:c>
      <x:c r="B644" s="2" t="inlineStr">
        <x:is>
          <x:t xml:space="preserve">6</x:t>
        </x:is>
      </x:c>
      <x:c r="C644" s="2" t="inlineStr">
        <x:is>
          <x:t xml:space="preserve">Magic Jar</x:t>
        </x:is>
      </x:c>
      <x:c r="D644" s="2" t="inlineStr">
        <x:is>
          <x:t xml:space="preserve">Necromancy</x:t>
        </x:is>
      </x:c>
      <x:c r="E644" s="2" t="inlineStr">
        <x:is>
          <x:t xml:space="preserve">From spell description class tags</x:t>
        </x:is>
      </x:c>
      <x:c r="F644" s="2" t="inlineStr">
        <x:is>
          <x:t xml:space="preserve">SRD 5.2.1</x:t>
        </x:is>
      </x:c>
    </x:row>
    <x:row r="645" ht="18" customHeight="1">
      <x:c r="A645" s="2" t="inlineStr">
        <x:is>
          <x:t xml:space="preserve">Wizard</x:t>
        </x:is>
      </x:c>
      <x:c r="B645" s="2" t="inlineStr">
        <x:is>
          <x:t xml:space="preserve">6</x:t>
        </x:is>
      </x:c>
      <x:c r="C645" s="2" t="inlineStr">
        <x:is>
          <x:t xml:space="preserve">Mass Suggestion</x:t>
        </x:is>
      </x:c>
      <x:c r="D645" s="2" t="inlineStr">
        <x:is>
          <x:t xml:space="preserve">Enchantment</x:t>
        </x:is>
      </x:c>
      <x:c r="E645" s="2" t="inlineStr">
        <x:is>
          <x:t xml:space="preserve">From spell description class tags</x:t>
        </x:is>
      </x:c>
      <x:c r="F645" s="2" t="inlineStr">
        <x:is>
          <x:t xml:space="preserve">SRD 5.2.1</x:t>
        </x:is>
      </x:c>
    </x:row>
    <x:row r="646" ht="18" customHeight="1">
      <x:c r="A646" s="2" t="inlineStr">
        <x:is>
          <x:t xml:space="preserve">Wizard</x:t>
        </x:is>
      </x:c>
      <x:c r="B646" s="2" t="inlineStr">
        <x:is>
          <x:t xml:space="preserve">6</x:t>
        </x:is>
      </x:c>
      <x:c r="C646" s="2" t="inlineStr">
        <x:is>
          <x:t xml:space="preserve">Move Earth</x:t>
        </x:is>
      </x:c>
      <x:c r="D646" s="2" t="inlineStr">
        <x:is>
          <x:t xml:space="preserve">Transmutation</x:t>
        </x:is>
      </x:c>
      <x:c r="E646" s="2" t="inlineStr">
        <x:is>
          <x:t xml:space="preserve">From spell description class tags</x:t>
        </x:is>
      </x:c>
      <x:c r="F646" s="2" t="inlineStr">
        <x:is>
          <x:t xml:space="preserve">SRD 5.2.1</x:t>
        </x:is>
      </x:c>
    </x:row>
    <x:row r="647" ht="18" customHeight="1">
      <x:c r="A647" s="2" t="inlineStr">
        <x:is>
          <x:t xml:space="preserve">Wizard</x:t>
        </x:is>
      </x:c>
      <x:c r="B647" s="2" t="inlineStr">
        <x:is>
          <x:t xml:space="preserve">6</x:t>
        </x:is>
      </x:c>
      <x:c r="C647" s="2" t="inlineStr">
        <x:is>
          <x:t xml:space="preserve">Programmed Illusion</x:t>
        </x:is>
      </x:c>
      <x:c r="D647" s="2" t="inlineStr">
        <x:is>
          <x:t xml:space="preserve">Illusion</x:t>
        </x:is>
      </x:c>
      <x:c r="E647" s="2" t="inlineStr">
        <x:is>
          <x:t xml:space="preserve">From spell description class tags</x:t>
        </x:is>
      </x:c>
      <x:c r="F647" s="2" t="inlineStr">
        <x:is>
          <x:t xml:space="preserve">SRD 5.2.1</x:t>
        </x:is>
      </x:c>
    </x:row>
    <x:row r="648" ht="18" customHeight="1">
      <x:c r="A648" s="2" t="inlineStr">
        <x:is>
          <x:t xml:space="preserve">Wizard</x:t>
        </x:is>
      </x:c>
      <x:c r="B648" s="2" t="inlineStr">
        <x:is>
          <x:t xml:space="preserve">6</x:t>
        </x:is>
      </x:c>
      <x:c r="C648" s="2" t="inlineStr">
        <x:is>
          <x:t xml:space="preserve">Sunbeam</x:t>
        </x:is>
      </x:c>
      <x:c r="D648" s="2" t="inlineStr">
        <x:is>
          <x:t xml:space="preserve">Evocation</x:t>
        </x:is>
      </x:c>
      <x:c r="E648" s="2" t="inlineStr">
        <x:is>
          <x:t xml:space="preserve">From spell description class tags</x:t>
        </x:is>
      </x:c>
      <x:c r="F648" s="2" t="inlineStr">
        <x:is>
          <x:t xml:space="preserve">SRD 5.2.1</x:t>
        </x:is>
      </x:c>
    </x:row>
    <x:row r="649" ht="18" customHeight="1">
      <x:c r="A649" s="2" t="inlineStr">
        <x:is>
          <x:t xml:space="preserve">Wizard</x:t>
        </x:is>
      </x:c>
      <x:c r="B649" s="2" t="inlineStr">
        <x:is>
          <x:t xml:space="preserve">6</x:t>
        </x:is>
      </x:c>
      <x:c r="C649" s="2" t="inlineStr">
        <x:is>
          <x:t xml:space="preserve">Wall of Ice</x:t>
        </x:is>
      </x:c>
      <x:c r="D649" s="2" t="inlineStr">
        <x:is>
          <x:t xml:space="preserve">Evocation</x:t>
        </x:is>
      </x:c>
      <x:c r="E649" s="2" t="inlineStr">
        <x:is>
          <x:t xml:space="preserve">From spell description class tags</x:t>
        </x:is>
      </x:c>
      <x:c r="F649" s="2" t="inlineStr">
        <x:is>
          <x:t xml:space="preserve">SRD 5.2.1</x:t>
        </x:is>
      </x:c>
    </x:row>
    <x:row r="650" ht="18" customHeight="1">
      <x:c r="A650" s="2" t="inlineStr">
        <x:is>
          <x:t xml:space="preserve">Wizard</x:t>
        </x:is>
      </x:c>
      <x:c r="B650" s="2" t="inlineStr">
        <x:is>
          <x:t xml:space="preserve">7</x:t>
        </x:is>
      </x:c>
      <x:c r="C650" s="2" t="inlineStr">
        <x:is>
          <x:t xml:space="preserve">Arcane Sword</x:t>
        </x:is>
      </x:c>
      <x:c r="D650" s="2" t="inlineStr">
        <x:is>
          <x:t xml:space="preserve">Evocation</x:t>
        </x:is>
      </x:c>
      <x:c r="E650" s="2" t="inlineStr">
        <x:is>
          <x:t xml:space="preserve">From spell description class tags</x:t>
        </x:is>
      </x:c>
      <x:c r="F650" s="2" t="inlineStr">
        <x:is>
          <x:t xml:space="preserve">SRD 5.2.1</x:t>
        </x:is>
      </x:c>
    </x:row>
    <x:row r="651" ht="18" customHeight="1">
      <x:c r="A651" s="2" t="inlineStr">
        <x:is>
          <x:t xml:space="preserve">Wizard</x:t>
        </x:is>
      </x:c>
      <x:c r="B651" s="2" t="inlineStr">
        <x:is>
          <x:t xml:space="preserve">7</x:t>
        </x:is>
      </x:c>
      <x:c r="C651" s="2" t="inlineStr">
        <x:is>
          <x:t xml:space="preserve">Delayed Blast Fireball</x:t>
        </x:is>
      </x:c>
      <x:c r="D651" s="2" t="inlineStr">
        <x:is>
          <x:t xml:space="preserve">Evocation</x:t>
        </x:is>
      </x:c>
      <x:c r="E651" s="2" t="inlineStr">
        <x:is>
          <x:t xml:space="preserve">From spell description class tags</x:t>
        </x:is>
      </x:c>
      <x:c r="F651" s="2" t="inlineStr">
        <x:is>
          <x:t xml:space="preserve">SRD 5.2.1</x:t>
        </x:is>
      </x:c>
    </x:row>
    <x:row r="652" ht="18" customHeight="1">
      <x:c r="A652" s="2" t="inlineStr">
        <x:is>
          <x:t xml:space="preserve">Wizard</x:t>
        </x:is>
      </x:c>
      <x:c r="B652" s="2" t="inlineStr">
        <x:is>
          <x:t xml:space="preserve">7</x:t>
        </x:is>
      </x:c>
      <x:c r="C652" s="2" t="inlineStr">
        <x:is>
          <x:t xml:space="preserve">Finger of Death</x:t>
        </x:is>
      </x:c>
      <x:c r="D652" s="2" t="inlineStr">
        <x:is>
          <x:t xml:space="preserve">Necromancy</x:t>
        </x:is>
      </x:c>
      <x:c r="E652" s="2" t="inlineStr">
        <x:is>
          <x:t xml:space="preserve">From spell description class tags</x:t>
        </x:is>
      </x:c>
      <x:c r="F652" s="2" t="inlineStr">
        <x:is>
          <x:t xml:space="preserve">SRD 5.2.1</x:t>
        </x:is>
      </x:c>
    </x:row>
    <x:row r="653" ht="18" customHeight="1">
      <x:c r="A653" s="2" t="inlineStr">
        <x:is>
          <x:t xml:space="preserve">Wizard</x:t>
        </x:is>
      </x:c>
      <x:c r="B653" s="2" t="inlineStr">
        <x:is>
          <x:t xml:space="preserve">7</x:t>
        </x:is>
      </x:c>
      <x:c r="C653" s="2" t="inlineStr">
        <x:is>
          <x:t xml:space="preserve">Forcecage</x:t>
        </x:is>
      </x:c>
      <x:c r="D653" s="2" t="inlineStr">
        <x:is>
          <x:t xml:space="preserve">Evocation</x:t>
        </x:is>
      </x:c>
      <x:c r="E653" s="2" t="inlineStr">
        <x:is>
          <x:t xml:space="preserve">From spell description class tags</x:t>
        </x:is>
      </x:c>
      <x:c r="F653" s="2" t="inlineStr">
        <x:is>
          <x:t xml:space="preserve">SRD 5.2.1</x:t>
        </x:is>
      </x:c>
    </x:row>
    <x:row r="654" ht="18" customHeight="1">
      <x:c r="A654" s="2" t="inlineStr">
        <x:is>
          <x:t xml:space="preserve">Wizard</x:t>
        </x:is>
      </x:c>
      <x:c r="B654" s="2" t="inlineStr">
        <x:is>
          <x:t xml:space="preserve">7</x:t>
        </x:is>
      </x:c>
      <x:c r="C654" s="2" t="inlineStr">
        <x:is>
          <x:t xml:space="preserve">Magnificent Mansion</x:t>
        </x:is>
      </x:c>
      <x:c r="D654" s="2" t="inlineStr">
        <x:is>
          <x:t xml:space="preserve">Conjuration</x:t>
        </x:is>
      </x:c>
      <x:c r="E654" s="2" t="inlineStr">
        <x:is>
          <x:t xml:space="preserve">From spell description class tags</x:t>
        </x:is>
      </x:c>
      <x:c r="F654" s="2" t="inlineStr">
        <x:is>
          <x:t xml:space="preserve">SRD 5.2.1</x:t>
        </x:is>
      </x:c>
    </x:row>
    <x:row r="655" ht="18" customHeight="1">
      <x:c r="A655" s="2" t="inlineStr">
        <x:is>
          <x:t xml:space="preserve">Wizard</x:t>
        </x:is>
      </x:c>
      <x:c r="B655" s="2" t="inlineStr">
        <x:is>
          <x:t xml:space="preserve">7</x:t>
        </x:is>
      </x:c>
      <x:c r="C655" s="2" t="inlineStr">
        <x:is>
          <x:t xml:space="preserve">Mirage Arcane</x:t>
        </x:is>
      </x:c>
      <x:c r="D655" s="2" t="inlineStr">
        <x:is>
          <x:t xml:space="preserve">Illusion</x:t>
        </x:is>
      </x:c>
      <x:c r="E655" s="2" t="inlineStr">
        <x:is>
          <x:t xml:space="preserve">From spell description class tags</x:t>
        </x:is>
      </x:c>
      <x:c r="F655" s="2" t="inlineStr">
        <x:is>
          <x:t xml:space="preserve">SRD 5.2.1</x:t>
        </x:is>
      </x:c>
    </x:row>
    <x:row r="656" ht="18" customHeight="1">
      <x:c r="A656" s="2" t="inlineStr">
        <x:is>
          <x:t xml:space="preserve">Wizard</x:t>
        </x:is>
      </x:c>
      <x:c r="B656" s="2" t="inlineStr">
        <x:is>
          <x:t xml:space="preserve">7</x:t>
        </x:is>
      </x:c>
      <x:c r="C656" s="2" t="inlineStr">
        <x:is>
          <x:t xml:space="preserve">Prismatic Spray</x:t>
        </x:is>
      </x:c>
      <x:c r="D656" s="2" t="inlineStr">
        <x:is>
          <x:t xml:space="preserve">Evocation</x:t>
        </x:is>
      </x:c>
      <x:c r="E656" s="2" t="inlineStr">
        <x:is>
          <x:t xml:space="preserve">From spell description class tags</x:t>
        </x:is>
      </x:c>
      <x:c r="F656" s="2" t="inlineStr">
        <x:is>
          <x:t xml:space="preserve">SRD 5.2.1</x:t>
        </x:is>
      </x:c>
    </x:row>
    <x:row r="657" ht="18" customHeight="1">
      <x:c r="A657" s="2" t="inlineStr">
        <x:is>
          <x:t xml:space="preserve">Wizard</x:t>
        </x:is>
      </x:c>
      <x:c r="B657" s="2" t="inlineStr">
        <x:is>
          <x:t xml:space="preserve">7</x:t>
        </x:is>
      </x:c>
      <x:c r="C657" s="2" t="inlineStr">
        <x:is>
          <x:t xml:space="preserve">Project Image</x:t>
        </x:is>
      </x:c>
      <x:c r="D657" s="2" t="inlineStr">
        <x:is>
          <x:t xml:space="preserve">Illusion</x:t>
        </x:is>
      </x:c>
      <x:c r="E657" s="2" t="inlineStr">
        <x:is>
          <x:t xml:space="preserve">From spell description class tags</x:t>
        </x:is>
      </x:c>
      <x:c r="F657" s="2" t="inlineStr">
        <x:is>
          <x:t xml:space="preserve">SRD 5.2.1</x:t>
        </x:is>
      </x:c>
    </x:row>
    <x:row r="658" ht="18" customHeight="1">
      <x:c r="A658" s="2" t="inlineStr">
        <x:is>
          <x:t xml:space="preserve">Wizard</x:t>
        </x:is>
      </x:c>
      <x:c r="B658" s="2" t="inlineStr">
        <x:is>
          <x:t xml:space="preserve">7</x:t>
        </x:is>
      </x:c>
      <x:c r="C658" s="2" t="inlineStr">
        <x:is>
          <x:t xml:space="preserve">Reverse Gravity</x:t>
        </x:is>
      </x:c>
      <x:c r="D658" s="2" t="inlineStr">
        <x:is>
          <x:t xml:space="preserve">Transmutation</x:t>
        </x:is>
      </x:c>
      <x:c r="E658" s="2" t="inlineStr">
        <x:is>
          <x:t xml:space="preserve">From spell description class tags</x:t>
        </x:is>
      </x:c>
      <x:c r="F658" s="2" t="inlineStr">
        <x:is>
          <x:t xml:space="preserve">SRD 5.2.1</x:t>
        </x:is>
      </x:c>
    </x:row>
    <x:row r="659" ht="18" customHeight="1">
      <x:c r="A659" s="2" t="inlineStr">
        <x:is>
          <x:t xml:space="preserve">Wizard</x:t>
        </x:is>
      </x:c>
      <x:c r="B659" s="2" t="inlineStr">
        <x:is>
          <x:t xml:space="preserve">7</x:t>
        </x:is>
      </x:c>
      <x:c r="C659" s="2" t="inlineStr">
        <x:is>
          <x:t xml:space="preserve">Sequester</x:t>
        </x:is>
      </x:c>
      <x:c r="D659" s="2" t="inlineStr">
        <x:is>
          <x:t xml:space="preserve">Transmutation</x:t>
        </x:is>
      </x:c>
      <x:c r="E659" s="2" t="inlineStr">
        <x:is>
          <x:t xml:space="preserve">From spell description class tags</x:t>
        </x:is>
      </x:c>
      <x:c r="F659" s="2" t="inlineStr">
        <x:is>
          <x:t xml:space="preserve">SRD 5.2.1</x:t>
        </x:is>
      </x:c>
    </x:row>
    <x:row r="660" ht="18" customHeight="1">
      <x:c r="A660" s="2" t="inlineStr">
        <x:is>
          <x:t xml:space="preserve">Wizard</x:t>
        </x:is>
      </x:c>
      <x:c r="B660" s="2" t="inlineStr">
        <x:is>
          <x:t xml:space="preserve">7</x:t>
        </x:is>
      </x:c>
      <x:c r="C660" s="2" t="inlineStr">
        <x:is>
          <x:t xml:space="preserve">Simulacrum</x:t>
        </x:is>
      </x:c>
      <x:c r="D660" s="2" t="inlineStr">
        <x:is>
          <x:t xml:space="preserve">Illusion</x:t>
        </x:is>
      </x:c>
      <x:c r="E660" s="2" t="inlineStr">
        <x:is>
          <x:t xml:space="preserve">From spell description class tags</x:t>
        </x:is>
      </x:c>
      <x:c r="F660" s="2" t="inlineStr">
        <x:is>
          <x:t xml:space="preserve">SRD 5.2.1</x:t>
        </x:is>
      </x:c>
    </x:row>
    <x:row r="661" ht="18" customHeight="1">
      <x:c r="A661" s="2" t="inlineStr">
        <x:is>
          <x:t xml:space="preserve">Wizard</x:t>
        </x:is>
      </x:c>
      <x:c r="B661" s="2" t="inlineStr">
        <x:is>
          <x:t xml:space="preserve">7</x:t>
        </x:is>
      </x:c>
      <x:c r="C661" s="2" t="inlineStr">
        <x:is>
          <x:t xml:space="preserve">Symbol</x:t>
        </x:is>
      </x:c>
      <x:c r="D661" s="2" t="inlineStr">
        <x:is>
          <x:t xml:space="preserve">Abjuration</x:t>
        </x:is>
      </x:c>
      <x:c r="E661" s="2" t="inlineStr">
        <x:is>
          <x:t xml:space="preserve">From spell description class tags</x:t>
        </x:is>
      </x:c>
      <x:c r="F661" s="2" t="inlineStr">
        <x:is>
          <x:t xml:space="preserve">SRD 5.2.1</x:t>
        </x:is>
      </x:c>
    </x:row>
    <x:row r="662" ht="18" customHeight="1">
      <x:c r="A662" s="2" t="inlineStr">
        <x:is>
          <x:t xml:space="preserve">Wizard</x:t>
        </x:is>
      </x:c>
      <x:c r="B662" s="2" t="inlineStr">
        <x:is>
          <x:t xml:space="preserve">7</x:t>
        </x:is>
      </x:c>
      <x:c r="C662" s="2" t="inlineStr">
        <x:is>
          <x:t xml:space="preserve">Teleport</x:t>
        </x:is>
      </x:c>
      <x:c r="D662" s="2" t="inlineStr">
        <x:is>
          <x:t xml:space="preserve">Conjuration</x:t>
        </x:is>
      </x:c>
      <x:c r="E662" s="2" t="inlineStr">
        <x:is>
          <x:t xml:space="preserve">From spell description class tags</x:t>
        </x:is>
      </x:c>
      <x:c r="F662" s="2" t="inlineStr">
        <x:is>
          <x:t xml:space="preserve">SRD 5.2.1</x:t>
        </x:is>
      </x:c>
    </x:row>
    <x:row r="663" ht="18" customHeight="1">
      <x:c r="A663" s="2" t="inlineStr">
        <x:is>
          <x:t xml:space="preserve">Wizard</x:t>
        </x:is>
      </x:c>
      <x:c r="B663" s="2" t="inlineStr">
        <x:is>
          <x:t xml:space="preserve">8</x:t>
        </x:is>
      </x:c>
      <x:c r="C663" s="2" t="inlineStr">
        <x:is>
          <x:t xml:space="preserve">Antimagic Field</x:t>
        </x:is>
      </x:c>
      <x:c r="D663" s="2" t="inlineStr">
        <x:is>
          <x:t xml:space="preserve">Abjuration</x:t>
        </x:is>
      </x:c>
      <x:c r="E663" s="2" t="inlineStr">
        <x:is>
          <x:t xml:space="preserve">From spell description class tags</x:t>
        </x:is>
      </x:c>
      <x:c r="F663" s="2" t="inlineStr">
        <x:is>
          <x:t xml:space="preserve">SRD 5.2.1</x:t>
        </x:is>
      </x:c>
    </x:row>
    <x:row r="664" ht="18" customHeight="1">
      <x:c r="A664" s="2" t="inlineStr">
        <x:is>
          <x:t xml:space="preserve">Wizard</x:t>
        </x:is>
      </x:c>
      <x:c r="B664" s="2" t="inlineStr">
        <x:is>
          <x:t xml:space="preserve">8</x:t>
        </x:is>
      </x:c>
      <x:c r="C664" s="2" t="inlineStr">
        <x:is>
          <x:t xml:space="preserve">Antipathy/Sympathy</x:t>
        </x:is>
      </x:c>
      <x:c r="D664" s="2" t="inlineStr">
        <x:is>
          <x:t xml:space="preserve">Enchantment</x:t>
        </x:is>
      </x:c>
      <x:c r="E664" s="2" t="inlineStr">
        <x:is>
          <x:t xml:space="preserve">From spell description class tags</x:t>
        </x:is>
      </x:c>
      <x:c r="F664" s="2" t="inlineStr">
        <x:is>
          <x:t xml:space="preserve">SRD 5.2.1</x:t>
        </x:is>
      </x:c>
    </x:row>
    <x:row r="665" ht="18" customHeight="1">
      <x:c r="A665" s="2" t="inlineStr">
        <x:is>
          <x:t xml:space="preserve">Wizard</x:t>
        </x:is>
      </x:c>
      <x:c r="B665" s="2" t="inlineStr">
        <x:is>
          <x:t xml:space="preserve">8</x:t>
        </x:is>
      </x:c>
      <x:c r="C665" s="2" t="inlineStr">
        <x:is>
          <x:t xml:space="preserve">Befuddlement</x:t>
        </x:is>
      </x:c>
      <x:c r="D665" s="2" t="inlineStr">
        <x:is>
          <x:t xml:space="preserve">Enchantment</x:t>
        </x:is>
      </x:c>
      <x:c r="E665" s="2" t="inlineStr">
        <x:is>
          <x:t xml:space="preserve">From spell description class tags</x:t>
        </x:is>
      </x:c>
      <x:c r="F665" s="2" t="inlineStr">
        <x:is>
          <x:t xml:space="preserve">SRD 5.2.1</x:t>
        </x:is>
      </x:c>
    </x:row>
    <x:row r="666" ht="18" customHeight="1">
      <x:c r="A666" s="2" t="inlineStr">
        <x:is>
          <x:t xml:space="preserve">Wizard</x:t>
        </x:is>
      </x:c>
      <x:c r="B666" s="2" t="inlineStr">
        <x:is>
          <x:t xml:space="preserve">8</x:t>
        </x:is>
      </x:c>
      <x:c r="C666" s="2" t="inlineStr">
        <x:is>
          <x:t xml:space="preserve">Clone</x:t>
        </x:is>
      </x:c>
      <x:c r="D666" s="2" t="inlineStr">
        <x:is>
          <x:t xml:space="preserve">Necromancy</x:t>
        </x:is>
      </x:c>
      <x:c r="E666" s="2" t="inlineStr">
        <x:is>
          <x:t xml:space="preserve">From spell description class tags</x:t>
        </x:is>
      </x:c>
      <x:c r="F666" s="2" t="inlineStr">
        <x:is>
          <x:t xml:space="preserve">SRD 5.2.1</x:t>
        </x:is>
      </x:c>
    </x:row>
    <x:row r="667" ht="18" customHeight="1">
      <x:c r="A667" s="2" t="inlineStr">
        <x:is>
          <x:t xml:space="preserve">Wizard</x:t>
        </x:is>
      </x:c>
      <x:c r="B667" s="2" t="inlineStr">
        <x:is>
          <x:t xml:space="preserve">8</x:t>
        </x:is>
      </x:c>
      <x:c r="C667" s="2" t="inlineStr">
        <x:is>
          <x:t xml:space="preserve">Control Weather</x:t>
        </x:is>
      </x:c>
      <x:c r="D667" s="2" t="inlineStr">
        <x:is>
          <x:t xml:space="preserve">Transmutation</x:t>
        </x:is>
      </x:c>
      <x:c r="E667" s="2" t="inlineStr">
        <x:is>
          <x:t xml:space="preserve">From spell description class tags</x:t>
        </x:is>
      </x:c>
      <x:c r="F667" s="2" t="inlineStr">
        <x:is>
          <x:t xml:space="preserve">SRD 5.2.1</x:t>
        </x:is>
      </x:c>
    </x:row>
    <x:row r="668" ht="18" customHeight="1">
      <x:c r="A668" s="2" t="inlineStr">
        <x:is>
          <x:t xml:space="preserve">Wizard</x:t>
        </x:is>
      </x:c>
      <x:c r="B668" s="2" t="inlineStr">
        <x:is>
          <x:t xml:space="preserve">8</x:t>
        </x:is>
      </x:c>
      <x:c r="C668" s="2" t="inlineStr">
        <x:is>
          <x:t xml:space="preserve">Demiplane</x:t>
        </x:is>
      </x:c>
      <x:c r="D668" s="2" t="inlineStr">
        <x:is>
          <x:t xml:space="preserve">Conjuration</x:t>
        </x:is>
      </x:c>
      <x:c r="E668" s="2" t="inlineStr">
        <x:is>
          <x:t xml:space="preserve">From spell description class tags</x:t>
        </x:is>
      </x:c>
      <x:c r="F668" s="2" t="inlineStr">
        <x:is>
          <x:t xml:space="preserve">SRD 5.2.1</x:t>
        </x:is>
      </x:c>
    </x:row>
    <x:row r="669" ht="18" customHeight="1">
      <x:c r="A669" s="2" t="inlineStr">
        <x:is>
          <x:t xml:space="preserve">Wizard</x:t>
        </x:is>
      </x:c>
      <x:c r="B669" s="2" t="inlineStr">
        <x:is>
          <x:t xml:space="preserve">8</x:t>
        </x:is>
      </x:c>
      <x:c r="C669" s="2" t="inlineStr">
        <x:is>
          <x:t xml:space="preserve">Incendiary Cloud</x:t>
        </x:is>
      </x:c>
      <x:c r="D669" s="2" t="inlineStr">
        <x:is>
          <x:t xml:space="preserve">Conjuration</x:t>
        </x:is>
      </x:c>
      <x:c r="E669" s="2" t="inlineStr">
        <x:is>
          <x:t xml:space="preserve">From spell description class tags</x:t>
        </x:is>
      </x:c>
      <x:c r="F669" s="2" t="inlineStr">
        <x:is>
          <x:t xml:space="preserve">SRD 5.2.1</x:t>
        </x:is>
      </x:c>
    </x:row>
    <x:row r="670" ht="18" customHeight="1">
      <x:c r="A670" s="2" t="inlineStr">
        <x:is>
          <x:t xml:space="preserve">Wizard</x:t>
        </x:is>
      </x:c>
      <x:c r="B670" s="2" t="inlineStr">
        <x:is>
          <x:t xml:space="preserve">8</x:t>
        </x:is>
      </x:c>
      <x:c r="C670" s="2" t="inlineStr">
        <x:is>
          <x:t xml:space="preserve">Maze</x:t>
        </x:is>
      </x:c>
      <x:c r="D670" s="2" t="inlineStr">
        <x:is>
          <x:t xml:space="preserve">Conjuration</x:t>
        </x:is>
      </x:c>
      <x:c r="E670" s="2" t="inlineStr">
        <x:is>
          <x:t xml:space="preserve">From spell description class tags</x:t>
        </x:is>
      </x:c>
      <x:c r="F670" s="2" t="inlineStr">
        <x:is>
          <x:t xml:space="preserve">SRD 5.2.1</x:t>
        </x:is>
      </x:c>
    </x:row>
    <x:row r="671" ht="18" customHeight="1">
      <x:c r="A671" s="2" t="inlineStr">
        <x:is>
          <x:t xml:space="preserve">Wizard</x:t>
        </x:is>
      </x:c>
      <x:c r="B671" s="2" t="inlineStr">
        <x:is>
          <x:t xml:space="preserve">8</x:t>
        </x:is>
      </x:c>
      <x:c r="C671" s="2" t="inlineStr">
        <x:is>
          <x:t xml:space="preserve">Mind Blank</x:t>
        </x:is>
      </x:c>
      <x:c r="D671" s="2" t="inlineStr">
        <x:is>
          <x:t xml:space="preserve">Abjuration</x:t>
        </x:is>
      </x:c>
      <x:c r="E671" s="2" t="inlineStr">
        <x:is>
          <x:t xml:space="preserve">From spell description class tags</x:t>
        </x:is>
      </x:c>
      <x:c r="F671" s="2" t="inlineStr">
        <x:is>
          <x:t xml:space="preserve">SRD 5.2.1</x:t>
        </x:is>
      </x:c>
    </x:row>
    <x:row r="672" ht="18" customHeight="1">
      <x:c r="A672" s="2" t="inlineStr">
        <x:is>
          <x:t xml:space="preserve">Wizard</x:t>
        </x:is>
      </x:c>
      <x:c r="B672" s="2" t="inlineStr">
        <x:is>
          <x:t xml:space="preserve">8</x:t>
        </x:is>
      </x:c>
      <x:c r="C672" s="2" t="inlineStr">
        <x:is>
          <x:t xml:space="preserve">Sunburst</x:t>
        </x:is>
      </x:c>
      <x:c r="D672" s="2" t="inlineStr">
        <x:is>
          <x:t xml:space="preserve">Evocation</x:t>
        </x:is>
      </x:c>
      <x:c r="E672" s="2" t="inlineStr">
        <x:is>
          <x:t xml:space="preserve">From spell description class tags</x:t>
        </x:is>
      </x:c>
      <x:c r="F672" s="2" t="inlineStr">
        <x:is>
          <x:t xml:space="preserve">SRD 5.2.1</x:t>
        </x:is>
      </x:c>
    </x:row>
    <x:row r="673" ht="18" customHeight="1">
      <x:c r="A673" s="2" t="inlineStr">
        <x:is>
          <x:t xml:space="preserve">Wizard</x:t>
        </x:is>
      </x:c>
      <x:c r="B673" s="2" t="inlineStr">
        <x:is>
          <x:t xml:space="preserve">9</x:t>
        </x:is>
      </x:c>
      <x:c r="C673" s="2" t="inlineStr">
        <x:is>
          <x:t xml:space="preserve">Astral Projection</x:t>
        </x:is>
      </x:c>
      <x:c r="D673" s="2" t="inlineStr">
        <x:is>
          <x:t xml:space="preserve">Necromancy</x:t>
        </x:is>
      </x:c>
      <x:c r="E673" s="2" t="inlineStr">
        <x:is>
          <x:t xml:space="preserve">From spell description class tags</x:t>
        </x:is>
      </x:c>
      <x:c r="F673" s="2" t="inlineStr">
        <x:is>
          <x:t xml:space="preserve">SRD 5.2.1</x:t>
        </x:is>
      </x:c>
    </x:row>
    <x:row r="674" ht="18" customHeight="1">
      <x:c r="A674" s="2" t="inlineStr">
        <x:is>
          <x:t xml:space="preserve">Wizard</x:t>
        </x:is>
      </x:c>
      <x:c r="B674" s="2" t="inlineStr">
        <x:is>
          <x:t xml:space="preserve">9</x:t>
        </x:is>
      </x:c>
      <x:c r="C674" s="2" t="inlineStr">
        <x:is>
          <x:t xml:space="preserve">Foresight</x:t>
        </x:is>
      </x:c>
      <x:c r="D674" s="2" t="inlineStr">
        <x:is>
          <x:t xml:space="preserve">Divination</x:t>
        </x:is>
      </x:c>
      <x:c r="E674" s="2" t="inlineStr">
        <x:is>
          <x:t xml:space="preserve">From spell description class tags</x:t>
        </x:is>
      </x:c>
      <x:c r="F674" s="2" t="inlineStr">
        <x:is>
          <x:t xml:space="preserve">SRD 5.2.1</x:t>
        </x:is>
      </x:c>
    </x:row>
    <x:row r="675" ht="18" customHeight="1">
      <x:c r="A675" s="2" t="inlineStr">
        <x:is>
          <x:t xml:space="preserve">Wizard</x:t>
        </x:is>
      </x:c>
      <x:c r="B675" s="2" t="inlineStr">
        <x:is>
          <x:t xml:space="preserve">9</x:t>
        </x:is>
      </x:c>
      <x:c r="C675" s="2" t="inlineStr">
        <x:is>
          <x:t xml:space="preserve">Gate</x:t>
        </x:is>
      </x:c>
      <x:c r="D675" s="2" t="inlineStr">
        <x:is>
          <x:t xml:space="preserve">Conjuration</x:t>
        </x:is>
      </x:c>
      <x:c r="E675" s="2" t="inlineStr">
        <x:is>
          <x:t xml:space="preserve">From spell description class tags</x:t>
        </x:is>
      </x:c>
      <x:c r="F675" s="2" t="inlineStr">
        <x:is>
          <x:t xml:space="preserve">SRD 5.2.1</x:t>
        </x:is>
      </x:c>
    </x:row>
    <x:row r="676" ht="18" customHeight="1">
      <x:c r="A676" s="2" t="inlineStr">
        <x:is>
          <x:t xml:space="preserve">Wizard</x:t>
        </x:is>
      </x:c>
      <x:c r="B676" s="2" t="inlineStr">
        <x:is>
          <x:t xml:space="preserve">9</x:t>
        </x:is>
      </x:c>
      <x:c r="C676" s="2" t="inlineStr">
        <x:is>
          <x:t xml:space="preserve">Imprisonment</x:t>
        </x:is>
      </x:c>
      <x:c r="D676" s="2" t="inlineStr">
        <x:is>
          <x:t xml:space="preserve">Abjuration</x:t>
        </x:is>
      </x:c>
      <x:c r="E676" s="2" t="inlineStr">
        <x:is>
          <x:t xml:space="preserve">From spell description class tags</x:t>
        </x:is>
      </x:c>
      <x:c r="F676" s="2" t="inlineStr">
        <x:is>
          <x:t xml:space="preserve">SRD 5.2.1</x:t>
        </x:is>
      </x:c>
    </x:row>
    <x:row r="677" ht="18" customHeight="1">
      <x:c r="A677" s="2" t="inlineStr">
        <x:is>
          <x:t xml:space="preserve">Wizard</x:t>
        </x:is>
      </x:c>
      <x:c r="B677" s="2" t="inlineStr">
        <x:is>
          <x:t xml:space="preserve">9</x:t>
        </x:is>
      </x:c>
      <x:c r="C677" s="2" t="inlineStr">
        <x:is>
          <x:t xml:space="preserve">Meteor Swarm</x:t>
        </x:is>
      </x:c>
      <x:c r="D677" s="2" t="inlineStr">
        <x:is>
          <x:t xml:space="preserve">Evocation</x:t>
        </x:is>
      </x:c>
      <x:c r="E677" s="2" t="inlineStr">
        <x:is>
          <x:t xml:space="preserve">From spell description class tags</x:t>
        </x:is>
      </x:c>
      <x:c r="F677" s="2" t="inlineStr">
        <x:is>
          <x:t xml:space="preserve">SRD 5.2.1</x:t>
        </x:is>
      </x:c>
    </x:row>
    <x:row r="678" ht="18" customHeight="1">
      <x:c r="A678" s="2" t="inlineStr">
        <x:is>
          <x:t xml:space="preserve">Wizard</x:t>
        </x:is>
      </x:c>
      <x:c r="B678" s="2" t="inlineStr">
        <x:is>
          <x:t xml:space="preserve">9</x:t>
        </x:is>
      </x:c>
      <x:c r="C678" s="2" t="inlineStr">
        <x:is>
          <x:t xml:space="preserve">Prismatic Wall</x:t>
        </x:is>
      </x:c>
      <x:c r="D678" s="2" t="inlineStr">
        <x:is>
          <x:t xml:space="preserve">Abjuration</x:t>
        </x:is>
      </x:c>
      <x:c r="E678" s="2" t="inlineStr">
        <x:is>
          <x:t xml:space="preserve">From spell description class tags</x:t>
        </x:is>
      </x:c>
      <x:c r="F678" s="2" t="inlineStr">
        <x:is>
          <x:t xml:space="preserve">SRD 5.2.1</x:t>
        </x:is>
      </x:c>
    </x:row>
    <x:row r="679" ht="18" customHeight="1">
      <x:c r="A679" s="2" t="inlineStr">
        <x:is>
          <x:t xml:space="preserve">Wizard</x:t>
        </x:is>
      </x:c>
      <x:c r="B679" s="2" t="inlineStr">
        <x:is>
          <x:t xml:space="preserve">9</x:t>
        </x:is>
      </x:c>
      <x:c r="C679" s="2" t="inlineStr">
        <x:is>
          <x:t xml:space="preserve">Shapechange</x:t>
        </x:is>
      </x:c>
      <x:c r="D679" s="2" t="inlineStr">
        <x:is>
          <x:t xml:space="preserve">Transmutation</x:t>
        </x:is>
      </x:c>
      <x:c r="E679" s="2" t="inlineStr">
        <x:is>
          <x:t xml:space="preserve">From spell description class tags</x:t>
        </x:is>
      </x:c>
      <x:c r="F679" s="2" t="inlineStr">
        <x:is>
          <x:t xml:space="preserve">SRD 5.2.1</x:t>
        </x:is>
      </x:c>
    </x:row>
    <x:row r="680" ht="18" customHeight="1">
      <x:c r="A680" s="2" t="inlineStr">
        <x:is>
          <x:t xml:space="preserve">Wizard</x:t>
        </x:is>
      </x:c>
      <x:c r="B680" s="2" t="inlineStr">
        <x:is>
          <x:t xml:space="preserve">9</x:t>
        </x:is>
      </x:c>
      <x:c r="C680" s="2" t="inlineStr">
        <x:is>
          <x:t xml:space="preserve">Time Stop</x:t>
        </x:is>
      </x:c>
      <x:c r="D680" s="2" t="inlineStr">
        <x:is>
          <x:t xml:space="preserve">Transmutation</x:t>
        </x:is>
      </x:c>
      <x:c r="E680" s="2" t="inlineStr">
        <x:is>
          <x:t xml:space="preserve">From spell description class tags</x:t>
        </x:is>
      </x:c>
      <x:c r="F680" s="2" t="inlineStr">
        <x:is>
          <x:t xml:space="preserve">SRD 5.2.1</x:t>
        </x:is>
      </x:c>
    </x:row>
    <x:row r="681" ht="18" customHeight="1">
      <x:c r="A681" s="2" t="inlineStr">
        <x:is>
          <x:t xml:space="preserve">Wizard</x:t>
        </x:is>
      </x:c>
      <x:c r="B681" s="2" t="inlineStr">
        <x:is>
          <x:t xml:space="preserve">9</x:t>
        </x:is>
      </x:c>
      <x:c r="C681" s="2" t="inlineStr">
        <x:is>
          <x:t xml:space="preserve">True Polymorph</x:t>
        </x:is>
      </x:c>
      <x:c r="D681" s="2" t="inlineStr">
        <x:is>
          <x:t xml:space="preserve">Transmutation</x:t>
        </x:is>
      </x:c>
      <x:c r="E681" s="2" t="inlineStr">
        <x:is>
          <x:t xml:space="preserve">From spell description class tags</x:t>
        </x:is>
      </x:c>
      <x:c r="F681" s="2" t="inlineStr">
        <x:is>
          <x:t xml:space="preserve">SRD 5.2.1</x:t>
        </x:is>
      </x:c>
    </x:row>
    <x:row r="682" ht="18" customHeight="1">
      <x:c r="A682" s="2" t="inlineStr">
        <x:is>
          <x:t xml:space="preserve">Wizard</x:t>
        </x:is>
      </x:c>
      <x:c r="B682" s="2" t="inlineStr">
        <x:is>
          <x:t xml:space="preserve">9</x:t>
        </x:is>
      </x:c>
      <x:c r="C682" s="2" t="inlineStr">
        <x:is>
          <x:t xml:space="preserve">Weird</x:t>
        </x:is>
      </x:c>
      <x:c r="D682" s="2" t="inlineStr">
        <x:is>
          <x:t xml:space="preserve">Illusion</x:t>
        </x:is>
      </x:c>
      <x:c r="E682" s="2" t="inlineStr">
        <x:is>
          <x:t xml:space="preserve">From spell description class tags</x:t>
        </x:is>
      </x:c>
      <x:c r="F682" s="2" t="inlineStr">
        <x:is>
          <x:t xml:space="preserve">SRD 5.2.1</x:t>
        </x:is>
      </x:c>
    </x:row>
    <x:row r="683" ht="18" customHeight="1">
      <x:c r="A683" s="2" t="inlineStr">
        <x:is>
          <x:t xml:space="preserve">Wizard</x:t>
        </x:is>
      </x:c>
      <x:c r="B683" s="2" t="inlineStr">
        <x:is>
          <x:t xml:space="preserve">9</x:t>
        </x:is>
      </x:c>
      <x:c r="C683" s="2" t="inlineStr">
        <x:is>
          <x:t xml:space="preserve">Wish</x:t>
        </x:is>
      </x:c>
      <x:c r="D683" s="2" t="inlineStr">
        <x:is>
          <x:t xml:space="preserve">Conjuration</x:t>
        </x:is>
      </x:c>
      <x:c r="E683" s="2" t="inlineStr">
        <x:is>
          <x:t xml:space="preserve">From spell description class tags</x:t>
        </x:is>
      </x:c>
      <x:c r="F683" s="2" t="inlineStr">
        <x:is>
          <x:t xml:space="preserve">SRD 5.2.1</x:t>
        </x:is>
      </x:c>
    </x:row>
    <x:row r="684" ht="18" customHeight="1">
      <x:c r="A684" s="2" t="inlineStr">
        <x:is>
          <x:t xml:space="preserve">Wizard</x:t>
        </x:is>
      </x:c>
      <x:c r="B684" s="2" t="inlineStr">
        <x:is>
          <x:t xml:space="preserve">Cantrip</x:t>
        </x:is>
      </x:c>
      <x:c r="C684" s="2" t="inlineStr">
        <x:is>
          <x:t xml:space="preserve">Acid Splash</x:t>
        </x:is>
      </x:c>
      <x:c r="D684" s="2" t="inlineStr">
        <x:is>
          <x:t xml:space="preserve">Evocation</x:t>
        </x:is>
      </x:c>
      <x:c r="E684" s="2" t="inlineStr">
        <x:is>
          <x:t xml:space="preserve">From spell description class tags</x:t>
        </x:is>
      </x:c>
      <x:c r="F684" s="2" t="inlineStr">
        <x:is>
          <x:t xml:space="preserve">SRD 5.2.1</x:t>
        </x:is>
      </x:c>
    </x:row>
    <x:row r="685" ht="18" customHeight="1">
      <x:c r="A685" s="2" t="inlineStr">
        <x:is>
          <x:t xml:space="preserve">Wizard</x:t>
        </x:is>
      </x:c>
      <x:c r="B685" s="2" t="inlineStr">
        <x:is>
          <x:t xml:space="preserve">Cantrip</x:t>
        </x:is>
      </x:c>
      <x:c r="C685" s="2" t="inlineStr">
        <x:is>
          <x:t xml:space="preserve">Chill Touch</x:t>
        </x:is>
      </x:c>
      <x:c r="D685" s="2" t="inlineStr">
        <x:is>
          <x:t xml:space="preserve">Necromancy</x:t>
        </x:is>
      </x:c>
      <x:c r="E685" s="2" t="inlineStr">
        <x:is>
          <x:t xml:space="preserve">From spell description class tags</x:t>
        </x:is>
      </x:c>
      <x:c r="F685" s="2" t="inlineStr">
        <x:is>
          <x:t xml:space="preserve">SRD 5.2.1</x:t>
        </x:is>
      </x:c>
    </x:row>
    <x:row r="686" ht="18" customHeight="1">
      <x:c r="A686" s="2" t="inlineStr">
        <x:is>
          <x:t xml:space="preserve">Wizard</x:t>
        </x:is>
      </x:c>
      <x:c r="B686" s="2" t="inlineStr">
        <x:is>
          <x:t xml:space="preserve">Cantrip</x:t>
        </x:is>
      </x:c>
      <x:c r="C686" s="2" t="inlineStr">
        <x:is>
          <x:t xml:space="preserve">Dancing Lights</x:t>
        </x:is>
      </x:c>
      <x:c r="D686" s="2" t="inlineStr">
        <x:is>
          <x:t xml:space="preserve">Illusion</x:t>
        </x:is>
      </x:c>
      <x:c r="E686" s="2" t="inlineStr">
        <x:is>
          <x:t xml:space="preserve">From spell description class tags</x:t>
        </x:is>
      </x:c>
      <x:c r="F686" s="2" t="inlineStr">
        <x:is>
          <x:t xml:space="preserve">SRD 5.2.1</x:t>
        </x:is>
      </x:c>
    </x:row>
    <x:row r="687" ht="18" customHeight="1">
      <x:c r="A687" s="2" t="inlineStr">
        <x:is>
          <x:t xml:space="preserve">Wizard</x:t>
        </x:is>
      </x:c>
      <x:c r="B687" s="2" t="inlineStr">
        <x:is>
          <x:t xml:space="preserve">Cantrip</x:t>
        </x:is>
      </x:c>
      <x:c r="C687" s="2" t="inlineStr">
        <x:is>
          <x:t xml:space="preserve">Elementalism</x:t>
        </x:is>
      </x:c>
      <x:c r="D687" s="2" t="inlineStr">
        <x:is>
          <x:t xml:space="preserve">Transmutation</x:t>
        </x:is>
      </x:c>
      <x:c r="E687" s="2" t="inlineStr">
        <x:is>
          <x:t xml:space="preserve">From spell description class tags</x:t>
        </x:is>
      </x:c>
      <x:c r="F687" s="2" t="inlineStr">
        <x:is>
          <x:t xml:space="preserve">SRD 5.2.1</x:t>
        </x:is>
      </x:c>
    </x:row>
    <x:row r="688" ht="18" customHeight="1">
      <x:c r="A688" s="2" t="inlineStr">
        <x:is>
          <x:t xml:space="preserve">Wizard</x:t>
        </x:is>
      </x:c>
      <x:c r="B688" s="2" t="inlineStr">
        <x:is>
          <x:t xml:space="preserve">Cantrip</x:t>
        </x:is>
      </x:c>
      <x:c r="C688" s="2" t="inlineStr">
        <x:is>
          <x:t xml:space="preserve">Fire Bolt</x:t>
        </x:is>
      </x:c>
      <x:c r="D688" s="2" t="inlineStr">
        <x:is>
          <x:t xml:space="preserve">Evocation</x:t>
        </x:is>
      </x:c>
      <x:c r="E688" s="2" t="inlineStr">
        <x:is>
          <x:t xml:space="preserve">From spell description class tags</x:t>
        </x:is>
      </x:c>
      <x:c r="F688" s="2" t="inlineStr">
        <x:is>
          <x:t xml:space="preserve">SRD 5.2.1</x:t>
        </x:is>
      </x:c>
    </x:row>
    <x:row r="689" ht="18" customHeight="1">
      <x:c r="A689" s="2" t="inlineStr">
        <x:is>
          <x:t xml:space="preserve">Wizard</x:t>
        </x:is>
      </x:c>
      <x:c r="B689" s="2" t="inlineStr">
        <x:is>
          <x:t xml:space="preserve">Cantrip</x:t>
        </x:is>
      </x:c>
      <x:c r="C689" s="2" t="inlineStr">
        <x:is>
          <x:t xml:space="preserve">Light</x:t>
        </x:is>
      </x:c>
      <x:c r="D689" s="2" t="inlineStr">
        <x:is>
          <x:t xml:space="preserve">Evocation</x:t>
        </x:is>
      </x:c>
      <x:c r="E689" s="2" t="inlineStr">
        <x:is>
          <x:t xml:space="preserve">From spell description class tags</x:t>
        </x:is>
      </x:c>
      <x:c r="F689" s="2" t="inlineStr">
        <x:is>
          <x:t xml:space="preserve">SRD 5.2.1</x:t>
        </x:is>
      </x:c>
    </x:row>
    <x:row r="690" ht="18" customHeight="1">
      <x:c r="A690" s="2" t="inlineStr">
        <x:is>
          <x:t xml:space="preserve">Wizard</x:t>
        </x:is>
      </x:c>
      <x:c r="B690" s="2" t="inlineStr">
        <x:is>
          <x:t xml:space="preserve">Cantrip</x:t>
        </x:is>
      </x:c>
      <x:c r="C690" s="2" t="inlineStr">
        <x:is>
          <x:t xml:space="preserve">Mage Hand</x:t>
        </x:is>
      </x:c>
      <x:c r="D690" s="2" t="inlineStr">
        <x:is>
          <x:t xml:space="preserve">Conjuration</x:t>
        </x:is>
      </x:c>
      <x:c r="E690" s="2" t="inlineStr">
        <x:is>
          <x:t xml:space="preserve">From spell description class tags</x:t>
        </x:is>
      </x:c>
      <x:c r="F690" s="2" t="inlineStr">
        <x:is>
          <x:t xml:space="preserve">SRD 5.2.1</x:t>
        </x:is>
      </x:c>
    </x:row>
    <x:row r="691" ht="18" customHeight="1">
      <x:c r="A691" s="2" t="inlineStr">
        <x:is>
          <x:t xml:space="preserve">Wizard</x:t>
        </x:is>
      </x:c>
      <x:c r="B691" s="2" t="inlineStr">
        <x:is>
          <x:t xml:space="preserve">Cantrip</x:t>
        </x:is>
      </x:c>
      <x:c r="C691" s="2" t="inlineStr">
        <x:is>
          <x:t xml:space="preserve">Minor Illusion</x:t>
        </x:is>
      </x:c>
      <x:c r="D691" s="2" t="inlineStr">
        <x:is>
          <x:t xml:space="preserve">Illusion</x:t>
        </x:is>
      </x:c>
      <x:c r="E691" s="2" t="inlineStr">
        <x:is>
          <x:t xml:space="preserve">From spell description class tags</x:t>
        </x:is>
      </x:c>
      <x:c r="F691" s="2" t="inlineStr">
        <x:is>
          <x:t xml:space="preserve">SRD 5.2.1</x:t>
        </x:is>
      </x:c>
    </x:row>
    <x:row r="692" ht="18" customHeight="1">
      <x:c r="A692" s="2" t="inlineStr">
        <x:is>
          <x:t xml:space="preserve">Wizard</x:t>
        </x:is>
      </x:c>
      <x:c r="B692" s="2" t="inlineStr">
        <x:is>
          <x:t xml:space="preserve">Cantrip</x:t>
        </x:is>
      </x:c>
      <x:c r="C692" s="2" t="inlineStr">
        <x:is>
          <x:t xml:space="preserve">Ray of Frost</x:t>
        </x:is>
      </x:c>
      <x:c r="D692" s="2" t="inlineStr">
        <x:is>
          <x:t xml:space="preserve">Evocation</x:t>
        </x:is>
      </x:c>
      <x:c r="E692" s="2" t="inlineStr">
        <x:is>
          <x:t xml:space="preserve">From spell description class tags</x:t>
        </x:is>
      </x:c>
      <x:c r="F692" s="2" t="inlineStr">
        <x:is>
          <x:t xml:space="preserve">SRD 5.2.1</x:t>
        </x:is>
      </x:c>
    </x:row>
    <x:row r="693" ht="18" customHeight="1">
      <x:c r="A693" s="2" t="inlineStr">
        <x:is>
          <x:t xml:space="preserve">Wizard</x:t>
        </x:is>
      </x:c>
      <x:c r="B693" s="2" t="inlineStr">
        <x:is>
          <x:t xml:space="preserve">Cantrip</x:t>
        </x:is>
      </x:c>
      <x:c r="C693" s="2" t="inlineStr">
        <x:is>
          <x:t xml:space="preserve">Shocking Grasp</x:t>
        </x:is>
      </x:c>
      <x:c r="D693" s="2" t="inlineStr">
        <x:is>
          <x:t xml:space="preserve">Evocation</x:t>
        </x:is>
      </x:c>
      <x:c r="E693" s="2" t="inlineStr">
        <x:is>
          <x:t xml:space="preserve">From spell description class tags</x:t>
        </x:is>
      </x:c>
      <x:c r="F693" s="2" t="inlineStr">
        <x:is>
          <x:t xml:space="preserve">SRD 5.2.1</x:t>
        </x:is>
      </x:c>
    </x:row>
    <x:row r="694" ht="18" customHeight="1">
      <x:c r="A694" s="2" t="inlineStr">
        <x:is>
          <x:t xml:space="preserve">Wizard</x:t>
        </x:is>
      </x:c>
      <x:c r="B694" s="2" t="inlineStr">
        <x:is>
          <x:t xml:space="preserve">Cantrip</x:t>
        </x:is>
      </x:c>
      <x:c r="C694" s="2" t="inlineStr">
        <x:is>
          <x:t xml:space="preserve">True Strike</x:t>
        </x:is>
      </x:c>
      <x:c r="D694" s="2" t="inlineStr">
        <x:is>
          <x:t xml:space="preserve">Divination</x:t>
        </x:is>
      </x:c>
      <x:c r="E694" s="2" t="inlineStr">
        <x:is>
          <x:t xml:space="preserve">From spell description class tags</x:t>
        </x:is>
      </x:c>
      <x:c r="F694" s="2" t="inlineStr">
        <x:is>
          <x:t xml:space="preserve">SRD 5.2.1</x:t>
        </x:is>
      </x:c>
    </x:row>
  </x:sheetData>
  <x:pageMargins left="0.7" right="0.7" top="0.75" bottom="0.75" header="0.3" footer="0.3"/>
</x:worksheet>
</file>

<file path=xl/worksheets/sheet26.xml><?xml version="1.0" encoding="utf-8"?>
<x:worksheet xmlns:x="http://schemas.openxmlformats.org/spreadsheetml/2006/main">
  <x:sheetViews>
    <x:sheetView showGridLines="1" workbookViewId="0"/>
  </x:sheetViews>
  <x:sheetFormatPr baseColWidth="8" defaultRowHeight="15"/>
  <x:cols>
    <x:col min="1" max="1" width="45" customWidth="1"/>
  </x:cols>
  <x:sheetData>
    <x:row r="1" ht="18" customHeight="1">
      <x:c r="A1" s="9" t="inlineStr">
        <x:is>
          <x:t xml:space="preserve">VBA Code Placeholder</x:t>
        </x:is>
      </x:c>
    </x:row>
    <x:row r="2" ht="18" customHeight="1">
      <x:c r="A2" s="2" t="inlineStr">
        <x:is>
          <x:t xml:space="preserve">This .xlsx workbook does not contain executable macros. Convert to .xlsm and attach VBA buttons if macro automation is needed.</x:t>
        </x:is>
      </x:c>
    </x:row>
    <x:row r="3" ht="18" customHeight="1"/>
    <x:row r="4" ht="18" customHeight="1">
      <x:c r="A4" s="2" t="inlineStr">
        <x:is>
          <x:t xml:space="preserve">Suggested macros: GenerateInitiative, NextTurn, NextRound, EndCombatSummaryExport, ResetEncounter.</x:t>
        </x:is>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25" hidden="0" customWidth="1"/>
    <x:col min="2" max="2" width="14" hidden="0" customWidth="1"/>
    <x:col min="3" max="3" width="26" hidden="0" customWidth="1"/>
    <x:col min="4" max="4" width="10" hidden="0" customWidth="1"/>
    <x:col min="5" max="5" width="12" hidden="0" customWidth="1"/>
    <x:col min="6" max="6" width="16" hidden="0" customWidth="1"/>
    <x:col min="7" max="7" width="18" hidden="0" customWidth="1"/>
    <x:col min="8" max="8" width="12" hidden="0" customWidth="1"/>
    <x:col min="9" max="9" width="12" hidden="0" customWidth="1"/>
    <x:col min="10" max="10" width="16" hidden="0" customWidth="1"/>
    <x:col min="11" max="11" width="20" hidden="0" customWidth="1"/>
  </x:cols>
  <x:sheetData>
    <x:row r="1">
      <x:c r="A1" s="116" t="str">
        <x:v>Armor Database</x:v>
      </x:c>
      <x:c r="B1" s="116"/>
      <x:c r="C1" s="116"/>
      <x:c r="D1" s="116"/>
      <x:c r="E1" s="116"/>
      <x:c r="F1" s="116"/>
      <x:c r="G1" s="116"/>
      <x:c r="H1" s="116"/>
      <x:c r="I1" s="116"/>
      <x:c r="J1" s="116"/>
      <x:c r="K1" s="116"/>
    </x:row>
    <x:row r="2">
      <x:c r="A2" s="131" t="str">
        <x:v>Scraped from SRD 5.2.1 Armor table, p. 92. Armor data feeds Players equipment fields and calculated AC.</x:v>
      </x:c>
      <x:c r="B2" s="131"/>
      <x:c r="C2" s="131"/>
      <x:c r="D2" s="131"/>
      <x:c r="E2" s="131"/>
      <x:c r="F2" s="131"/>
      <x:c r="G2" s="131"/>
      <x:c r="H2" s="131"/>
      <x:c r="I2" s="131"/>
      <x:c r="J2" s="131"/>
      <x:c r="K2" s="131"/>
    </x:row>
    <x:row r="3">
      <x:c r="A3" s="122" t="str">
        <x:v>Armor Name</x:v>
      </x:c>
      <x:c r="B3" s="123" t="str">
        <x:v>Category</x:v>
      </x:c>
      <x:c r="C3" s="123" t="str">
        <x:v>Armor Class Text</x:v>
      </x:c>
      <x:c r="D3" s="123" t="str">
        <x:v>Base AC</x:v>
      </x:c>
      <x:c r="E3" s="123" t="str">
        <x:v>Dex Rule</x:v>
      </x:c>
      <x:c r="F3" s="123" t="str">
        <x:v>Strength Required</x:v>
      </x:c>
      <x:c r="G3" s="123" t="str">
        <x:v>Stealth</x:v>
      </x:c>
      <x:c r="H3" s="123" t="str">
        <x:v>Weight</x:v>
      </x:c>
      <x:c r="I3" s="123" t="str">
        <x:v>Cost</x:v>
      </x:c>
      <x:c r="J3" s="123" t="str">
        <x:v>Shield AC Bonus</x:v>
      </x:c>
      <x:c r="K3" s="124" t="str">
        <x:v>Source</x:v>
      </x:c>
    </x:row>
    <x:row r="4">
      <x:c r="A4" s="125" t="str">
        <x:v>Padded Armor</x:v>
      </x:c>
      <x:c r="B4" s="126" t="str">
        <x:v>Light</x:v>
      </x:c>
      <x:c r="C4" s="126" t="str">
        <x:v>11 + Dex modifier</x:v>
      </x:c>
      <x:c r="D4" s="126" t="n">
        <x:v>11</x:v>
      </x:c>
      <x:c r="E4" s="126" t="str">
        <x:v>Full</x:v>
      </x:c>
      <x:c r="F4" s="126"/>
      <x:c r="G4" s="126" t="str">
        <x:v>Disadvantage</x:v>
      </x:c>
      <x:c r="H4" s="126" t="str">
        <x:v>8 lb.</x:v>
      </x:c>
      <x:c r="I4" s="126" t="str">
        <x:v>5 GP</x:v>
      </x:c>
      <x:c r="J4" s="126" t="n">
        <x:v>0</x:v>
      </x:c>
      <x:c r="K4" s="127" t="str">
        <x:v>SRD 5.2.1 p. 92</x:v>
      </x:c>
    </x:row>
    <x:row r="5">
      <x:c r="A5" s="125" t="str">
        <x:v>Leather Armor</x:v>
      </x:c>
      <x:c r="B5" s="126" t="str">
        <x:v>Light</x:v>
      </x:c>
      <x:c r="C5" s="126" t="str">
        <x:v>11 + Dex modifier</x:v>
      </x:c>
      <x:c r="D5" s="126" t="n">
        <x:v>11</x:v>
      </x:c>
      <x:c r="E5" s="126" t="str">
        <x:v>Full</x:v>
      </x:c>
      <x:c r="F5" s="126"/>
      <x:c r="G5" s="126" t="str">
        <x:v>—</x:v>
      </x:c>
      <x:c r="H5" s="126" t="str">
        <x:v>10 lb.</x:v>
      </x:c>
      <x:c r="I5" s="126" t="str">
        <x:v>10 GP</x:v>
      </x:c>
      <x:c r="J5" s="126" t="n">
        <x:v>0</x:v>
      </x:c>
      <x:c r="K5" s="127" t="str">
        <x:v>SRD 5.2.1 p. 92</x:v>
      </x:c>
    </x:row>
    <x:row r="6">
      <x:c r="A6" s="125" t="str">
        <x:v>Studded Leather Armor</x:v>
      </x:c>
      <x:c r="B6" s="126" t="str">
        <x:v>Light</x:v>
      </x:c>
      <x:c r="C6" s="126" t="str">
        <x:v>12 + Dex modifier</x:v>
      </x:c>
      <x:c r="D6" s="126" t="n">
        <x:v>12</x:v>
      </x:c>
      <x:c r="E6" s="126" t="str">
        <x:v>Full</x:v>
      </x:c>
      <x:c r="F6" s="126"/>
      <x:c r="G6" s="126" t="str">
        <x:v>—</x:v>
      </x:c>
      <x:c r="H6" s="126" t="str">
        <x:v>13 lb.</x:v>
      </x:c>
      <x:c r="I6" s="126" t="str">
        <x:v>45 GP</x:v>
      </x:c>
      <x:c r="J6" s="126" t="n">
        <x:v>0</x:v>
      </x:c>
      <x:c r="K6" s="127" t="str">
        <x:v>SRD 5.2.1 p. 92</x:v>
      </x:c>
    </x:row>
    <x:row r="7">
      <x:c r="A7" s="125" t="str">
        <x:v>Hide Armor</x:v>
      </x:c>
      <x:c r="B7" s="126" t="str">
        <x:v>Medium</x:v>
      </x:c>
      <x:c r="C7" s="126" t="str">
        <x:v>12 + Dex modifier (max 2)</x:v>
      </x:c>
      <x:c r="D7" s="126" t="n">
        <x:v>12</x:v>
      </x:c>
      <x:c r="E7" s="126" t="str">
        <x:v>Max 2</x:v>
      </x:c>
      <x:c r="F7" s="126"/>
      <x:c r="G7" s="126" t="str">
        <x:v>—</x:v>
      </x:c>
      <x:c r="H7" s="126" t="str">
        <x:v>12 lb.</x:v>
      </x:c>
      <x:c r="I7" s="126" t="str">
        <x:v>10 GP</x:v>
      </x:c>
      <x:c r="J7" s="126" t="n">
        <x:v>0</x:v>
      </x:c>
      <x:c r="K7" s="127" t="str">
        <x:v>SRD 5.2.1 p. 92</x:v>
      </x:c>
    </x:row>
    <x:row r="8">
      <x:c r="A8" s="125" t="str">
        <x:v>Chain Shirt</x:v>
      </x:c>
      <x:c r="B8" s="126" t="str">
        <x:v>Medium</x:v>
      </x:c>
      <x:c r="C8" s="126" t="str">
        <x:v>13 + Dex modifier (max 2)</x:v>
      </x:c>
      <x:c r="D8" s="126" t="n">
        <x:v>13</x:v>
      </x:c>
      <x:c r="E8" s="126" t="str">
        <x:v>Max 2</x:v>
      </x:c>
      <x:c r="F8" s="126"/>
      <x:c r="G8" s="126" t="str">
        <x:v>—</x:v>
      </x:c>
      <x:c r="H8" s="126" t="str">
        <x:v>20 lb.</x:v>
      </x:c>
      <x:c r="I8" s="126" t="str">
        <x:v>50 GP</x:v>
      </x:c>
      <x:c r="J8" s="126" t="n">
        <x:v>0</x:v>
      </x:c>
      <x:c r="K8" s="127" t="str">
        <x:v>SRD 5.2.1 p. 92</x:v>
      </x:c>
    </x:row>
    <x:row r="9">
      <x:c r="A9" s="125" t="str">
        <x:v>Scale Mail</x:v>
      </x:c>
      <x:c r="B9" s="126" t="str">
        <x:v>Medium</x:v>
      </x:c>
      <x:c r="C9" s="126" t="str">
        <x:v>14 + Dex modifier (max 2)</x:v>
      </x:c>
      <x:c r="D9" s="126" t="n">
        <x:v>14</x:v>
      </x:c>
      <x:c r="E9" s="126" t="str">
        <x:v>Max 2</x:v>
      </x:c>
      <x:c r="F9" s="126"/>
      <x:c r="G9" s="126" t="str">
        <x:v>Disadvantage</x:v>
      </x:c>
      <x:c r="H9" s="126" t="str">
        <x:v>45 lb.</x:v>
      </x:c>
      <x:c r="I9" s="126" t="str">
        <x:v>50 GP</x:v>
      </x:c>
      <x:c r="J9" s="126" t="n">
        <x:v>0</x:v>
      </x:c>
      <x:c r="K9" s="127" t="str">
        <x:v>SRD 5.2.1 p. 92</x:v>
      </x:c>
    </x:row>
    <x:row r="10">
      <x:c r="A10" s="125" t="str">
        <x:v>Breastplate</x:v>
      </x:c>
      <x:c r="B10" s="126" t="str">
        <x:v>Medium</x:v>
      </x:c>
      <x:c r="C10" s="126" t="str">
        <x:v>14 + Dex modifier (max 2)</x:v>
      </x:c>
      <x:c r="D10" s="126" t="n">
        <x:v>14</x:v>
      </x:c>
      <x:c r="E10" s="126" t="str">
        <x:v>Max 2</x:v>
      </x:c>
      <x:c r="F10" s="126"/>
      <x:c r="G10" s="126" t="str">
        <x:v>—</x:v>
      </x:c>
      <x:c r="H10" s="126" t="str">
        <x:v>20 lb.</x:v>
      </x:c>
      <x:c r="I10" s="126" t="str">
        <x:v>400 GP</x:v>
      </x:c>
      <x:c r="J10" s="126" t="n">
        <x:v>0</x:v>
      </x:c>
      <x:c r="K10" s="127" t="str">
        <x:v>SRD 5.2.1 p. 92</x:v>
      </x:c>
    </x:row>
    <x:row r="11">
      <x:c r="A11" s="125" t="str">
        <x:v>Half Plate Armor</x:v>
      </x:c>
      <x:c r="B11" s="126" t="str">
        <x:v>Medium</x:v>
      </x:c>
      <x:c r="C11" s="126" t="str">
        <x:v>15 + Dex modifier (max 2)</x:v>
      </x:c>
      <x:c r="D11" s="126" t="n">
        <x:v>15</x:v>
      </x:c>
      <x:c r="E11" s="126" t="str">
        <x:v>Max 2</x:v>
      </x:c>
      <x:c r="F11" s="126"/>
      <x:c r="G11" s="126" t="str">
        <x:v>Disadvantage</x:v>
      </x:c>
      <x:c r="H11" s="126" t="str">
        <x:v>40 lb.</x:v>
      </x:c>
      <x:c r="I11" s="126" t="str">
        <x:v>750 GP</x:v>
      </x:c>
      <x:c r="J11" s="126" t="n">
        <x:v>0</x:v>
      </x:c>
      <x:c r="K11" s="127" t="str">
        <x:v>SRD 5.2.1 p. 92</x:v>
      </x:c>
    </x:row>
    <x:row r="12">
      <x:c r="A12" s="125" t="str">
        <x:v>Ring Mail</x:v>
      </x:c>
      <x:c r="B12" s="126" t="str">
        <x:v>Heavy</x:v>
      </x:c>
      <x:c r="C12" s="126" t="str">
        <x:v>14</x:v>
      </x:c>
      <x:c r="D12" s="126" t="n">
        <x:v>14</x:v>
      </x:c>
      <x:c r="E12" s="126" t="str">
        <x:v>None</x:v>
      </x:c>
      <x:c r="F12" s="126"/>
      <x:c r="G12" s="126" t="str">
        <x:v>Disadvantage</x:v>
      </x:c>
      <x:c r="H12" s="126" t="str">
        <x:v>40 lb.</x:v>
      </x:c>
      <x:c r="I12" s="126" t="str">
        <x:v>30 GP</x:v>
      </x:c>
      <x:c r="J12" s="126" t="n">
        <x:v>0</x:v>
      </x:c>
      <x:c r="K12" s="127" t="str">
        <x:v>SRD 5.2.1 p. 92</x:v>
      </x:c>
    </x:row>
    <x:row r="13">
      <x:c r="A13" s="125" t="str">
        <x:v>Chain Mail</x:v>
      </x:c>
      <x:c r="B13" s="126" t="str">
        <x:v>Heavy</x:v>
      </x:c>
      <x:c r="C13" s="126" t="str">
        <x:v>16</x:v>
      </x:c>
      <x:c r="D13" s="126" t="n">
        <x:v>16</x:v>
      </x:c>
      <x:c r="E13" s="126" t="str">
        <x:v>None</x:v>
      </x:c>
      <x:c r="F13" s="126" t="n">
        <x:v>13</x:v>
      </x:c>
      <x:c r="G13" s="126" t="str">
        <x:v>Disadvantage</x:v>
      </x:c>
      <x:c r="H13" s="126" t="str">
        <x:v>55 lb.</x:v>
      </x:c>
      <x:c r="I13" s="126" t="str">
        <x:v>75 GP</x:v>
      </x:c>
      <x:c r="J13" s="126" t="n">
        <x:v>0</x:v>
      </x:c>
      <x:c r="K13" s="127" t="str">
        <x:v>SRD 5.2.1 p. 92</x:v>
      </x:c>
    </x:row>
    <x:row r="14">
      <x:c r="A14" s="125" t="str">
        <x:v>Splint Armor</x:v>
      </x:c>
      <x:c r="B14" s="126" t="str">
        <x:v>Heavy</x:v>
      </x:c>
      <x:c r="C14" s="126" t="str">
        <x:v>17</x:v>
      </x:c>
      <x:c r="D14" s="126" t="n">
        <x:v>17</x:v>
      </x:c>
      <x:c r="E14" s="126" t="str">
        <x:v>None</x:v>
      </x:c>
      <x:c r="F14" s="126" t="n">
        <x:v>15</x:v>
      </x:c>
      <x:c r="G14" s="126" t="str">
        <x:v>Disadvantage</x:v>
      </x:c>
      <x:c r="H14" s="126" t="str">
        <x:v>60 lb.</x:v>
      </x:c>
      <x:c r="I14" s="126" t="str">
        <x:v>200 GP</x:v>
      </x:c>
      <x:c r="J14" s="126" t="n">
        <x:v>0</x:v>
      </x:c>
      <x:c r="K14" s="127" t="str">
        <x:v>SRD 5.2.1 p. 92</x:v>
      </x:c>
    </x:row>
    <x:row r="15">
      <x:c r="A15" s="125" t="str">
        <x:v>Plate Armor</x:v>
      </x:c>
      <x:c r="B15" s="126" t="str">
        <x:v>Heavy</x:v>
      </x:c>
      <x:c r="C15" s="126" t="str">
        <x:v>18</x:v>
      </x:c>
      <x:c r="D15" s="126" t="n">
        <x:v>18</x:v>
      </x:c>
      <x:c r="E15" s="126" t="str">
        <x:v>None</x:v>
      </x:c>
      <x:c r="F15" s="126" t="n">
        <x:v>15</x:v>
      </x:c>
      <x:c r="G15" s="126" t="str">
        <x:v>Disadvantage</x:v>
      </x:c>
      <x:c r="H15" s="126" t="str">
        <x:v>65 lb.</x:v>
      </x:c>
      <x:c r="I15" s="126" t="str">
        <x:v>1,500 GP</x:v>
      </x:c>
      <x:c r="J15" s="126" t="n">
        <x:v>0</x:v>
      </x:c>
      <x:c r="K15" s="127" t="str">
        <x:v>SRD 5.2.1 p. 92</x:v>
      </x:c>
    </x:row>
    <x:row r="16">
      <x:c r="A16" s="128" t="str">
        <x:v>Shield</x:v>
      </x:c>
      <x:c r="B16" s="129" t="str">
        <x:v>Shield</x:v>
      </x:c>
      <x:c r="C16" s="129" t="str">
        <x:v>+2</x:v>
      </x:c>
      <x:c r="D16" s="129" t="n">
        <x:v>0</x:v>
      </x:c>
      <x:c r="E16" s="129" t="str">
        <x:v>None</x:v>
      </x:c>
      <x:c r="F16" s="129"/>
      <x:c r="G16" s="129" t="str">
        <x:v>—</x:v>
      </x:c>
      <x:c r="H16" s="129" t="str">
        <x:v>6 lb.</x:v>
      </x:c>
      <x:c r="I16" s="129" t="str">
        <x:v>10 GP</x:v>
      </x:c>
      <x:c r="J16" s="129" t="n">
        <x:v>2</x:v>
      </x:c>
      <x:c r="K16" s="130" t="str">
        <x:v>SRD 5.2.1 p. 92</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24" hidden="0" customWidth="1"/>
    <x:col min="2" max="2" width="18" hidden="0" customWidth="1"/>
    <x:col min="3" max="3" width="13" hidden="0" customWidth="1"/>
    <x:col min="4" max="4" width="14" hidden="0" customWidth="1"/>
    <x:col min="5" max="5" width="42" hidden="0" customWidth="1"/>
    <x:col min="6" max="6" width="14" hidden="0" customWidth="1"/>
    <x:col min="7" max="7" width="14" hidden="0" customWidth="1"/>
    <x:col min="8" max="8" width="14" hidden="0" customWidth="1"/>
    <x:col min="9" max="9" width="10" hidden="0" customWidth="1"/>
    <x:col min="10" max="10" width="10" hidden="0" customWidth="1"/>
    <x:col min="11" max="11" width="20" hidden="0" customWidth="1"/>
  </x:cols>
  <x:sheetData>
    <x:row r="1">
      <x:c r="A1" s="116" t="str">
        <x:v>Weapons Database</x:v>
      </x:c>
      <x:c r="B1" s="116"/>
      <x:c r="C1" s="116"/>
      <x:c r="D1" s="116"/>
      <x:c r="E1" s="116"/>
      <x:c r="F1" s="116"/>
      <x:c r="G1" s="116"/>
      <x:c r="H1" s="116"/>
      <x:c r="I1" s="116"/>
      <x:c r="J1" s="116"/>
      <x:c r="K1" s="116"/>
    </x:row>
    <x:row r="2">
      <x:c r="A2" s="131" t="str">
        <x:v>Scraped from SRD 5.2.1 Weapons table, pp. 90–91. Weapon data feeds Players equipment fields and attack/damage helper fields.</x:v>
      </x:c>
      <x:c r="B2" s="131"/>
      <x:c r="C2" s="131"/>
      <x:c r="D2" s="131"/>
      <x:c r="E2" s="131"/>
      <x:c r="F2" s="131"/>
      <x:c r="G2" s="131"/>
      <x:c r="H2" s="131"/>
      <x:c r="I2" s="131"/>
      <x:c r="J2" s="131"/>
      <x:c r="K2" s="131"/>
    </x:row>
    <x:row r="3">
      <x:c r="A3" s="122" t="str">
        <x:v>Weapon Name</x:v>
      </x:c>
      <x:c r="B3" s="123" t="str">
        <x:v>Category</x:v>
      </x:c>
      <x:c r="C3" s="123" t="str">
        <x:v>Damage Dice</x:v>
      </x:c>
      <x:c r="D3" s="123" t="str">
        <x:v>Damage Type</x:v>
      </x:c>
      <x:c r="E3" s="123" t="str">
        <x:v>Properties</x:v>
      </x:c>
      <x:c r="F3" s="123" t="str">
        <x:v>Mastery</x:v>
      </x:c>
      <x:c r="G3" s="123" t="str">
        <x:v>Attack Type</x:v>
      </x:c>
      <x:c r="H3" s="123" t="str">
        <x:v>Range</x:v>
      </x:c>
      <x:c r="I3" s="123" t="str">
        <x:v>Weight</x:v>
      </x:c>
      <x:c r="J3" s="123" t="str">
        <x:v>Cost</x:v>
      </x:c>
      <x:c r="K3" s="124" t="str">
        <x:v>Source</x:v>
      </x:c>
    </x:row>
    <x:row r="4">
      <x:c r="A4" s="125" t="str">
        <x:v>Club</x:v>
      </x:c>
      <x:c r="B4" s="126" t="str">
        <x:v>Simple Melee</x:v>
      </x:c>
      <x:c r="C4" s="126" t="str">
        <x:v>1d4</x:v>
      </x:c>
      <x:c r="D4" s="126" t="str">
        <x:v>Bludgeoning</x:v>
      </x:c>
      <x:c r="E4" s="126" t="str">
        <x:v>Light</x:v>
      </x:c>
      <x:c r="F4" s="126" t="str">
        <x:v>Slow</x:v>
      </x:c>
      <x:c r="G4" s="126" t="str">
        <x:v>Melee</x:v>
      </x:c>
      <x:c r="H4" s="126" t="str"/>
      <x:c r="I4" s="126" t="str">
        <x:v>2 lb.</x:v>
      </x:c>
      <x:c r="J4" s="126" t="str">
        <x:v>1 SP</x:v>
      </x:c>
      <x:c r="K4" s="127" t="str">
        <x:v>SRD 5.2.1 pp. 90–91</x:v>
      </x:c>
    </x:row>
    <x:row r="5">
      <x:c r="A5" s="125" t="str">
        <x:v>Dagger</x:v>
      </x:c>
      <x:c r="B5" s="126" t="str">
        <x:v>Simple Melee</x:v>
      </x:c>
      <x:c r="C5" s="126" t="str">
        <x:v>1d4</x:v>
      </x:c>
      <x:c r="D5" s="126" t="str">
        <x:v>Piercing</x:v>
      </x:c>
      <x:c r="E5" s="126" t="str">
        <x:v>Finesse, Light, Thrown (Range 20/60)</x:v>
      </x:c>
      <x:c r="F5" s="126" t="str">
        <x:v>Nick</x:v>
      </x:c>
      <x:c r="G5" s="126" t="str">
        <x:v>Melee/Thrown</x:v>
      </x:c>
      <x:c r="H5" s="126" t="str">
        <x:v>20/60</x:v>
      </x:c>
      <x:c r="I5" s="126" t="str">
        <x:v>1 lb.</x:v>
      </x:c>
      <x:c r="J5" s="126" t="str">
        <x:v>2 GP</x:v>
      </x:c>
      <x:c r="K5" s="127" t="str">
        <x:v>SRD 5.2.1 pp. 90–91</x:v>
      </x:c>
    </x:row>
    <x:row r="6">
      <x:c r="A6" s="125" t="str">
        <x:v>Greatclub</x:v>
      </x:c>
      <x:c r="B6" s="126" t="str">
        <x:v>Simple Melee</x:v>
      </x:c>
      <x:c r="C6" s="126" t="str">
        <x:v>1d8</x:v>
      </x:c>
      <x:c r="D6" s="126" t="str">
        <x:v>Bludgeoning</x:v>
      </x:c>
      <x:c r="E6" s="126" t="str">
        <x:v>Two-Handed</x:v>
      </x:c>
      <x:c r="F6" s="126" t="str">
        <x:v>Push</x:v>
      </x:c>
      <x:c r="G6" s="126" t="str">
        <x:v>Melee</x:v>
      </x:c>
      <x:c r="H6" s="126" t="str"/>
      <x:c r="I6" s="126" t="str">
        <x:v>10 lb.</x:v>
      </x:c>
      <x:c r="J6" s="126" t="str">
        <x:v>2 SP</x:v>
      </x:c>
      <x:c r="K6" s="127" t="str">
        <x:v>SRD 5.2.1 pp. 90–91</x:v>
      </x:c>
    </x:row>
    <x:row r="7">
      <x:c r="A7" s="125" t="str">
        <x:v>Handaxe</x:v>
      </x:c>
      <x:c r="B7" s="126" t="str">
        <x:v>Simple Melee</x:v>
      </x:c>
      <x:c r="C7" s="126" t="str">
        <x:v>1d6</x:v>
      </x:c>
      <x:c r="D7" s="126" t="str">
        <x:v>Slashing</x:v>
      </x:c>
      <x:c r="E7" s="126" t="str">
        <x:v>Light, Thrown (Range 20/60)</x:v>
      </x:c>
      <x:c r="F7" s="126" t="str">
        <x:v>Vex</x:v>
      </x:c>
      <x:c r="G7" s="126" t="str">
        <x:v>Melee/Thrown</x:v>
      </x:c>
      <x:c r="H7" s="126" t="str">
        <x:v>20/60</x:v>
      </x:c>
      <x:c r="I7" s="126" t="str">
        <x:v>2 lb.</x:v>
      </x:c>
      <x:c r="J7" s="126" t="str">
        <x:v>5 GP</x:v>
      </x:c>
      <x:c r="K7" s="127" t="str">
        <x:v>SRD 5.2.1 pp. 90–91</x:v>
      </x:c>
    </x:row>
    <x:row r="8">
      <x:c r="A8" s="125" t="str">
        <x:v>Javelin</x:v>
      </x:c>
      <x:c r="B8" s="126" t="str">
        <x:v>Simple Melee</x:v>
      </x:c>
      <x:c r="C8" s="126" t="str">
        <x:v>1d6</x:v>
      </x:c>
      <x:c r="D8" s="126" t="str">
        <x:v>Piercing</x:v>
      </x:c>
      <x:c r="E8" s="126" t="str">
        <x:v>Thrown (Range 30/120)</x:v>
      </x:c>
      <x:c r="F8" s="126" t="str">
        <x:v>Slow</x:v>
      </x:c>
      <x:c r="G8" s="126" t="str">
        <x:v>Melee/Thrown</x:v>
      </x:c>
      <x:c r="H8" s="126" t="str">
        <x:v>30/120</x:v>
      </x:c>
      <x:c r="I8" s="126" t="str">
        <x:v>2 lb.</x:v>
      </x:c>
      <x:c r="J8" s="126" t="str">
        <x:v>5 SP</x:v>
      </x:c>
      <x:c r="K8" s="127" t="str">
        <x:v>SRD 5.2.1 pp. 90–91</x:v>
      </x:c>
    </x:row>
    <x:row r="9">
      <x:c r="A9" s="125" t="str">
        <x:v>Light Hammer</x:v>
      </x:c>
      <x:c r="B9" s="126" t="str">
        <x:v>Simple Melee</x:v>
      </x:c>
      <x:c r="C9" s="126" t="str">
        <x:v>1d4</x:v>
      </x:c>
      <x:c r="D9" s="126" t="str">
        <x:v>Bludgeoning</x:v>
      </x:c>
      <x:c r="E9" s="126" t="str">
        <x:v>Light, Thrown (Range 20/60)</x:v>
      </x:c>
      <x:c r="F9" s="126" t="str">
        <x:v>Nick</x:v>
      </x:c>
      <x:c r="G9" s="126" t="str">
        <x:v>Melee/Thrown</x:v>
      </x:c>
      <x:c r="H9" s="126" t="str">
        <x:v>20/60</x:v>
      </x:c>
      <x:c r="I9" s="126" t="str">
        <x:v>2 lb.</x:v>
      </x:c>
      <x:c r="J9" s="126" t="str">
        <x:v>2 GP</x:v>
      </x:c>
      <x:c r="K9" s="127" t="str">
        <x:v>SRD 5.2.1 pp. 90–91</x:v>
      </x:c>
    </x:row>
    <x:row r="10">
      <x:c r="A10" s="125" t="str">
        <x:v>Mace</x:v>
      </x:c>
      <x:c r="B10" s="126" t="str">
        <x:v>Simple Melee</x:v>
      </x:c>
      <x:c r="C10" s="126" t="str">
        <x:v>1d6</x:v>
      </x:c>
      <x:c r="D10" s="126" t="str">
        <x:v>Bludgeoning</x:v>
      </x:c>
      <x:c r="E10" s="126" t="str">
        <x:v>—</x:v>
      </x:c>
      <x:c r="F10" s="126" t="str">
        <x:v>Sap</x:v>
      </x:c>
      <x:c r="G10" s="126" t="str">
        <x:v>Melee</x:v>
      </x:c>
      <x:c r="H10" s="126" t="str"/>
      <x:c r="I10" s="126" t="str">
        <x:v>4 lb.</x:v>
      </x:c>
      <x:c r="J10" s="126" t="str">
        <x:v>5 GP</x:v>
      </x:c>
      <x:c r="K10" s="127" t="str">
        <x:v>SRD 5.2.1 pp. 90–91</x:v>
      </x:c>
    </x:row>
    <x:row r="11">
      <x:c r="A11" s="125" t="str">
        <x:v>Quarterstaff</x:v>
      </x:c>
      <x:c r="B11" s="126" t="str">
        <x:v>Simple Melee</x:v>
      </x:c>
      <x:c r="C11" s="126" t="str">
        <x:v>1d6</x:v>
      </x:c>
      <x:c r="D11" s="126" t="str">
        <x:v>Bludgeoning</x:v>
      </x:c>
      <x:c r="E11" s="126" t="str">
        <x:v>Versatile (1d8)</x:v>
      </x:c>
      <x:c r="F11" s="126" t="str">
        <x:v>Topple</x:v>
      </x:c>
      <x:c r="G11" s="126" t="str">
        <x:v>Melee</x:v>
      </x:c>
      <x:c r="H11" s="126" t="str"/>
      <x:c r="I11" s="126" t="str">
        <x:v>4 lb.</x:v>
      </x:c>
      <x:c r="J11" s="126" t="str">
        <x:v>2 SP</x:v>
      </x:c>
      <x:c r="K11" s="127" t="str">
        <x:v>SRD 5.2.1 pp. 90–91</x:v>
      </x:c>
    </x:row>
    <x:row r="12">
      <x:c r="A12" s="125" t="str">
        <x:v>Sickle</x:v>
      </x:c>
      <x:c r="B12" s="126" t="str">
        <x:v>Simple Melee</x:v>
      </x:c>
      <x:c r="C12" s="126" t="str">
        <x:v>1d4</x:v>
      </x:c>
      <x:c r="D12" s="126" t="str">
        <x:v>Slashing</x:v>
      </x:c>
      <x:c r="E12" s="126" t="str">
        <x:v>Light</x:v>
      </x:c>
      <x:c r="F12" s="126" t="str">
        <x:v>Nick</x:v>
      </x:c>
      <x:c r="G12" s="126" t="str">
        <x:v>Melee</x:v>
      </x:c>
      <x:c r="H12" s="126" t="str"/>
      <x:c r="I12" s="126" t="str">
        <x:v>2 lb.</x:v>
      </x:c>
      <x:c r="J12" s="126" t="str">
        <x:v>1 GP</x:v>
      </x:c>
      <x:c r="K12" s="127" t="str">
        <x:v>SRD 5.2.1 pp. 90–91</x:v>
      </x:c>
    </x:row>
    <x:row r="13">
      <x:c r="A13" s="125" t="str">
        <x:v>Spear</x:v>
      </x:c>
      <x:c r="B13" s="126" t="str">
        <x:v>Simple Melee</x:v>
      </x:c>
      <x:c r="C13" s="126" t="str">
        <x:v>1d6</x:v>
      </x:c>
      <x:c r="D13" s="126" t="str">
        <x:v>Piercing</x:v>
      </x:c>
      <x:c r="E13" s="126" t="str">
        <x:v>Thrown (Range 20/60), Versatile (1d8)</x:v>
      </x:c>
      <x:c r="F13" s="126" t="str">
        <x:v>Sap</x:v>
      </x:c>
      <x:c r="G13" s="126" t="str">
        <x:v>Melee/Thrown</x:v>
      </x:c>
      <x:c r="H13" s="126" t="str">
        <x:v>20/60</x:v>
      </x:c>
      <x:c r="I13" s="126" t="str">
        <x:v>3 lb.</x:v>
      </x:c>
      <x:c r="J13" s="126" t="str">
        <x:v>1 GP</x:v>
      </x:c>
      <x:c r="K13" s="127" t="str">
        <x:v>SRD 5.2.1 pp. 90–91</x:v>
      </x:c>
    </x:row>
    <x:row r="14">
      <x:c r="A14" s="125" t="str">
        <x:v>Dart</x:v>
      </x:c>
      <x:c r="B14" s="126" t="str">
        <x:v>Simple Ranged</x:v>
      </x:c>
      <x:c r="C14" s="126" t="str">
        <x:v>1d4</x:v>
      </x:c>
      <x:c r="D14" s="126" t="str">
        <x:v>Piercing</x:v>
      </x:c>
      <x:c r="E14" s="126" t="str">
        <x:v>Finesse, Thrown (Range 20/60)</x:v>
      </x:c>
      <x:c r="F14" s="126" t="str">
        <x:v>Vex</x:v>
      </x:c>
      <x:c r="G14" s="126" t="str">
        <x:v>Ranged/Thrown</x:v>
      </x:c>
      <x:c r="H14" s="126" t="str">
        <x:v>20/60</x:v>
      </x:c>
      <x:c r="I14" s="126" t="str">
        <x:v>1/4 lb.</x:v>
      </x:c>
      <x:c r="J14" s="126" t="str">
        <x:v>5 CP</x:v>
      </x:c>
      <x:c r="K14" s="127" t="str">
        <x:v>SRD 5.2.1 pp. 90–91</x:v>
      </x:c>
    </x:row>
    <x:row r="15">
      <x:c r="A15" s="125" t="str">
        <x:v>Light Crossbow</x:v>
      </x:c>
      <x:c r="B15" s="126" t="str">
        <x:v>Simple Ranged</x:v>
      </x:c>
      <x:c r="C15" s="126" t="str">
        <x:v>1d8</x:v>
      </x:c>
      <x:c r="D15" s="126" t="str">
        <x:v>Piercing</x:v>
      </x:c>
      <x:c r="E15" s="126" t="str">
        <x:v>Ammunition (Range 80/320; Bolt), Loading, Two-Handed</x:v>
      </x:c>
      <x:c r="F15" s="126" t="str">
        <x:v>Slow</x:v>
      </x:c>
      <x:c r="G15" s="126" t="str">
        <x:v>Ranged</x:v>
      </x:c>
      <x:c r="H15" s="126" t="str">
        <x:v>80/320</x:v>
      </x:c>
      <x:c r="I15" s="126" t="str">
        <x:v>5 lb.</x:v>
      </x:c>
      <x:c r="J15" s="126" t="str">
        <x:v>25 GP</x:v>
      </x:c>
      <x:c r="K15" s="127" t="str">
        <x:v>SRD 5.2.1 pp. 90–91</x:v>
      </x:c>
    </x:row>
    <x:row r="16">
      <x:c r="A16" s="125" t="str">
        <x:v>Shortbow</x:v>
      </x:c>
      <x:c r="B16" s="126" t="str">
        <x:v>Simple Ranged</x:v>
      </x:c>
      <x:c r="C16" s="126" t="str">
        <x:v>1d6</x:v>
      </x:c>
      <x:c r="D16" s="126" t="str">
        <x:v>Piercing</x:v>
      </x:c>
      <x:c r="E16" s="126" t="str">
        <x:v>Ammunition (Range 80/320; Arrow), Two-Handed</x:v>
      </x:c>
      <x:c r="F16" s="126" t="str">
        <x:v>Vex</x:v>
      </x:c>
      <x:c r="G16" s="126" t="str">
        <x:v>Ranged</x:v>
      </x:c>
      <x:c r="H16" s="126" t="str">
        <x:v>80/320</x:v>
      </x:c>
      <x:c r="I16" s="126" t="str">
        <x:v>2 lb.</x:v>
      </x:c>
      <x:c r="J16" s="126" t="str">
        <x:v>25 GP</x:v>
      </x:c>
      <x:c r="K16" s="127" t="str">
        <x:v>SRD 5.2.1 pp. 90–91</x:v>
      </x:c>
    </x:row>
    <x:row r="17">
      <x:c r="A17" s="125" t="str">
        <x:v>Sling</x:v>
      </x:c>
      <x:c r="B17" s="126" t="str">
        <x:v>Simple Ranged</x:v>
      </x:c>
      <x:c r="C17" s="126" t="str">
        <x:v>1d4</x:v>
      </x:c>
      <x:c r="D17" s="126" t="str">
        <x:v>Bludgeoning</x:v>
      </x:c>
      <x:c r="E17" s="126" t="str">
        <x:v>Ammunition (Range 30/120; Bullet)</x:v>
      </x:c>
      <x:c r="F17" s="126" t="str">
        <x:v>Slow</x:v>
      </x:c>
      <x:c r="G17" s="126" t="str">
        <x:v>Ranged</x:v>
      </x:c>
      <x:c r="H17" s="126" t="str">
        <x:v>30/120</x:v>
      </x:c>
      <x:c r="I17" s="126" t="str">
        <x:v>—</x:v>
      </x:c>
      <x:c r="J17" s="126" t="str">
        <x:v>1 SP</x:v>
      </x:c>
      <x:c r="K17" s="127" t="str">
        <x:v>SRD 5.2.1 pp. 90–91</x:v>
      </x:c>
    </x:row>
    <x:row r="18">
      <x:c r="A18" s="125" t="str">
        <x:v>Battleaxe</x:v>
      </x:c>
      <x:c r="B18" s="126" t="str">
        <x:v>Martial Melee</x:v>
      </x:c>
      <x:c r="C18" s="126" t="str">
        <x:v>1d8</x:v>
      </x:c>
      <x:c r="D18" s="126" t="str">
        <x:v>Slashing</x:v>
      </x:c>
      <x:c r="E18" s="126" t="str">
        <x:v>Versatile (1d10)</x:v>
      </x:c>
      <x:c r="F18" s="126" t="str">
        <x:v>Topple</x:v>
      </x:c>
      <x:c r="G18" s="126" t="str">
        <x:v>Melee</x:v>
      </x:c>
      <x:c r="H18" s="126" t="str"/>
      <x:c r="I18" s="126" t="str">
        <x:v>4 lb.</x:v>
      </x:c>
      <x:c r="J18" s="126" t="str">
        <x:v>10 GP</x:v>
      </x:c>
      <x:c r="K18" s="127" t="str">
        <x:v>SRD 5.2.1 pp. 90–91</x:v>
      </x:c>
    </x:row>
    <x:row r="19">
      <x:c r="A19" s="125" t="str">
        <x:v>Flail</x:v>
      </x:c>
      <x:c r="B19" s="126" t="str">
        <x:v>Martial Melee</x:v>
      </x:c>
      <x:c r="C19" s="126" t="str">
        <x:v>1d8</x:v>
      </x:c>
      <x:c r="D19" s="126" t="str">
        <x:v>Bludgeoning</x:v>
      </x:c>
      <x:c r="E19" s="126" t="str">
        <x:v>—</x:v>
      </x:c>
      <x:c r="F19" s="126" t="str">
        <x:v>Sap</x:v>
      </x:c>
      <x:c r="G19" s="126" t="str">
        <x:v>Melee</x:v>
      </x:c>
      <x:c r="H19" s="126" t="str"/>
      <x:c r="I19" s="126" t="str">
        <x:v>2 lb.</x:v>
      </x:c>
      <x:c r="J19" s="126" t="str">
        <x:v>10 GP</x:v>
      </x:c>
      <x:c r="K19" s="127" t="str">
        <x:v>SRD 5.2.1 pp. 90–91</x:v>
      </x:c>
    </x:row>
    <x:row r="20">
      <x:c r="A20" s="125" t="str">
        <x:v>Glaive</x:v>
      </x:c>
      <x:c r="B20" s="126" t="str">
        <x:v>Martial Melee</x:v>
      </x:c>
      <x:c r="C20" s="126" t="str">
        <x:v>1d10</x:v>
      </x:c>
      <x:c r="D20" s="126" t="str">
        <x:v>Slashing</x:v>
      </x:c>
      <x:c r="E20" s="126" t="str">
        <x:v>Heavy, Reach, Two-Handed</x:v>
      </x:c>
      <x:c r="F20" s="126" t="str">
        <x:v>Graze</x:v>
      </x:c>
      <x:c r="G20" s="126" t="str">
        <x:v>Melee</x:v>
      </x:c>
      <x:c r="H20" s="126" t="str"/>
      <x:c r="I20" s="126" t="str">
        <x:v>6 lb.</x:v>
      </x:c>
      <x:c r="J20" s="126" t="str">
        <x:v>20 GP</x:v>
      </x:c>
      <x:c r="K20" s="127" t="str">
        <x:v>SRD 5.2.1 pp. 90–91</x:v>
      </x:c>
    </x:row>
    <x:row r="21">
      <x:c r="A21" s="125" t="str">
        <x:v>Greataxe</x:v>
      </x:c>
      <x:c r="B21" s="126" t="str">
        <x:v>Martial Melee</x:v>
      </x:c>
      <x:c r="C21" s="126" t="str">
        <x:v>1d12</x:v>
      </x:c>
      <x:c r="D21" s="126" t="str">
        <x:v>Slashing</x:v>
      </x:c>
      <x:c r="E21" s="126" t="str">
        <x:v>Heavy, Two-Handed</x:v>
      </x:c>
      <x:c r="F21" s="126" t="str">
        <x:v>Cleave</x:v>
      </x:c>
      <x:c r="G21" s="126" t="str">
        <x:v>Melee</x:v>
      </x:c>
      <x:c r="H21" s="126" t="str"/>
      <x:c r="I21" s="126" t="str">
        <x:v>7 lb.</x:v>
      </x:c>
      <x:c r="J21" s="126" t="str">
        <x:v>30 GP</x:v>
      </x:c>
      <x:c r="K21" s="127" t="str">
        <x:v>SRD 5.2.1 pp. 90–91</x:v>
      </x:c>
    </x:row>
    <x:row r="22">
      <x:c r="A22" s="125" t="str">
        <x:v>Greatsword</x:v>
      </x:c>
      <x:c r="B22" s="126" t="str">
        <x:v>Martial Melee</x:v>
      </x:c>
      <x:c r="C22" s="126" t="str">
        <x:v>2d6</x:v>
      </x:c>
      <x:c r="D22" s="126" t="str">
        <x:v>Slashing</x:v>
      </x:c>
      <x:c r="E22" s="126" t="str">
        <x:v>Heavy, Two-Handed</x:v>
      </x:c>
      <x:c r="F22" s="126" t="str">
        <x:v>Graze</x:v>
      </x:c>
      <x:c r="G22" s="126" t="str">
        <x:v>Melee</x:v>
      </x:c>
      <x:c r="H22" s="126" t="str"/>
      <x:c r="I22" s="126" t="str">
        <x:v>6 lb.</x:v>
      </x:c>
      <x:c r="J22" s="126" t="str">
        <x:v>50 GP</x:v>
      </x:c>
      <x:c r="K22" s="127" t="str">
        <x:v>SRD 5.2.1 pp. 90–91</x:v>
      </x:c>
    </x:row>
    <x:row r="23">
      <x:c r="A23" s="125" t="str">
        <x:v>Halberd</x:v>
      </x:c>
      <x:c r="B23" s="126" t="str">
        <x:v>Martial Melee</x:v>
      </x:c>
      <x:c r="C23" s="126" t="str">
        <x:v>1d10</x:v>
      </x:c>
      <x:c r="D23" s="126" t="str">
        <x:v>Slashing</x:v>
      </x:c>
      <x:c r="E23" s="126" t="str">
        <x:v>Heavy, Reach, Two-Handed</x:v>
      </x:c>
      <x:c r="F23" s="126" t="str">
        <x:v>Cleave</x:v>
      </x:c>
      <x:c r="G23" s="126" t="str">
        <x:v>Melee</x:v>
      </x:c>
      <x:c r="H23" s="126" t="str"/>
      <x:c r="I23" s="126" t="str">
        <x:v>6 lb.</x:v>
      </x:c>
      <x:c r="J23" s="126" t="str">
        <x:v>20 GP</x:v>
      </x:c>
      <x:c r="K23" s="127" t="str">
        <x:v>SRD 5.2.1 pp. 90–91</x:v>
      </x:c>
    </x:row>
    <x:row r="24">
      <x:c r="A24" s="125" t="str">
        <x:v>Lance</x:v>
      </x:c>
      <x:c r="B24" s="126" t="str">
        <x:v>Martial Melee</x:v>
      </x:c>
      <x:c r="C24" s="126" t="str">
        <x:v>1d10</x:v>
      </x:c>
      <x:c r="D24" s="126" t="str">
        <x:v>Piercing</x:v>
      </x:c>
      <x:c r="E24" s="126" t="str">
        <x:v>Heavy, Reach, Two-Handed (unless mounted)</x:v>
      </x:c>
      <x:c r="F24" s="126" t="str">
        <x:v>Topple</x:v>
      </x:c>
      <x:c r="G24" s="126" t="str">
        <x:v>Melee</x:v>
      </x:c>
      <x:c r="H24" s="126" t="str"/>
      <x:c r="I24" s="126" t="str">
        <x:v>6 lb.</x:v>
      </x:c>
      <x:c r="J24" s="126" t="str">
        <x:v>10 GP</x:v>
      </x:c>
      <x:c r="K24" s="127" t="str">
        <x:v>SRD 5.2.1 pp. 90–91</x:v>
      </x:c>
    </x:row>
    <x:row r="25">
      <x:c r="A25" s="125" t="str">
        <x:v>Longsword</x:v>
      </x:c>
      <x:c r="B25" s="126" t="str">
        <x:v>Martial Melee</x:v>
      </x:c>
      <x:c r="C25" s="126" t="str">
        <x:v>1d8</x:v>
      </x:c>
      <x:c r="D25" s="126" t="str">
        <x:v>Slashing</x:v>
      </x:c>
      <x:c r="E25" s="126" t="str">
        <x:v>Versatile (1d10)</x:v>
      </x:c>
      <x:c r="F25" s="126" t="str">
        <x:v>Sap</x:v>
      </x:c>
      <x:c r="G25" s="126" t="str">
        <x:v>Melee</x:v>
      </x:c>
      <x:c r="H25" s="126" t="str"/>
      <x:c r="I25" s="126" t="str">
        <x:v>3 lb.</x:v>
      </x:c>
      <x:c r="J25" s="126" t="str">
        <x:v>15 GP</x:v>
      </x:c>
      <x:c r="K25" s="127" t="str">
        <x:v>SRD 5.2.1 pp. 90–91</x:v>
      </x:c>
    </x:row>
    <x:row r="26">
      <x:c r="A26" s="125" t="str">
        <x:v>Maul</x:v>
      </x:c>
      <x:c r="B26" s="126" t="str">
        <x:v>Martial Melee</x:v>
      </x:c>
      <x:c r="C26" s="126" t="str">
        <x:v>2d6</x:v>
      </x:c>
      <x:c r="D26" s="126" t="str">
        <x:v>Bludgeoning</x:v>
      </x:c>
      <x:c r="E26" s="126" t="str">
        <x:v>Heavy, Two-Handed</x:v>
      </x:c>
      <x:c r="F26" s="126" t="str">
        <x:v>Topple</x:v>
      </x:c>
      <x:c r="G26" s="126" t="str">
        <x:v>Melee</x:v>
      </x:c>
      <x:c r="H26" s="126" t="str"/>
      <x:c r="I26" s="126" t="str">
        <x:v>10 lb.</x:v>
      </x:c>
      <x:c r="J26" s="126" t="str">
        <x:v>10 GP</x:v>
      </x:c>
      <x:c r="K26" s="127" t="str">
        <x:v>SRD 5.2.1 pp. 90–91</x:v>
      </x:c>
    </x:row>
    <x:row r="27">
      <x:c r="A27" s="125" t="str">
        <x:v>Morningstar</x:v>
      </x:c>
      <x:c r="B27" s="126" t="str">
        <x:v>Martial Melee</x:v>
      </x:c>
      <x:c r="C27" s="126" t="str">
        <x:v>1d8</x:v>
      </x:c>
      <x:c r="D27" s="126" t="str">
        <x:v>Piercing</x:v>
      </x:c>
      <x:c r="E27" s="126" t="str">
        <x:v>—</x:v>
      </x:c>
      <x:c r="F27" s="126" t="str">
        <x:v>Sap</x:v>
      </x:c>
      <x:c r="G27" s="126" t="str">
        <x:v>Melee</x:v>
      </x:c>
      <x:c r="H27" s="126" t="str"/>
      <x:c r="I27" s="126" t="str">
        <x:v>4 lb.</x:v>
      </x:c>
      <x:c r="J27" s="126" t="str">
        <x:v>15 GP</x:v>
      </x:c>
      <x:c r="K27" s="127" t="str">
        <x:v>SRD 5.2.1 pp. 90–91</x:v>
      </x:c>
    </x:row>
    <x:row r="28">
      <x:c r="A28" s="125" t="str">
        <x:v>Pike</x:v>
      </x:c>
      <x:c r="B28" s="126" t="str">
        <x:v>Martial Melee</x:v>
      </x:c>
      <x:c r="C28" s="126" t="str">
        <x:v>1d10</x:v>
      </x:c>
      <x:c r="D28" s="126" t="str">
        <x:v>Piercing</x:v>
      </x:c>
      <x:c r="E28" s="126" t="str">
        <x:v>Heavy, Reach, Two-Handed</x:v>
      </x:c>
      <x:c r="F28" s="126" t="str">
        <x:v>Push</x:v>
      </x:c>
      <x:c r="G28" s="126" t="str">
        <x:v>Melee</x:v>
      </x:c>
      <x:c r="H28" s="126" t="str"/>
      <x:c r="I28" s="126" t="str">
        <x:v>18 lb.</x:v>
      </x:c>
      <x:c r="J28" s="126" t="str">
        <x:v>5 GP</x:v>
      </x:c>
      <x:c r="K28" s="127" t="str">
        <x:v>SRD 5.2.1 pp. 90–91</x:v>
      </x:c>
    </x:row>
    <x:row r="29">
      <x:c r="A29" s="125" t="str">
        <x:v>Rapier</x:v>
      </x:c>
      <x:c r="B29" s="126" t="str">
        <x:v>Martial Melee</x:v>
      </x:c>
      <x:c r="C29" s="126" t="str">
        <x:v>1d8</x:v>
      </x:c>
      <x:c r="D29" s="126" t="str">
        <x:v>Piercing</x:v>
      </x:c>
      <x:c r="E29" s="126" t="str">
        <x:v>Finesse</x:v>
      </x:c>
      <x:c r="F29" s="126" t="str">
        <x:v>Vex</x:v>
      </x:c>
      <x:c r="G29" s="126" t="str">
        <x:v>Melee</x:v>
      </x:c>
      <x:c r="H29" s="126" t="str"/>
      <x:c r="I29" s="126" t="str">
        <x:v>2 lb.</x:v>
      </x:c>
      <x:c r="J29" s="126" t="str">
        <x:v>25 GP</x:v>
      </x:c>
      <x:c r="K29" s="127" t="str">
        <x:v>SRD 5.2.1 pp. 90–91</x:v>
      </x:c>
    </x:row>
    <x:row r="30">
      <x:c r="A30" s="125" t="str">
        <x:v>Scimitar</x:v>
      </x:c>
      <x:c r="B30" s="126" t="str">
        <x:v>Martial Melee</x:v>
      </x:c>
      <x:c r="C30" s="126" t="str">
        <x:v>1d6</x:v>
      </x:c>
      <x:c r="D30" s="126" t="str">
        <x:v>Slashing</x:v>
      </x:c>
      <x:c r="E30" s="126" t="str">
        <x:v>Finesse, Light</x:v>
      </x:c>
      <x:c r="F30" s="126" t="str">
        <x:v>Nick</x:v>
      </x:c>
      <x:c r="G30" s="126" t="str">
        <x:v>Melee</x:v>
      </x:c>
      <x:c r="H30" s="126" t="str"/>
      <x:c r="I30" s="126" t="str">
        <x:v>3 lb.</x:v>
      </x:c>
      <x:c r="J30" s="126" t="str">
        <x:v>25 GP</x:v>
      </x:c>
      <x:c r="K30" s="127" t="str">
        <x:v>SRD 5.2.1 pp. 90–91</x:v>
      </x:c>
    </x:row>
    <x:row r="31">
      <x:c r="A31" s="125" t="str">
        <x:v>Shortsword</x:v>
      </x:c>
      <x:c r="B31" s="126" t="str">
        <x:v>Martial Melee</x:v>
      </x:c>
      <x:c r="C31" s="126" t="str">
        <x:v>1d6</x:v>
      </x:c>
      <x:c r="D31" s="126" t="str">
        <x:v>Piercing</x:v>
      </x:c>
      <x:c r="E31" s="126" t="str">
        <x:v>Finesse, Light</x:v>
      </x:c>
      <x:c r="F31" s="126" t="str">
        <x:v>Vex</x:v>
      </x:c>
      <x:c r="G31" s="126" t="str">
        <x:v>Melee</x:v>
      </x:c>
      <x:c r="H31" s="126" t="str"/>
      <x:c r="I31" s="126" t="str">
        <x:v>2 lb.</x:v>
      </x:c>
      <x:c r="J31" s="126" t="str">
        <x:v>10 GP</x:v>
      </x:c>
      <x:c r="K31" s="127" t="str">
        <x:v>SRD 5.2.1 pp. 90–91</x:v>
      </x:c>
    </x:row>
    <x:row r="32">
      <x:c r="A32" s="125" t="str">
        <x:v>Trident</x:v>
      </x:c>
      <x:c r="B32" s="126" t="str">
        <x:v>Martial Melee</x:v>
      </x:c>
      <x:c r="C32" s="126" t="str">
        <x:v>1d8</x:v>
      </x:c>
      <x:c r="D32" s="126" t="str">
        <x:v>Piercing</x:v>
      </x:c>
      <x:c r="E32" s="126" t="str">
        <x:v>Thrown (Range 20/60), Versatile (1d10)</x:v>
      </x:c>
      <x:c r="F32" s="126" t="str">
        <x:v>Topple</x:v>
      </x:c>
      <x:c r="G32" s="126" t="str">
        <x:v>Melee/Thrown</x:v>
      </x:c>
      <x:c r="H32" s="126" t="str">
        <x:v>20/60</x:v>
      </x:c>
      <x:c r="I32" s="126" t="str">
        <x:v>4 lb.</x:v>
      </x:c>
      <x:c r="J32" s="126" t="str">
        <x:v>5 GP</x:v>
      </x:c>
      <x:c r="K32" s="127" t="str">
        <x:v>SRD 5.2.1 pp. 90–91</x:v>
      </x:c>
    </x:row>
    <x:row r="33">
      <x:c r="A33" s="125" t="str">
        <x:v>Warhammer</x:v>
      </x:c>
      <x:c r="B33" s="126" t="str">
        <x:v>Martial Melee</x:v>
      </x:c>
      <x:c r="C33" s="126" t="str">
        <x:v>1d8</x:v>
      </x:c>
      <x:c r="D33" s="126" t="str">
        <x:v>Bludgeoning</x:v>
      </x:c>
      <x:c r="E33" s="126" t="str">
        <x:v>Versatile (1d10)</x:v>
      </x:c>
      <x:c r="F33" s="126" t="str">
        <x:v>Push</x:v>
      </x:c>
      <x:c r="G33" s="126" t="str">
        <x:v>Melee</x:v>
      </x:c>
      <x:c r="H33" s="126" t="str"/>
      <x:c r="I33" s="126" t="str">
        <x:v>5 lb.</x:v>
      </x:c>
      <x:c r="J33" s="126" t="str">
        <x:v>15 GP</x:v>
      </x:c>
      <x:c r="K33" s="127" t="str">
        <x:v>SRD 5.2.1 pp. 90–91</x:v>
      </x:c>
    </x:row>
    <x:row r="34">
      <x:c r="A34" s="125" t="str">
        <x:v>War Pick</x:v>
      </x:c>
      <x:c r="B34" s="126" t="str">
        <x:v>Martial Melee</x:v>
      </x:c>
      <x:c r="C34" s="126" t="str">
        <x:v>1d8</x:v>
      </x:c>
      <x:c r="D34" s="126" t="str">
        <x:v>Piercing</x:v>
      </x:c>
      <x:c r="E34" s="126" t="str">
        <x:v>Versatile (1d10)</x:v>
      </x:c>
      <x:c r="F34" s="126" t="str">
        <x:v>Sap</x:v>
      </x:c>
      <x:c r="G34" s="126" t="str">
        <x:v>Melee</x:v>
      </x:c>
      <x:c r="H34" s="126" t="str"/>
      <x:c r="I34" s="126" t="str">
        <x:v>2 lb.</x:v>
      </x:c>
      <x:c r="J34" s="126" t="str">
        <x:v>5 GP</x:v>
      </x:c>
      <x:c r="K34" s="127" t="str">
        <x:v>SRD 5.2.1 pp. 90–91</x:v>
      </x:c>
    </x:row>
    <x:row r="35">
      <x:c r="A35" s="125" t="str">
        <x:v>Whip</x:v>
      </x:c>
      <x:c r="B35" s="126" t="str">
        <x:v>Martial Melee</x:v>
      </x:c>
      <x:c r="C35" s="126" t="str">
        <x:v>1d4</x:v>
      </x:c>
      <x:c r="D35" s="126" t="str">
        <x:v>Slashing</x:v>
      </x:c>
      <x:c r="E35" s="126" t="str">
        <x:v>Finesse, Reach</x:v>
      </x:c>
      <x:c r="F35" s="126" t="str">
        <x:v>Slow</x:v>
      </x:c>
      <x:c r="G35" s="126" t="str">
        <x:v>Melee</x:v>
      </x:c>
      <x:c r="H35" s="126" t="str"/>
      <x:c r="I35" s="126" t="str">
        <x:v>3 lb.</x:v>
      </x:c>
      <x:c r="J35" s="126" t="str">
        <x:v>2 GP</x:v>
      </x:c>
      <x:c r="K35" s="127" t="str">
        <x:v>SRD 5.2.1 pp. 90–91</x:v>
      </x:c>
    </x:row>
    <x:row r="36">
      <x:c r="A36" s="125" t="str">
        <x:v>Blowgun</x:v>
      </x:c>
      <x:c r="B36" s="126" t="str">
        <x:v>Martial Ranged</x:v>
      </x:c>
      <x:c r="C36" s="126" t="str">
        <x:v>1</x:v>
      </x:c>
      <x:c r="D36" s="126" t="str">
        <x:v>Piercing</x:v>
      </x:c>
      <x:c r="E36" s="126" t="str">
        <x:v>Ammunition (Range 25/100; Needle), Loading</x:v>
      </x:c>
      <x:c r="F36" s="126" t="str">
        <x:v>Vex</x:v>
      </x:c>
      <x:c r="G36" s="126" t="str">
        <x:v>Ranged</x:v>
      </x:c>
      <x:c r="H36" s="126" t="str">
        <x:v>25/100</x:v>
      </x:c>
      <x:c r="I36" s="126" t="str">
        <x:v>1 lb.</x:v>
      </x:c>
      <x:c r="J36" s="126" t="str">
        <x:v>10 GP</x:v>
      </x:c>
      <x:c r="K36" s="127" t="str">
        <x:v>SRD 5.2.1 pp. 90–91</x:v>
      </x:c>
    </x:row>
    <x:row r="37">
      <x:c r="A37" s="125" t="str">
        <x:v>Hand Crossbow</x:v>
      </x:c>
      <x:c r="B37" s="126" t="str">
        <x:v>Martial Ranged</x:v>
      </x:c>
      <x:c r="C37" s="126" t="str">
        <x:v>1d6</x:v>
      </x:c>
      <x:c r="D37" s="126" t="str">
        <x:v>Piercing</x:v>
      </x:c>
      <x:c r="E37" s="126" t="str">
        <x:v>Ammunition (Range 30/120; Bolt), Light, Loading</x:v>
      </x:c>
      <x:c r="F37" s="126" t="str">
        <x:v>Vex</x:v>
      </x:c>
      <x:c r="G37" s="126" t="str">
        <x:v>Ranged</x:v>
      </x:c>
      <x:c r="H37" s="126" t="str">
        <x:v>30/120</x:v>
      </x:c>
      <x:c r="I37" s="126" t="str">
        <x:v>3 lb.</x:v>
      </x:c>
      <x:c r="J37" s="126" t="str">
        <x:v>75 GP</x:v>
      </x:c>
      <x:c r="K37" s="127" t="str">
        <x:v>SRD 5.2.1 pp. 90–91</x:v>
      </x:c>
    </x:row>
    <x:row r="38">
      <x:c r="A38" s="125" t="str">
        <x:v>Heavy Crossbow</x:v>
      </x:c>
      <x:c r="B38" s="126" t="str">
        <x:v>Martial Ranged</x:v>
      </x:c>
      <x:c r="C38" s="126" t="str">
        <x:v>1d10</x:v>
      </x:c>
      <x:c r="D38" s="126" t="str">
        <x:v>Piercing</x:v>
      </x:c>
      <x:c r="E38" s="126" t="str">
        <x:v>Ammunition (Range 100/400; Bolt), Heavy, Loading, Two-Handed</x:v>
      </x:c>
      <x:c r="F38" s="126" t="str">
        <x:v>Push</x:v>
      </x:c>
      <x:c r="G38" s="126" t="str">
        <x:v>Ranged</x:v>
      </x:c>
      <x:c r="H38" s="126" t="str">
        <x:v>100/400</x:v>
      </x:c>
      <x:c r="I38" s="126" t="str">
        <x:v>18 lb.</x:v>
      </x:c>
      <x:c r="J38" s="126" t="str">
        <x:v>50 GP</x:v>
      </x:c>
      <x:c r="K38" s="127" t="str">
        <x:v>SRD 5.2.1 pp. 90–91</x:v>
      </x:c>
    </x:row>
    <x:row r="39">
      <x:c r="A39" s="125" t="str">
        <x:v>Longbow</x:v>
      </x:c>
      <x:c r="B39" s="126" t="str">
        <x:v>Martial Ranged</x:v>
      </x:c>
      <x:c r="C39" s="126" t="str">
        <x:v>1d8</x:v>
      </x:c>
      <x:c r="D39" s="126" t="str">
        <x:v>Piercing</x:v>
      </x:c>
      <x:c r="E39" s="126" t="str">
        <x:v>Ammunition (Range 150/600; Arrow), Heavy, Two-Handed</x:v>
      </x:c>
      <x:c r="F39" s="126" t="str">
        <x:v>Slow</x:v>
      </x:c>
      <x:c r="G39" s="126" t="str">
        <x:v>Ranged</x:v>
      </x:c>
      <x:c r="H39" s="126" t="str">
        <x:v>150/600</x:v>
      </x:c>
      <x:c r="I39" s="126" t="str">
        <x:v>2 lb.</x:v>
      </x:c>
      <x:c r="J39" s="126" t="str">
        <x:v>50 GP</x:v>
      </x:c>
      <x:c r="K39" s="127" t="str">
        <x:v>SRD 5.2.1 pp. 90–91</x:v>
      </x:c>
    </x:row>
    <x:row r="40">
      <x:c r="A40" s="125" t="str">
        <x:v>Musket</x:v>
      </x:c>
      <x:c r="B40" s="126" t="str">
        <x:v>Martial Ranged</x:v>
      </x:c>
      <x:c r="C40" s="126" t="str">
        <x:v>1d12</x:v>
      </x:c>
      <x:c r="D40" s="126" t="str">
        <x:v>Piercing</x:v>
      </x:c>
      <x:c r="E40" s="126" t="str">
        <x:v>Ammunition (Range 40/120; Bullet), Loading, Two-Handed</x:v>
      </x:c>
      <x:c r="F40" s="126" t="str">
        <x:v>Slow</x:v>
      </x:c>
      <x:c r="G40" s="126" t="str">
        <x:v>Ranged</x:v>
      </x:c>
      <x:c r="H40" s="126" t="str">
        <x:v>40/120</x:v>
      </x:c>
      <x:c r="I40" s="126" t="str">
        <x:v>10 lb.</x:v>
      </x:c>
      <x:c r="J40" s="126" t="str">
        <x:v>500 GP</x:v>
      </x:c>
      <x:c r="K40" s="127" t="str">
        <x:v>SRD 5.2.1 pp. 90–91</x:v>
      </x:c>
    </x:row>
    <x:row r="41">
      <x:c r="A41" s="128" t="str">
        <x:v>Pistol</x:v>
      </x:c>
      <x:c r="B41" s="129" t="str">
        <x:v>Martial Ranged</x:v>
      </x:c>
      <x:c r="C41" s="129" t="str">
        <x:v>1d10</x:v>
      </x:c>
      <x:c r="D41" s="129" t="str">
        <x:v>Piercing</x:v>
      </x:c>
      <x:c r="E41" s="129" t="str">
        <x:v>Ammunition (Range 30/90; Bullet), Loading</x:v>
      </x:c>
      <x:c r="F41" s="129" t="str">
        <x:v>Vex</x:v>
      </x:c>
      <x:c r="G41" s="129" t="str">
        <x:v>Ranged</x:v>
      </x:c>
      <x:c r="H41" s="129" t="str">
        <x:v>30/90</x:v>
      </x:c>
      <x:c r="I41" s="129" t="str">
        <x:v>3 lb.</x:v>
      </x:c>
      <x:c r="J41" s="129" t="str">
        <x:v>250 GP</x:v>
      </x:c>
      <x:c r="K41" s="130" t="str">
        <x:v>SRD 5.2.1 pp. 90–91</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26" hidden="0" customWidth="1"/>
    <x:col min="2" max="2" width="18" hidden="0" customWidth="1"/>
    <x:col min="3" max="3" width="14" hidden="0" customWidth="1"/>
    <x:col min="4" max="4" width="12" hidden="0" customWidth="1"/>
    <x:col min="5" max="5" width="16" hidden="0" customWidth="1"/>
    <x:col min="6" max="6" width="42" hidden="0" customWidth="1"/>
    <x:col min="7" max="7" width="20" hidden="0" customWidth="1"/>
  </x:cols>
  <x:sheetData>
    <x:row r="1">
      <x:c r="A1" s="116" t="str">
        <x:v>Equipment Database</x:v>
      </x:c>
      <x:c r="B1" s="116"/>
      <x:c r="C1" s="116"/>
      <x:c r="D1" s="116"/>
      <x:c r="E1" s="116"/>
      <x:c r="F1" s="116"/>
      <x:c r="G1" s="116"/>
    </x:row>
    <x:row r="2">
      <x:c r="A2" s="131" t="str">
        <x:v>Scraped from SRD 5.2.1 Adventuring Gear table, pp. 94–100. Use for inventory, consumables, and combat utility items.</x:v>
      </x:c>
      <x:c r="B2" s="131"/>
      <x:c r="C2" s="131"/>
      <x:c r="D2" s="131"/>
      <x:c r="E2" s="131"/>
      <x:c r="F2" s="131"/>
      <x:c r="G2" s="131"/>
    </x:row>
    <x:row r="3">
      <x:c r="A3" s="122" t="str">
        <x:v>Item Name</x:v>
      </x:c>
      <x:c r="B3" s="123" t="str">
        <x:v>Category</x:v>
      </x:c>
      <x:c r="C3" s="123" t="str">
        <x:v>Weight</x:v>
      </x:c>
      <x:c r="D3" s="123" t="str">
        <x:v>Cost</x:v>
      </x:c>
      <x:c r="E3" s="123" t="str">
        <x:v>Uses/Charges</x:v>
      </x:c>
      <x:c r="F3" s="123" t="str">
        <x:v>Combat Use</x:v>
      </x:c>
      <x:c r="G3" s="124" t="str">
        <x:v>Source</x:v>
      </x:c>
    </x:row>
    <x:row r="4">
      <x:c r="A4" s="125" t="str">
        <x:v>Acid</x:v>
      </x:c>
      <x:c r="B4" s="126" t="str">
        <x:v>Adventuring Gear</x:v>
      </x:c>
      <x:c r="C4" s="126" t="str">
        <x:v>1 lb.</x:v>
      </x:c>
      <x:c r="D4" s="126" t="str">
        <x:v>25 GP</x:v>
      </x:c>
      <x:c r="E4" s="126" t="str"/>
      <x:c r="F4" s="126" t="str"/>
      <x:c r="G4" s="127" t="str">
        <x:v>SRD 5.2.1 pp. 94–100</x:v>
      </x:c>
    </x:row>
    <x:row r="5">
      <x:c r="A5" s="125" t="str">
        <x:v>Alchemist’s Fire</x:v>
      </x:c>
      <x:c r="B5" s="126" t="str">
        <x:v>Adventuring Gear</x:v>
      </x:c>
      <x:c r="C5" s="126" t="str">
        <x:v>1 lb.</x:v>
      </x:c>
      <x:c r="D5" s="126" t="str">
        <x:v>50 GP</x:v>
      </x:c>
      <x:c r="E5" s="126" t="str"/>
      <x:c r="F5" s="126" t="str"/>
      <x:c r="G5" s="127" t="str">
        <x:v>SRD 5.2.1 pp. 94–100</x:v>
      </x:c>
    </x:row>
    <x:row r="6">
      <x:c r="A6" s="125" t="str">
        <x:v>Ammunition</x:v>
      </x:c>
      <x:c r="B6" s="126" t="str">
        <x:v>Adventuring Gear</x:v>
      </x:c>
      <x:c r="C6" s="126" t="str">
        <x:v>Varies</x:v>
      </x:c>
      <x:c r="D6" s="126" t="str">
        <x:v>Varies</x:v>
      </x:c>
      <x:c r="E6" s="126" t="str"/>
      <x:c r="F6" s="126" t="str"/>
      <x:c r="G6" s="127" t="str">
        <x:v>SRD 5.2.1 pp. 94–100</x:v>
      </x:c>
    </x:row>
    <x:row r="7">
      <x:c r="A7" s="125" t="str">
        <x:v>Antitoxin</x:v>
      </x:c>
      <x:c r="B7" s="126" t="str">
        <x:v>Adventuring Gear</x:v>
      </x:c>
      <x:c r="C7" s="126" t="str">
        <x:v>—</x:v>
      </x:c>
      <x:c r="D7" s="126" t="str">
        <x:v>50 GP</x:v>
      </x:c>
      <x:c r="E7" s="126" t="str"/>
      <x:c r="F7" s="126" t="str"/>
      <x:c r="G7" s="127" t="str">
        <x:v>SRD 5.2.1 pp. 94–100</x:v>
      </x:c>
    </x:row>
    <x:row r="8">
      <x:c r="A8" s="125" t="str">
        <x:v>Arcane Focus</x:v>
      </x:c>
      <x:c r="B8" s="126" t="str">
        <x:v>Adventuring Gear</x:v>
      </x:c>
      <x:c r="C8" s="126" t="str">
        <x:v>Varies</x:v>
      </x:c>
      <x:c r="D8" s="126" t="str">
        <x:v>Varies</x:v>
      </x:c>
      <x:c r="E8" s="126" t="str"/>
      <x:c r="F8" s="126" t="str"/>
      <x:c r="G8" s="127" t="str">
        <x:v>SRD 5.2.1 pp. 94–100</x:v>
      </x:c>
    </x:row>
    <x:row r="9">
      <x:c r="A9" s="125" t="str">
        <x:v>Backpack</x:v>
      </x:c>
      <x:c r="B9" s="126" t="str">
        <x:v>Adventuring Gear</x:v>
      </x:c>
      <x:c r="C9" s="126" t="str">
        <x:v>5 lb.</x:v>
      </x:c>
      <x:c r="D9" s="126" t="str">
        <x:v>2 GP</x:v>
      </x:c>
      <x:c r="E9" s="126" t="str"/>
      <x:c r="F9" s="126" t="str"/>
      <x:c r="G9" s="127" t="str">
        <x:v>SRD 5.2.1 pp. 94–100</x:v>
      </x:c>
    </x:row>
    <x:row r="10">
      <x:c r="A10" s="125" t="str">
        <x:v>Ball Bearings</x:v>
      </x:c>
      <x:c r="B10" s="126" t="str">
        <x:v>Adventuring Gear</x:v>
      </x:c>
      <x:c r="C10" s="126" t="str">
        <x:v>2 lb.</x:v>
      </x:c>
      <x:c r="D10" s="126" t="str">
        <x:v>1 GP</x:v>
      </x:c>
      <x:c r="E10" s="126" t="str"/>
      <x:c r="F10" s="126" t="str"/>
      <x:c r="G10" s="127" t="str">
        <x:v>SRD 5.2.1 pp. 94–100</x:v>
      </x:c>
    </x:row>
    <x:row r="11">
      <x:c r="A11" s="125" t="str">
        <x:v>Barrel</x:v>
      </x:c>
      <x:c r="B11" s="126" t="str">
        <x:v>Adventuring Gear</x:v>
      </x:c>
      <x:c r="C11" s="126" t="str">
        <x:v>70 lb.</x:v>
      </x:c>
      <x:c r="D11" s="126" t="str">
        <x:v>2 GP</x:v>
      </x:c>
      <x:c r="E11" s="126" t="str"/>
      <x:c r="F11" s="126" t="str"/>
      <x:c r="G11" s="127" t="str">
        <x:v>SRD 5.2.1 pp. 94–100</x:v>
      </x:c>
    </x:row>
    <x:row r="12">
      <x:c r="A12" s="125" t="str">
        <x:v>Basket</x:v>
      </x:c>
      <x:c r="B12" s="126" t="str">
        <x:v>Adventuring Gear</x:v>
      </x:c>
      <x:c r="C12" s="126" t="str">
        <x:v>2 lb.</x:v>
      </x:c>
      <x:c r="D12" s="126" t="str">
        <x:v>4 SP</x:v>
      </x:c>
      <x:c r="E12" s="126" t="str"/>
      <x:c r="F12" s="126" t="str"/>
      <x:c r="G12" s="127" t="str">
        <x:v>SRD 5.2.1 pp. 94–100</x:v>
      </x:c>
    </x:row>
    <x:row r="13">
      <x:c r="A13" s="125" t="str">
        <x:v>Bedroll</x:v>
      </x:c>
      <x:c r="B13" s="126" t="str">
        <x:v>Adventuring Gear</x:v>
      </x:c>
      <x:c r="C13" s="126" t="str">
        <x:v>7 lb.</x:v>
      </x:c>
      <x:c r="D13" s="126" t="str">
        <x:v>1 GP</x:v>
      </x:c>
      <x:c r="E13" s="126" t="str"/>
      <x:c r="F13" s="126" t="str"/>
      <x:c r="G13" s="127" t="str">
        <x:v>SRD 5.2.1 pp. 94–100</x:v>
      </x:c>
    </x:row>
    <x:row r="14">
      <x:c r="A14" s="125" t="str">
        <x:v>Bell</x:v>
      </x:c>
      <x:c r="B14" s="126" t="str">
        <x:v>Adventuring Gear</x:v>
      </x:c>
      <x:c r="C14" s="126" t="str">
        <x:v>—</x:v>
      </x:c>
      <x:c r="D14" s="126" t="str">
        <x:v>1 GP</x:v>
      </x:c>
      <x:c r="E14" s="126" t="str"/>
      <x:c r="F14" s="126" t="str"/>
      <x:c r="G14" s="127" t="str">
        <x:v>SRD 5.2.1 pp. 94–100</x:v>
      </x:c>
    </x:row>
    <x:row r="15">
      <x:c r="A15" s="125" t="str">
        <x:v>Blanket</x:v>
      </x:c>
      <x:c r="B15" s="126" t="str">
        <x:v>Adventuring Gear</x:v>
      </x:c>
      <x:c r="C15" s="126" t="str">
        <x:v>3 lb.</x:v>
      </x:c>
      <x:c r="D15" s="126" t="str">
        <x:v>5 SP</x:v>
      </x:c>
      <x:c r="E15" s="126" t="str"/>
      <x:c r="F15" s="126" t="str"/>
      <x:c r="G15" s="127" t="str">
        <x:v>SRD 5.2.1 pp. 94–100</x:v>
      </x:c>
    </x:row>
    <x:row r="16">
      <x:c r="A16" s="125" t="str">
        <x:v>Block and Tackle</x:v>
      </x:c>
      <x:c r="B16" s="126" t="str">
        <x:v>Adventuring Gear</x:v>
      </x:c>
      <x:c r="C16" s="126" t="str">
        <x:v>5 lb.</x:v>
      </x:c>
      <x:c r="D16" s="126" t="str">
        <x:v>1 GP</x:v>
      </x:c>
      <x:c r="E16" s="126" t="str"/>
      <x:c r="F16" s="126" t="str"/>
      <x:c r="G16" s="127" t="str">
        <x:v>SRD 5.2.1 pp. 94–100</x:v>
      </x:c>
    </x:row>
    <x:row r="17">
      <x:c r="A17" s="125" t="str">
        <x:v>Book</x:v>
      </x:c>
      <x:c r="B17" s="126" t="str">
        <x:v>Adventuring Gear</x:v>
      </x:c>
      <x:c r="C17" s="126" t="str">
        <x:v>5 lb.</x:v>
      </x:c>
      <x:c r="D17" s="126" t="str">
        <x:v>25 GP</x:v>
      </x:c>
      <x:c r="E17" s="126" t="str"/>
      <x:c r="F17" s="126" t="str"/>
      <x:c r="G17" s="127" t="str">
        <x:v>SRD 5.2.1 pp. 94–100</x:v>
      </x:c>
    </x:row>
    <x:row r="18">
      <x:c r="A18" s="125" t="str">
        <x:v>Bottle, Glass</x:v>
      </x:c>
      <x:c r="B18" s="126" t="str">
        <x:v>Adventuring Gear</x:v>
      </x:c>
      <x:c r="C18" s="126" t="str">
        <x:v>2 lb.</x:v>
      </x:c>
      <x:c r="D18" s="126" t="str">
        <x:v>2 GP</x:v>
      </x:c>
      <x:c r="E18" s="126" t="str"/>
      <x:c r="F18" s="126" t="str"/>
      <x:c r="G18" s="127" t="str">
        <x:v>SRD 5.2.1 pp. 94–100</x:v>
      </x:c>
    </x:row>
    <x:row r="19">
      <x:c r="A19" s="125" t="str">
        <x:v>Bucket</x:v>
      </x:c>
      <x:c r="B19" s="126" t="str">
        <x:v>Adventuring Gear</x:v>
      </x:c>
      <x:c r="C19" s="126" t="str">
        <x:v>2 lb.</x:v>
      </x:c>
      <x:c r="D19" s="126" t="str">
        <x:v>5 CP</x:v>
      </x:c>
      <x:c r="E19" s="126" t="str"/>
      <x:c r="F19" s="126" t="str"/>
      <x:c r="G19" s="127" t="str">
        <x:v>SRD 5.2.1 pp. 94–100</x:v>
      </x:c>
    </x:row>
    <x:row r="20">
      <x:c r="A20" s="125" t="str">
        <x:v>Burglar’s Pack</x:v>
      </x:c>
      <x:c r="B20" s="126" t="str">
        <x:v>Adventuring Gear</x:v>
      </x:c>
      <x:c r="C20" s="126" t="str">
        <x:v>42 lb.</x:v>
      </x:c>
      <x:c r="D20" s="126" t="str">
        <x:v>16 GP</x:v>
      </x:c>
      <x:c r="E20" s="126" t="str"/>
      <x:c r="F20" s="126" t="str"/>
      <x:c r="G20" s="127" t="str">
        <x:v>SRD 5.2.1 pp. 94–100</x:v>
      </x:c>
    </x:row>
    <x:row r="21">
      <x:c r="A21" s="125" t="str">
        <x:v>Caltrops</x:v>
      </x:c>
      <x:c r="B21" s="126" t="str">
        <x:v>Adventuring Gear</x:v>
      </x:c>
      <x:c r="C21" s="126" t="str">
        <x:v>2 lb.</x:v>
      </x:c>
      <x:c r="D21" s="126" t="str">
        <x:v>1 GP</x:v>
      </x:c>
      <x:c r="E21" s="126" t="str"/>
      <x:c r="F21" s="126" t="str"/>
      <x:c r="G21" s="127" t="str">
        <x:v>SRD 5.2.1 pp. 94–100</x:v>
      </x:c>
    </x:row>
    <x:row r="22">
      <x:c r="A22" s="125" t="str">
        <x:v>Candle</x:v>
      </x:c>
      <x:c r="B22" s="126" t="str">
        <x:v>Adventuring Gear</x:v>
      </x:c>
      <x:c r="C22" s="126" t="str">
        <x:v>—</x:v>
      </x:c>
      <x:c r="D22" s="126" t="str">
        <x:v>1 CP</x:v>
      </x:c>
      <x:c r="E22" s="126" t="str"/>
      <x:c r="F22" s="126" t="str"/>
      <x:c r="G22" s="127" t="str">
        <x:v>SRD 5.2.1 pp. 94–100</x:v>
      </x:c>
    </x:row>
    <x:row r="23">
      <x:c r="A23" s="125" t="str">
        <x:v>Case, Crossbow Bolt</x:v>
      </x:c>
      <x:c r="B23" s="126" t="str">
        <x:v>Adventuring Gear</x:v>
      </x:c>
      <x:c r="C23" s="126" t="str">
        <x:v>1 lb.</x:v>
      </x:c>
      <x:c r="D23" s="126" t="str">
        <x:v>1 GP</x:v>
      </x:c>
      <x:c r="E23" s="126" t="str"/>
      <x:c r="F23" s="126" t="str"/>
      <x:c r="G23" s="127" t="str">
        <x:v>SRD 5.2.1 pp. 94–100</x:v>
      </x:c>
    </x:row>
    <x:row r="24">
      <x:c r="A24" s="125" t="str">
        <x:v>Case, Map or Scroll</x:v>
      </x:c>
      <x:c r="B24" s="126" t="str">
        <x:v>Adventuring Gear</x:v>
      </x:c>
      <x:c r="C24" s="126" t="str">
        <x:v>1 lb.</x:v>
      </x:c>
      <x:c r="D24" s="126" t="str">
        <x:v>1 GP</x:v>
      </x:c>
      <x:c r="E24" s="126" t="str"/>
      <x:c r="F24" s="126" t="str"/>
      <x:c r="G24" s="127" t="str">
        <x:v>SRD 5.2.1 pp. 94–100</x:v>
      </x:c>
    </x:row>
    <x:row r="25">
      <x:c r="A25" s="125" t="str">
        <x:v>Chain</x:v>
      </x:c>
      <x:c r="B25" s="126" t="str">
        <x:v>Adventuring Gear</x:v>
      </x:c>
      <x:c r="C25" s="126" t="str">
        <x:v>10 lb.</x:v>
      </x:c>
      <x:c r="D25" s="126" t="str">
        <x:v>5 GP</x:v>
      </x:c>
      <x:c r="E25" s="126" t="str"/>
      <x:c r="F25" s="126" t="str"/>
      <x:c r="G25" s="127" t="str">
        <x:v>SRD 5.2.1 pp. 94–100</x:v>
      </x:c>
    </x:row>
    <x:row r="26">
      <x:c r="A26" s="125" t="str">
        <x:v>Chest</x:v>
      </x:c>
      <x:c r="B26" s="126" t="str">
        <x:v>Adventuring Gear</x:v>
      </x:c>
      <x:c r="C26" s="126" t="str">
        <x:v>25 lb.</x:v>
      </x:c>
      <x:c r="D26" s="126" t="str">
        <x:v>5 GP</x:v>
      </x:c>
      <x:c r="E26" s="126" t="str"/>
      <x:c r="F26" s="126" t="str"/>
      <x:c r="G26" s="127" t="str">
        <x:v>SRD 5.2.1 pp. 94–100</x:v>
      </x:c>
    </x:row>
    <x:row r="27">
      <x:c r="A27" s="125" t="str">
        <x:v>Climber’s Kit</x:v>
      </x:c>
      <x:c r="B27" s="126" t="str">
        <x:v>Adventuring Gear</x:v>
      </x:c>
      <x:c r="C27" s="126" t="str">
        <x:v>12 lb.</x:v>
      </x:c>
      <x:c r="D27" s="126" t="str">
        <x:v>25 GP</x:v>
      </x:c>
      <x:c r="E27" s="126" t="str"/>
      <x:c r="F27" s="126" t="str"/>
      <x:c r="G27" s="127" t="str">
        <x:v>SRD 5.2.1 pp. 94–100</x:v>
      </x:c>
    </x:row>
    <x:row r="28">
      <x:c r="A28" s="125" t="str">
        <x:v>Clothes, Fine</x:v>
      </x:c>
      <x:c r="B28" s="126" t="str">
        <x:v>Adventuring Gear</x:v>
      </x:c>
      <x:c r="C28" s="126" t="str">
        <x:v>6 lb.</x:v>
      </x:c>
      <x:c r="D28" s="126" t="str">
        <x:v>15 GP</x:v>
      </x:c>
      <x:c r="E28" s="126" t="str"/>
      <x:c r="F28" s="126" t="str"/>
      <x:c r="G28" s="127" t="str">
        <x:v>SRD 5.2.1 pp. 94–100</x:v>
      </x:c>
    </x:row>
    <x:row r="29">
      <x:c r="A29" s="125" t="str">
        <x:v>Clothes, Traveler’s</x:v>
      </x:c>
      <x:c r="B29" s="126" t="str">
        <x:v>Adventuring Gear</x:v>
      </x:c>
      <x:c r="C29" s="126" t="str">
        <x:v>4 lb.</x:v>
      </x:c>
      <x:c r="D29" s="126" t="str">
        <x:v>2 GP</x:v>
      </x:c>
      <x:c r="E29" s="126" t="str"/>
      <x:c r="F29" s="126" t="str"/>
      <x:c r="G29" s="127" t="str">
        <x:v>SRD 5.2.1 pp. 94–100</x:v>
      </x:c>
    </x:row>
    <x:row r="30">
      <x:c r="A30" s="125" t="str">
        <x:v>Component Pouch</x:v>
      </x:c>
      <x:c r="B30" s="126" t="str">
        <x:v>Adventuring Gear</x:v>
      </x:c>
      <x:c r="C30" s="126" t="str">
        <x:v>2 lb.</x:v>
      </x:c>
      <x:c r="D30" s="126" t="str">
        <x:v>25 GP</x:v>
      </x:c>
      <x:c r="E30" s="126" t="str"/>
      <x:c r="F30" s="126" t="str"/>
      <x:c r="G30" s="127" t="str">
        <x:v>SRD 5.2.1 pp. 94–100</x:v>
      </x:c>
    </x:row>
    <x:row r="31">
      <x:c r="A31" s="125" t="str">
        <x:v>Costume</x:v>
      </x:c>
      <x:c r="B31" s="126" t="str">
        <x:v>Adventuring Gear</x:v>
      </x:c>
      <x:c r="C31" s="126" t="str">
        <x:v>4 lb.</x:v>
      </x:c>
      <x:c r="D31" s="126" t="str">
        <x:v>5 GP</x:v>
      </x:c>
      <x:c r="E31" s="126" t="str"/>
      <x:c r="F31" s="126" t="str"/>
      <x:c r="G31" s="127" t="str">
        <x:v>SRD 5.2.1 pp. 94–100</x:v>
      </x:c>
    </x:row>
    <x:row r="32">
      <x:c r="A32" s="125" t="str">
        <x:v>Crowbar</x:v>
      </x:c>
      <x:c r="B32" s="126" t="str">
        <x:v>Adventuring Gear</x:v>
      </x:c>
      <x:c r="C32" s="126" t="str">
        <x:v>5 lb.</x:v>
      </x:c>
      <x:c r="D32" s="126" t="str">
        <x:v>2 GP</x:v>
      </x:c>
      <x:c r="E32" s="126" t="str"/>
      <x:c r="F32" s="126" t="str"/>
      <x:c r="G32" s="127" t="str">
        <x:v>SRD 5.2.1 pp. 94–100</x:v>
      </x:c>
    </x:row>
    <x:row r="33">
      <x:c r="A33" s="125" t="str">
        <x:v>Diplomat’s Pack</x:v>
      </x:c>
      <x:c r="B33" s="126" t="str">
        <x:v>Adventuring Gear</x:v>
      </x:c>
      <x:c r="C33" s="126" t="str">
        <x:v>39 lb.</x:v>
      </x:c>
      <x:c r="D33" s="126" t="str">
        <x:v>39 GP</x:v>
      </x:c>
      <x:c r="E33" s="126" t="str"/>
      <x:c r="F33" s="126" t="str"/>
      <x:c r="G33" s="127" t="str">
        <x:v>SRD 5.2.1 pp. 94–100</x:v>
      </x:c>
    </x:row>
    <x:row r="34">
      <x:c r="A34" s="125" t="str">
        <x:v>Druidic Focus</x:v>
      </x:c>
      <x:c r="B34" s="126" t="str">
        <x:v>Adventuring Gear</x:v>
      </x:c>
      <x:c r="C34" s="126" t="str">
        <x:v>Varies</x:v>
      </x:c>
      <x:c r="D34" s="126" t="str">
        <x:v>Varies</x:v>
      </x:c>
      <x:c r="E34" s="126" t="str"/>
      <x:c r="F34" s="126" t="str"/>
      <x:c r="G34" s="127" t="str">
        <x:v>SRD 5.2.1 pp. 94–100</x:v>
      </x:c>
    </x:row>
    <x:row r="35">
      <x:c r="A35" s="125" t="str">
        <x:v>Dungeoneer’s Pack</x:v>
      </x:c>
      <x:c r="B35" s="126" t="str">
        <x:v>Adventuring Gear</x:v>
      </x:c>
      <x:c r="C35" s="126" t="str">
        <x:v>55 lb.</x:v>
      </x:c>
      <x:c r="D35" s="126" t="str">
        <x:v>12 GP</x:v>
      </x:c>
      <x:c r="E35" s="126" t="str"/>
      <x:c r="F35" s="126" t="str"/>
      <x:c r="G35" s="127" t="str">
        <x:v>SRD 5.2.1 pp. 94–100</x:v>
      </x:c>
    </x:row>
    <x:row r="36">
      <x:c r="A36" s="125" t="str">
        <x:v>Entertainer’s Pack</x:v>
      </x:c>
      <x:c r="B36" s="126" t="str">
        <x:v>Adventuring Gear</x:v>
      </x:c>
      <x:c r="C36" s="126" t="str">
        <x:v>58½ lb.</x:v>
      </x:c>
      <x:c r="D36" s="126" t="str">
        <x:v>40 GP</x:v>
      </x:c>
      <x:c r="E36" s="126" t="str"/>
      <x:c r="F36" s="126" t="str"/>
      <x:c r="G36" s="127" t="str">
        <x:v>SRD 5.2.1 pp. 94–100</x:v>
      </x:c>
    </x:row>
    <x:row r="37">
      <x:c r="A37" s="125" t="str">
        <x:v>Explorer’s Pack</x:v>
      </x:c>
      <x:c r="B37" s="126" t="str">
        <x:v>Adventuring Gear</x:v>
      </x:c>
      <x:c r="C37" s="126" t="str">
        <x:v>55 lb.</x:v>
      </x:c>
      <x:c r="D37" s="126" t="str">
        <x:v>10 GP</x:v>
      </x:c>
      <x:c r="E37" s="126" t="str"/>
      <x:c r="F37" s="126" t="str"/>
      <x:c r="G37" s="127" t="str">
        <x:v>SRD 5.2.1 pp. 94–100</x:v>
      </x:c>
    </x:row>
    <x:row r="38">
      <x:c r="A38" s="125" t="str">
        <x:v>Flask</x:v>
      </x:c>
      <x:c r="B38" s="126" t="str">
        <x:v>Adventuring Gear</x:v>
      </x:c>
      <x:c r="C38" s="126" t="str">
        <x:v>1 lb.</x:v>
      </x:c>
      <x:c r="D38" s="126" t="str">
        <x:v>2 CP</x:v>
      </x:c>
      <x:c r="E38" s="126" t="str"/>
      <x:c r="F38" s="126" t="str"/>
      <x:c r="G38" s="127" t="str">
        <x:v>SRD 5.2.1 pp. 94–100</x:v>
      </x:c>
    </x:row>
    <x:row r="39">
      <x:c r="A39" s="125" t="str">
        <x:v>Grappling Hook</x:v>
      </x:c>
      <x:c r="B39" s="126" t="str">
        <x:v>Adventuring Gear</x:v>
      </x:c>
      <x:c r="C39" s="126" t="str">
        <x:v>4 lb.</x:v>
      </x:c>
      <x:c r="D39" s="126" t="str">
        <x:v>2 GP</x:v>
      </x:c>
      <x:c r="E39" s="126" t="str"/>
      <x:c r="F39" s="126" t="str"/>
      <x:c r="G39" s="127" t="str">
        <x:v>SRD 5.2.1 pp. 94–100</x:v>
      </x:c>
    </x:row>
    <x:row r="40">
      <x:c r="A40" s="125" t="str">
        <x:v>Healer’s Kit</x:v>
      </x:c>
      <x:c r="B40" s="126" t="str">
        <x:v>Adventuring Gear</x:v>
      </x:c>
      <x:c r="C40" s="126" t="str">
        <x:v>3 lb.</x:v>
      </x:c>
      <x:c r="D40" s="126" t="str">
        <x:v>5 GP</x:v>
      </x:c>
      <x:c r="E40" s="126" t="str"/>
      <x:c r="F40" s="126" t="str"/>
      <x:c r="G40" s="127" t="str">
        <x:v>SRD 5.2.1 pp. 94–100</x:v>
      </x:c>
    </x:row>
    <x:row r="41">
      <x:c r="A41" s="125" t="str">
        <x:v>Holy Symbol</x:v>
      </x:c>
      <x:c r="B41" s="126" t="str">
        <x:v>Adventuring Gear</x:v>
      </x:c>
      <x:c r="C41" s="126" t="str">
        <x:v>Varies</x:v>
      </x:c>
      <x:c r="D41" s="126" t="str">
        <x:v>Varies</x:v>
      </x:c>
      <x:c r="E41" s="126" t="str"/>
      <x:c r="F41" s="126" t="str"/>
      <x:c r="G41" s="127" t="str">
        <x:v>SRD 5.2.1 pp. 94–100</x:v>
      </x:c>
    </x:row>
    <x:row r="42">
      <x:c r="A42" s="125" t="str">
        <x:v>Holy Water</x:v>
      </x:c>
      <x:c r="B42" s="126" t="str">
        <x:v>Adventuring Gear</x:v>
      </x:c>
      <x:c r="C42" s="126" t="str">
        <x:v>1 lb.</x:v>
      </x:c>
      <x:c r="D42" s="126" t="str">
        <x:v>25 GP</x:v>
      </x:c>
      <x:c r="E42" s="126" t="str"/>
      <x:c r="F42" s="126" t="str"/>
      <x:c r="G42" s="127" t="str">
        <x:v>SRD 5.2.1 pp. 94–100</x:v>
      </x:c>
    </x:row>
    <x:row r="43">
      <x:c r="A43" s="125" t="str">
        <x:v>Hunting Trap</x:v>
      </x:c>
      <x:c r="B43" s="126" t="str">
        <x:v>Adventuring Gear</x:v>
      </x:c>
      <x:c r="C43" s="126" t="str">
        <x:v>25 lb.</x:v>
      </x:c>
      <x:c r="D43" s="126" t="str">
        <x:v>5 GP</x:v>
      </x:c>
      <x:c r="E43" s="126" t="str"/>
      <x:c r="F43" s="126" t="str"/>
      <x:c r="G43" s="127" t="str">
        <x:v>SRD 5.2.1 pp. 94–100</x:v>
      </x:c>
    </x:row>
    <x:row r="44">
      <x:c r="A44" s="125" t="str">
        <x:v>Ink</x:v>
      </x:c>
      <x:c r="B44" s="126" t="str">
        <x:v>Adventuring Gear</x:v>
      </x:c>
      <x:c r="C44" s="126" t="str">
        <x:v>—</x:v>
      </x:c>
      <x:c r="D44" s="126" t="str">
        <x:v>10 GP</x:v>
      </x:c>
      <x:c r="E44" s="126" t="str"/>
      <x:c r="F44" s="126" t="str"/>
      <x:c r="G44" s="127" t="str">
        <x:v>SRD 5.2.1 pp. 94–100</x:v>
      </x:c>
    </x:row>
    <x:row r="45">
      <x:c r="A45" s="125" t="str">
        <x:v>Ink Pen</x:v>
      </x:c>
      <x:c r="B45" s="126" t="str">
        <x:v>Adventuring Gear</x:v>
      </x:c>
      <x:c r="C45" s="126" t="str">
        <x:v>—</x:v>
      </x:c>
      <x:c r="D45" s="126" t="str">
        <x:v>2 CP</x:v>
      </x:c>
      <x:c r="E45" s="126" t="str"/>
      <x:c r="F45" s="126" t="str"/>
      <x:c r="G45" s="127" t="str">
        <x:v>SRD 5.2.1 pp. 94–100</x:v>
      </x:c>
    </x:row>
    <x:row r="46">
      <x:c r="A46" s="125" t="str">
        <x:v>Jug</x:v>
      </x:c>
      <x:c r="B46" s="126" t="str">
        <x:v>Adventuring Gear</x:v>
      </x:c>
      <x:c r="C46" s="126" t="str">
        <x:v>4 lb.</x:v>
      </x:c>
      <x:c r="D46" s="126" t="str">
        <x:v>2 CP</x:v>
      </x:c>
      <x:c r="E46" s="126" t="str"/>
      <x:c r="F46" s="126" t="str"/>
      <x:c r="G46" s="127" t="str">
        <x:v>SRD 5.2.1 pp. 94–100</x:v>
      </x:c>
    </x:row>
    <x:row r="47">
      <x:c r="A47" s="125" t="str">
        <x:v>Ladder</x:v>
      </x:c>
      <x:c r="B47" s="126" t="str">
        <x:v>Adventuring Gear</x:v>
      </x:c>
      <x:c r="C47" s="126" t="str">
        <x:v>25 lb.</x:v>
      </x:c>
      <x:c r="D47" s="126" t="str">
        <x:v>1 SP</x:v>
      </x:c>
      <x:c r="E47" s="126" t="str"/>
      <x:c r="F47" s="126" t="str"/>
      <x:c r="G47" s="127" t="str">
        <x:v>SRD 5.2.1 pp. 94–100</x:v>
      </x:c>
    </x:row>
    <x:row r="48">
      <x:c r="A48" s="125" t="str">
        <x:v>Lamp</x:v>
      </x:c>
      <x:c r="B48" s="126" t="str">
        <x:v>Adventuring Gear</x:v>
      </x:c>
      <x:c r="C48" s="126" t="str">
        <x:v>1 lb.</x:v>
      </x:c>
      <x:c r="D48" s="126" t="str">
        <x:v>5 SP</x:v>
      </x:c>
      <x:c r="E48" s="126" t="str"/>
      <x:c r="F48" s="126" t="str"/>
      <x:c r="G48" s="127" t="str">
        <x:v>SRD 5.2.1 pp. 94–100</x:v>
      </x:c>
    </x:row>
    <x:row r="49">
      <x:c r="A49" s="125" t="str">
        <x:v>Lantern, Bullseye</x:v>
      </x:c>
      <x:c r="B49" s="126" t="str">
        <x:v>Adventuring Gear</x:v>
      </x:c>
      <x:c r="C49" s="126" t="str">
        <x:v>2 lb.</x:v>
      </x:c>
      <x:c r="D49" s="126" t="str">
        <x:v>10 GP</x:v>
      </x:c>
      <x:c r="E49" s="126" t="str"/>
      <x:c r="F49" s="126" t="str"/>
      <x:c r="G49" s="127" t="str">
        <x:v>SRD 5.2.1 pp. 94–100</x:v>
      </x:c>
    </x:row>
    <x:row r="50">
      <x:c r="A50" s="125" t="str">
        <x:v>Lantern, Hooded</x:v>
      </x:c>
      <x:c r="B50" s="126" t="str">
        <x:v>Adventuring Gear</x:v>
      </x:c>
      <x:c r="C50" s="126" t="str">
        <x:v>2 lb.</x:v>
      </x:c>
      <x:c r="D50" s="126" t="str">
        <x:v>5 GP</x:v>
      </x:c>
      <x:c r="E50" s="126" t="str"/>
      <x:c r="F50" s="126" t="str"/>
      <x:c r="G50" s="127" t="str">
        <x:v>SRD 5.2.1 pp. 94–100</x:v>
      </x:c>
    </x:row>
    <x:row r="51">
      <x:c r="A51" s="125" t="str">
        <x:v>Lock</x:v>
      </x:c>
      <x:c r="B51" s="126" t="str">
        <x:v>Adventuring Gear</x:v>
      </x:c>
      <x:c r="C51" s="126" t="str">
        <x:v>1 lb.</x:v>
      </x:c>
      <x:c r="D51" s="126" t="str">
        <x:v>10 GP</x:v>
      </x:c>
      <x:c r="E51" s="126" t="str"/>
      <x:c r="F51" s="126" t="str"/>
      <x:c r="G51" s="127" t="str">
        <x:v>SRD 5.2.1 pp. 94–100</x:v>
      </x:c>
    </x:row>
    <x:row r="52">
      <x:c r="A52" s="125" t="str">
        <x:v>Magnifying Glass</x:v>
      </x:c>
      <x:c r="B52" s="126" t="str">
        <x:v>Adventuring Gear</x:v>
      </x:c>
      <x:c r="C52" s="126" t="str">
        <x:v>—</x:v>
      </x:c>
      <x:c r="D52" s="126" t="str">
        <x:v>100 GP</x:v>
      </x:c>
      <x:c r="E52" s="126" t="str"/>
      <x:c r="F52" s="126" t="str"/>
      <x:c r="G52" s="127" t="str">
        <x:v>SRD 5.2.1 pp. 94–100</x:v>
      </x:c>
    </x:row>
    <x:row r="53">
      <x:c r="A53" s="125" t="str">
        <x:v>Manacles</x:v>
      </x:c>
      <x:c r="B53" s="126" t="str">
        <x:v>Adventuring Gear</x:v>
      </x:c>
      <x:c r="C53" s="126" t="str">
        <x:v>6 lb.</x:v>
      </x:c>
      <x:c r="D53" s="126" t="str">
        <x:v>2 GP</x:v>
      </x:c>
      <x:c r="E53" s="126" t="str"/>
      <x:c r="F53" s="126" t="str"/>
      <x:c r="G53" s="127" t="str">
        <x:v>SRD 5.2.1 pp. 94–100</x:v>
      </x:c>
    </x:row>
    <x:row r="54">
      <x:c r="A54" s="125" t="str">
        <x:v>Map</x:v>
      </x:c>
      <x:c r="B54" s="126" t="str">
        <x:v>Adventuring Gear</x:v>
      </x:c>
      <x:c r="C54" s="126" t="str">
        <x:v>—</x:v>
      </x:c>
      <x:c r="D54" s="126" t="str">
        <x:v>1 GP</x:v>
      </x:c>
      <x:c r="E54" s="126" t="str"/>
      <x:c r="F54" s="126" t="str"/>
      <x:c r="G54" s="127" t="str">
        <x:v>SRD 5.2.1 pp. 94–100</x:v>
      </x:c>
    </x:row>
    <x:row r="55">
      <x:c r="A55" s="125" t="str">
        <x:v>Mirror</x:v>
      </x:c>
      <x:c r="B55" s="126" t="str">
        <x:v>Adventuring Gear</x:v>
      </x:c>
      <x:c r="C55" s="126" t="str">
        <x:v>1/2 lb.</x:v>
      </x:c>
      <x:c r="D55" s="126" t="str">
        <x:v>5 GP</x:v>
      </x:c>
      <x:c r="E55" s="126" t="str"/>
      <x:c r="F55" s="126" t="str"/>
      <x:c r="G55" s="127" t="str">
        <x:v>SRD 5.2.1 pp. 94–100</x:v>
      </x:c>
    </x:row>
    <x:row r="56">
      <x:c r="A56" s="125" t="str">
        <x:v>Net</x:v>
      </x:c>
      <x:c r="B56" s="126" t="str">
        <x:v>Adventuring Gear</x:v>
      </x:c>
      <x:c r="C56" s="126" t="str">
        <x:v>3 lb.</x:v>
      </x:c>
      <x:c r="D56" s="126" t="str">
        <x:v>1 GP</x:v>
      </x:c>
      <x:c r="E56" s="126" t="str"/>
      <x:c r="F56" s="126" t="str"/>
      <x:c r="G56" s="127" t="str">
        <x:v>SRD 5.2.1 pp. 94–100</x:v>
      </x:c>
    </x:row>
    <x:row r="57">
      <x:c r="A57" s="125" t="str">
        <x:v>Oil</x:v>
      </x:c>
      <x:c r="B57" s="126" t="str">
        <x:v>Adventuring Gear</x:v>
      </x:c>
      <x:c r="C57" s="126" t="str">
        <x:v>1 lb.</x:v>
      </x:c>
      <x:c r="D57" s="126" t="str">
        <x:v>1 SP</x:v>
      </x:c>
      <x:c r="E57" s="126" t="str"/>
      <x:c r="F57" s="126" t="str"/>
      <x:c r="G57" s="127" t="str">
        <x:v>SRD 5.2.1 pp. 94–100</x:v>
      </x:c>
    </x:row>
    <x:row r="58">
      <x:c r="A58" s="125" t="str">
        <x:v>Paper</x:v>
      </x:c>
      <x:c r="B58" s="126" t="str">
        <x:v>Adventuring Gear</x:v>
      </x:c>
      <x:c r="C58" s="126" t="str">
        <x:v>—</x:v>
      </x:c>
      <x:c r="D58" s="126" t="str">
        <x:v>2 SP</x:v>
      </x:c>
      <x:c r="E58" s="126" t="str"/>
      <x:c r="F58" s="126" t="str"/>
      <x:c r="G58" s="127" t="str">
        <x:v>SRD 5.2.1 pp. 94–100</x:v>
      </x:c>
    </x:row>
    <x:row r="59">
      <x:c r="A59" s="125" t="str">
        <x:v>Parchment</x:v>
      </x:c>
      <x:c r="B59" s="126" t="str">
        <x:v>Adventuring Gear</x:v>
      </x:c>
      <x:c r="C59" s="126" t="str">
        <x:v>—</x:v>
      </x:c>
      <x:c r="D59" s="126" t="str">
        <x:v>1 SP</x:v>
      </x:c>
      <x:c r="E59" s="126" t="str"/>
      <x:c r="F59" s="126" t="str"/>
      <x:c r="G59" s="127" t="str">
        <x:v>SRD 5.2.1 pp. 94–100</x:v>
      </x:c>
    </x:row>
    <x:row r="60">
      <x:c r="A60" s="125" t="str">
        <x:v>Perfume</x:v>
      </x:c>
      <x:c r="B60" s="126" t="str">
        <x:v>Adventuring Gear</x:v>
      </x:c>
      <x:c r="C60" s="126" t="str">
        <x:v>—</x:v>
      </x:c>
      <x:c r="D60" s="126" t="str">
        <x:v>5 GP</x:v>
      </x:c>
      <x:c r="E60" s="126" t="str"/>
      <x:c r="F60" s="126" t="str"/>
      <x:c r="G60" s="127" t="str">
        <x:v>SRD 5.2.1 pp. 94–100</x:v>
      </x:c>
    </x:row>
    <x:row r="61">
      <x:c r="A61" s="125" t="str">
        <x:v>Poison, Basic</x:v>
      </x:c>
      <x:c r="B61" s="126" t="str">
        <x:v>Adventuring Gear</x:v>
      </x:c>
      <x:c r="C61" s="126" t="str">
        <x:v>—</x:v>
      </x:c>
      <x:c r="D61" s="126" t="str">
        <x:v>100 GP</x:v>
      </x:c>
      <x:c r="E61" s="126" t="str"/>
      <x:c r="F61" s="126" t="str"/>
      <x:c r="G61" s="127" t="str">
        <x:v>SRD 5.2.1 pp. 94–100</x:v>
      </x:c>
    </x:row>
    <x:row r="62">
      <x:c r="A62" s="125" t="str">
        <x:v>Pole</x:v>
      </x:c>
      <x:c r="B62" s="126" t="str">
        <x:v>Adventuring Gear</x:v>
      </x:c>
      <x:c r="C62" s="126" t="str">
        <x:v>7 lb.</x:v>
      </x:c>
      <x:c r="D62" s="126" t="str">
        <x:v>5 CP</x:v>
      </x:c>
      <x:c r="E62" s="126" t="str"/>
      <x:c r="F62" s="126" t="str"/>
      <x:c r="G62" s="127" t="str">
        <x:v>SRD 5.2.1 pp. 94–100</x:v>
      </x:c>
    </x:row>
    <x:row r="63">
      <x:c r="A63" s="125" t="str">
        <x:v>Pot, Iron</x:v>
      </x:c>
      <x:c r="B63" s="126" t="str">
        <x:v>Adventuring Gear</x:v>
      </x:c>
      <x:c r="C63" s="126" t="str">
        <x:v>10 lb.</x:v>
      </x:c>
      <x:c r="D63" s="126" t="str">
        <x:v>2 GP</x:v>
      </x:c>
      <x:c r="E63" s="126" t="str"/>
      <x:c r="F63" s="126" t="str"/>
      <x:c r="G63" s="127" t="str">
        <x:v>SRD 5.2.1 pp. 94–100</x:v>
      </x:c>
    </x:row>
    <x:row r="64">
      <x:c r="A64" s="125" t="str">
        <x:v>Potion of Healing</x:v>
      </x:c>
      <x:c r="B64" s="126" t="str">
        <x:v>Adventuring Gear</x:v>
      </x:c>
      <x:c r="C64" s="126" t="str">
        <x:v>1/2 lb.</x:v>
      </x:c>
      <x:c r="D64" s="126" t="str">
        <x:v>50 GP</x:v>
      </x:c>
      <x:c r="E64" s="126" t="str"/>
      <x:c r="F64" s="126" t="str"/>
      <x:c r="G64" s="127" t="str">
        <x:v>SRD 5.2.1 pp. 94–100</x:v>
      </x:c>
    </x:row>
    <x:row r="65">
      <x:c r="A65" s="125" t="str">
        <x:v>Pouch</x:v>
      </x:c>
      <x:c r="B65" s="126" t="str">
        <x:v>Adventuring Gear</x:v>
      </x:c>
      <x:c r="C65" s="126" t="str">
        <x:v>1 lb.</x:v>
      </x:c>
      <x:c r="D65" s="126" t="str">
        <x:v>5 SP</x:v>
      </x:c>
      <x:c r="E65" s="126" t="str"/>
      <x:c r="F65" s="126" t="str"/>
      <x:c r="G65" s="127" t="str">
        <x:v>SRD 5.2.1 pp. 94–100</x:v>
      </x:c>
    </x:row>
    <x:row r="66">
      <x:c r="A66" s="125" t="str">
        <x:v>Priest’s Pack</x:v>
      </x:c>
      <x:c r="B66" s="126" t="str">
        <x:v>Adventuring Gear</x:v>
      </x:c>
      <x:c r="C66" s="126" t="str">
        <x:v>29 lb.</x:v>
      </x:c>
      <x:c r="D66" s="126" t="str">
        <x:v>33 GP</x:v>
      </x:c>
      <x:c r="E66" s="126" t="str"/>
      <x:c r="F66" s="126" t="str"/>
      <x:c r="G66" s="127" t="str">
        <x:v>SRD 5.2.1 pp. 94–100</x:v>
      </x:c>
    </x:row>
    <x:row r="67">
      <x:c r="A67" s="125" t="str">
        <x:v>Quiver</x:v>
      </x:c>
      <x:c r="B67" s="126" t="str">
        <x:v>Adventuring Gear</x:v>
      </x:c>
      <x:c r="C67" s="126" t="str">
        <x:v>1 lb.</x:v>
      </x:c>
      <x:c r="D67" s="126" t="str">
        <x:v>1 GP</x:v>
      </x:c>
      <x:c r="E67" s="126" t="str"/>
      <x:c r="F67" s="126" t="str"/>
      <x:c r="G67" s="127" t="str">
        <x:v>SRD 5.2.1 pp. 94–100</x:v>
      </x:c>
    </x:row>
    <x:row r="68">
      <x:c r="A68" s="125" t="str">
        <x:v>Ram, Portable</x:v>
      </x:c>
      <x:c r="B68" s="126" t="str">
        <x:v>Adventuring Gear</x:v>
      </x:c>
      <x:c r="C68" s="126" t="str">
        <x:v>35 lb.</x:v>
      </x:c>
      <x:c r="D68" s="126" t="str">
        <x:v>4 GP</x:v>
      </x:c>
      <x:c r="E68" s="126" t="str"/>
      <x:c r="F68" s="126" t="str"/>
      <x:c r="G68" s="127" t="str">
        <x:v>SRD 5.2.1 pp. 94–100</x:v>
      </x:c>
    </x:row>
    <x:row r="69">
      <x:c r="A69" s="125" t="str">
        <x:v>Rations</x:v>
      </x:c>
      <x:c r="B69" s="126" t="str">
        <x:v>Adventuring Gear</x:v>
      </x:c>
      <x:c r="C69" s="126" t="str">
        <x:v>2 lb.</x:v>
      </x:c>
      <x:c r="D69" s="126" t="str">
        <x:v>5 SP</x:v>
      </x:c>
      <x:c r="E69" s="126" t="str"/>
      <x:c r="F69" s="126" t="str"/>
      <x:c r="G69" s="127" t="str">
        <x:v>SRD 5.2.1 pp. 94–100</x:v>
      </x:c>
    </x:row>
    <x:row r="70">
      <x:c r="A70" s="125" t="str">
        <x:v>Robe</x:v>
      </x:c>
      <x:c r="B70" s="126" t="str">
        <x:v>Adventuring Gear</x:v>
      </x:c>
      <x:c r="C70" s="126" t="str">
        <x:v>4 lb.</x:v>
      </x:c>
      <x:c r="D70" s="126" t="str">
        <x:v>1 GP</x:v>
      </x:c>
      <x:c r="E70" s="126" t="str"/>
      <x:c r="F70" s="126" t="str"/>
      <x:c r="G70" s="127" t="str">
        <x:v>SRD 5.2.1 pp. 94–100</x:v>
      </x:c>
    </x:row>
    <x:row r="71">
      <x:c r="A71" s="125" t="str">
        <x:v>Rope</x:v>
      </x:c>
      <x:c r="B71" s="126" t="str">
        <x:v>Adventuring Gear</x:v>
      </x:c>
      <x:c r="C71" s="126" t="str">
        <x:v>5 lb.</x:v>
      </x:c>
      <x:c r="D71" s="126" t="str">
        <x:v>1 GP</x:v>
      </x:c>
      <x:c r="E71" s="126" t="str"/>
      <x:c r="F71" s="126" t="str"/>
      <x:c r="G71" s="127" t="str">
        <x:v>SRD 5.2.1 pp. 94–100</x:v>
      </x:c>
    </x:row>
    <x:row r="72">
      <x:c r="A72" s="125" t="str">
        <x:v>Sack</x:v>
      </x:c>
      <x:c r="B72" s="126" t="str">
        <x:v>Adventuring Gear</x:v>
      </x:c>
      <x:c r="C72" s="126" t="str">
        <x:v>1/2 lb.</x:v>
      </x:c>
      <x:c r="D72" s="126" t="str">
        <x:v>1 CP</x:v>
      </x:c>
      <x:c r="E72" s="126" t="str"/>
      <x:c r="F72" s="126" t="str"/>
      <x:c r="G72" s="127" t="str">
        <x:v>SRD 5.2.1 pp. 94–100</x:v>
      </x:c>
    </x:row>
    <x:row r="73">
      <x:c r="A73" s="125" t="str">
        <x:v>Scholar’s Pack</x:v>
      </x:c>
      <x:c r="B73" s="126" t="str">
        <x:v>Adventuring Gear</x:v>
      </x:c>
      <x:c r="C73" s="126" t="str">
        <x:v>22 lb.</x:v>
      </x:c>
      <x:c r="D73" s="126" t="str">
        <x:v>40 GP</x:v>
      </x:c>
      <x:c r="E73" s="126" t="str"/>
      <x:c r="F73" s="126" t="str"/>
      <x:c r="G73" s="127" t="str">
        <x:v>SRD 5.2.1 pp. 94–100</x:v>
      </x:c>
    </x:row>
    <x:row r="74">
      <x:c r="A74" s="125" t="str">
        <x:v>Shovel</x:v>
      </x:c>
      <x:c r="B74" s="126" t="str">
        <x:v>Adventuring Gear</x:v>
      </x:c>
      <x:c r="C74" s="126" t="str">
        <x:v>5 lb.</x:v>
      </x:c>
      <x:c r="D74" s="126" t="str">
        <x:v>2 GP</x:v>
      </x:c>
      <x:c r="E74" s="126" t="str"/>
      <x:c r="F74" s="126" t="str"/>
      <x:c r="G74" s="127" t="str">
        <x:v>SRD 5.2.1 pp. 94–100</x:v>
      </x:c>
    </x:row>
    <x:row r="75">
      <x:c r="A75" s="125" t="str">
        <x:v>Signal Whistle</x:v>
      </x:c>
      <x:c r="B75" s="126" t="str">
        <x:v>Adventuring Gear</x:v>
      </x:c>
      <x:c r="C75" s="126" t="str">
        <x:v>—</x:v>
      </x:c>
      <x:c r="D75" s="126" t="str">
        <x:v>5 CP</x:v>
      </x:c>
      <x:c r="E75" s="126" t="str"/>
      <x:c r="F75" s="126" t="str"/>
      <x:c r="G75" s="127" t="str">
        <x:v>SRD 5.2.1 pp. 94–100</x:v>
      </x:c>
    </x:row>
    <x:row r="76">
      <x:c r="A76" s="125" t="str">
        <x:v>Spell Scroll (Cantrip)</x:v>
      </x:c>
      <x:c r="B76" s="126" t="str">
        <x:v>Adventuring Gear</x:v>
      </x:c>
      <x:c r="C76" s="126" t="str">
        <x:v>—</x:v>
      </x:c>
      <x:c r="D76" s="126" t="str">
        <x:v>30 GP</x:v>
      </x:c>
      <x:c r="E76" s="126" t="str"/>
      <x:c r="F76" s="126" t="str"/>
      <x:c r="G76" s="127" t="str">
        <x:v>SRD 5.2.1 pp. 94–100</x:v>
      </x:c>
    </x:row>
    <x:row r="77">
      <x:c r="A77" s="125" t="str">
        <x:v>Spell Scroll (Level 1)</x:v>
      </x:c>
      <x:c r="B77" s="126" t="str">
        <x:v>Adventuring Gear</x:v>
      </x:c>
      <x:c r="C77" s="126" t="str">
        <x:v>—</x:v>
      </x:c>
      <x:c r="D77" s="126" t="str">
        <x:v>50 GP</x:v>
      </x:c>
      <x:c r="E77" s="126" t="str"/>
      <x:c r="F77" s="126" t="str"/>
      <x:c r="G77" s="127" t="str">
        <x:v>SRD 5.2.1 pp. 94–100</x:v>
      </x:c>
    </x:row>
    <x:row r="78">
      <x:c r="A78" s="125" t="str">
        <x:v>Spikes, Iron</x:v>
      </x:c>
      <x:c r="B78" s="126" t="str">
        <x:v>Adventuring Gear</x:v>
      </x:c>
      <x:c r="C78" s="126" t="str">
        <x:v>5 lb.</x:v>
      </x:c>
      <x:c r="D78" s="126" t="str">
        <x:v>1 GP</x:v>
      </x:c>
      <x:c r="E78" s="126" t="str"/>
      <x:c r="F78" s="126" t="str"/>
      <x:c r="G78" s="127" t="str">
        <x:v>SRD 5.2.1 pp. 94–100</x:v>
      </x:c>
    </x:row>
    <x:row r="79">
      <x:c r="A79" s="125" t="str">
        <x:v>Spyglass</x:v>
      </x:c>
      <x:c r="B79" s="126" t="str">
        <x:v>Adventuring Gear</x:v>
      </x:c>
      <x:c r="C79" s="126" t="str">
        <x:v>1 lb.</x:v>
      </x:c>
      <x:c r="D79" s="126" t="str">
        <x:v>1,000 GP</x:v>
      </x:c>
      <x:c r="E79" s="126" t="str"/>
      <x:c r="F79" s="126" t="str"/>
      <x:c r="G79" s="127" t="str">
        <x:v>SRD 5.2.1 pp. 94–100</x:v>
      </x:c>
    </x:row>
    <x:row r="80">
      <x:c r="A80" s="125" t="str">
        <x:v>String</x:v>
      </x:c>
      <x:c r="B80" s="126" t="str">
        <x:v>Adventuring Gear</x:v>
      </x:c>
      <x:c r="C80" s="126" t="str">
        <x:v>—</x:v>
      </x:c>
      <x:c r="D80" s="126" t="str">
        <x:v>1 SP</x:v>
      </x:c>
      <x:c r="E80" s="126" t="str"/>
      <x:c r="F80" s="126" t="str"/>
      <x:c r="G80" s="127" t="str">
        <x:v>SRD 5.2.1 pp. 94–100</x:v>
      </x:c>
    </x:row>
    <x:row r="81">
      <x:c r="A81" s="125" t="str">
        <x:v>Tent</x:v>
      </x:c>
      <x:c r="B81" s="126" t="str">
        <x:v>Adventuring Gear</x:v>
      </x:c>
      <x:c r="C81" s="126" t="str">
        <x:v>20 lb.</x:v>
      </x:c>
      <x:c r="D81" s="126" t="str">
        <x:v>2 GP</x:v>
      </x:c>
      <x:c r="E81" s="126" t="str"/>
      <x:c r="F81" s="126" t="str"/>
      <x:c r="G81" s="127" t="str">
        <x:v>SRD 5.2.1 pp. 94–100</x:v>
      </x:c>
    </x:row>
    <x:row r="82">
      <x:c r="A82" s="125" t="str">
        <x:v>Tinderbox</x:v>
      </x:c>
      <x:c r="B82" s="126" t="str">
        <x:v>Adventuring Gear</x:v>
      </x:c>
      <x:c r="C82" s="126" t="str">
        <x:v>1 lb.</x:v>
      </x:c>
      <x:c r="D82" s="126" t="str">
        <x:v>5 SP</x:v>
      </x:c>
      <x:c r="E82" s="126" t="str"/>
      <x:c r="F82" s="126" t="str"/>
      <x:c r="G82" s="127" t="str">
        <x:v>SRD 5.2.1 pp. 94–100</x:v>
      </x:c>
    </x:row>
    <x:row r="83">
      <x:c r="A83" s="125" t="str">
        <x:v>Torch</x:v>
      </x:c>
      <x:c r="B83" s="126" t="str">
        <x:v>Adventuring Gear</x:v>
      </x:c>
      <x:c r="C83" s="126" t="str">
        <x:v>1 lb.</x:v>
      </x:c>
      <x:c r="D83" s="126" t="str">
        <x:v>1 CP</x:v>
      </x:c>
      <x:c r="E83" s="126" t="str"/>
      <x:c r="F83" s="126" t="str"/>
      <x:c r="G83" s="127" t="str">
        <x:v>SRD 5.2.1 pp. 94–100</x:v>
      </x:c>
    </x:row>
    <x:row r="84">
      <x:c r="A84" s="125" t="str">
        <x:v>Vial</x:v>
      </x:c>
      <x:c r="B84" s="126" t="str">
        <x:v>Adventuring Gear</x:v>
      </x:c>
      <x:c r="C84" s="126" t="str">
        <x:v>—</x:v>
      </x:c>
      <x:c r="D84" s="126" t="str">
        <x:v>1 GP</x:v>
      </x:c>
      <x:c r="E84" s="126" t="str"/>
      <x:c r="F84" s="126" t="str"/>
      <x:c r="G84" s="127" t="str">
        <x:v>SRD 5.2.1 pp. 94–100</x:v>
      </x:c>
    </x:row>
    <x:row r="85">
      <x:c r="A85" s="128" t="str">
        <x:v>Waterskin</x:v>
      </x:c>
      <x:c r="B85" s="129" t="str">
        <x:v>Adventuring Gear</x:v>
      </x:c>
      <x:c r="C85" s="129" t="str">
        <x:v>5 lb. (full)</x:v>
      </x:c>
      <x:c r="D85" s="129" t="str">
        <x:v>2 SP</x:v>
      </x:c>
      <x:c r="E85" s="129" t="str"/>
      <x:c r="F85" s="129" t="str"/>
      <x:c r="G85" s="130" t="str">
        <x:v>SRD 5.2.1 pp. 94–100</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32" hidden="0" customWidth="1"/>
    <x:col min="2" max="2" width="18" hidden="0" customWidth="1"/>
    <x:col min="3" max="3" width="18" hidden="0" customWidth="1"/>
    <x:col min="4" max="4" width="20" hidden="0" customWidth="1"/>
    <x:col min="5" max="5" width="48" hidden="0" customWidth="1"/>
    <x:col min="6" max="6" width="28" hidden="0" customWidth="1"/>
    <x:col min="7" max="7" width="20" hidden="0" customWidth="1"/>
  </x:cols>
  <x:sheetData>
    <x:row r="1">
      <x:c r="A1" s="116" t="str">
        <x:v>Magic Item Database</x:v>
      </x:c>
      <x:c r="B1" s="116"/>
      <x:c r="C1" s="116"/>
      <x:c r="D1" s="116"/>
      <x:c r="E1" s="116"/>
      <x:c r="F1" s="116"/>
      <x:c r="G1" s="116"/>
    </x:row>
    <x:row r="2">
      <x:c r="A2" s="131" t="str">
        <x:v>Scraped from SRD 5.2.1 Magic Items A–Z section, pp. 209–253. Item descriptions are summarized by SRD type line for lookup/use in player equipment.</x:v>
      </x:c>
      <x:c r="B2" s="131"/>
      <x:c r="C2" s="131"/>
      <x:c r="D2" s="131"/>
      <x:c r="E2" s="131"/>
      <x:c r="F2" s="131"/>
      <x:c r="G2" s="131"/>
    </x:row>
    <x:row r="3">
      <x:c r="A3" s="122" t="str">
        <x:v>Magic Item Name</x:v>
      </x:c>
      <x:c r="B3" s="123" t="str">
        <x:v>Item Type</x:v>
      </x:c>
      <x:c r="C3" s="123" t="str">
        <x:v>Rarity</x:v>
      </x:c>
      <x:c r="D3" s="123" t="str">
        <x:v>Requires Attunement</x:v>
      </x:c>
      <x:c r="E3" s="123" t="str">
        <x:v>SRD Type Line</x:v>
      </x:c>
      <x:c r="F3" s="123" t="str">
        <x:v>Passive Bonus/Rule</x:v>
      </x:c>
      <x:c r="G3" s="124" t="str">
        <x:v>Source</x:v>
      </x:c>
    </x:row>
    <x:row r="4">
      <x:c r="A4" s="125" t="str">
        <x:v>Adamantine Armor</x:v>
      </x:c>
      <x:c r="B4" s="126" t="str">
        <x:v>Armor</x:v>
      </x:c>
      <x:c r="C4" s="126" t="str"/>
      <x:c r="D4" s="126" t="str">
        <x:v>No</x:v>
      </x:c>
      <x:c r="E4" s="126" t="str">
        <x:v>Armor (Any Medium or Heavy, Except Hide Armor),</x:v>
      </x:c>
      <x:c r="F4" s="126" t="str"/>
      <x:c r="G4" s="127" t="str">
        <x:v>SRD 5.2.1 p. 209</x:v>
      </x:c>
    </x:row>
    <x:row r="5">
      <x:c r="A5" s="125" t="str">
        <x:v>Ammunition, +1, +2, or +3</x:v>
      </x:c>
      <x:c r="B5" s="126" t="str">
        <x:v>Weapon</x:v>
      </x:c>
      <x:c r="C5" s="126" t="str">
        <x:v>Uncommon, Rare</x:v>
      </x:c>
      <x:c r="D5" s="126" t="str">
        <x:v>No</x:v>
      </x:c>
      <x:c r="E5" s="126" t="str">
        <x:v>Weapon (Any Ammunition), Uncommon (+1), Rare (+2),</x:v>
      </x:c>
      <x:c r="F5" s="126" t="str"/>
      <x:c r="G5" s="127" t="str">
        <x:v>SRD 5.2.1 p. 209</x:v>
      </x:c>
    </x:row>
    <x:row r="6">
      <x:c r="A6" s="125" t="str">
        <x:v>Ammunition of Slaying</x:v>
      </x:c>
      <x:c r="B6" s="126" t="str">
        <x:v>Weapon</x:v>
      </x:c>
      <x:c r="C6" s="126" t="str">
        <x:v>Rare, Very Rare</x:v>
      </x:c>
      <x:c r="D6" s="126" t="str">
        <x:v>No</x:v>
      </x:c>
      <x:c r="E6" s="126" t="str">
        <x:v>Weapon (Any Ammunition), Very Rare</x:v>
      </x:c>
      <x:c r="F6" s="126" t="str"/>
      <x:c r="G6" s="127" t="str">
        <x:v>SRD 5.2.1 p. 209</x:v>
      </x:c>
    </x:row>
    <x:row r="7">
      <x:c r="A7" s="125" t="str">
        <x:v>Amulet of Health</x:v>
      </x:c>
      <x:c r="B7" s="126" t="str">
        <x:v>Wondrous Item</x:v>
      </x:c>
      <x:c r="C7" s="126" t="str">
        <x:v>Rare</x:v>
      </x:c>
      <x:c r="D7" s="126" t="str">
        <x:v>Yes</x:v>
      </x:c>
      <x:c r="E7" s="126" t="str">
        <x:v>Wondrous Item, Rare (Requires Attunement)</x:v>
      </x:c>
      <x:c r="F7" s="126" t="str"/>
      <x:c r="G7" s="127" t="str">
        <x:v>SRD 5.2.1 p. 209</x:v>
      </x:c>
    </x:row>
    <x:row r="8">
      <x:c r="A8" s="125" t="str">
        <x:v>Amulet of Proof against Detection</x:v>
      </x:c>
      <x:c r="B8" s="126" t="str">
        <x:v>Wondrous Item</x:v>
      </x:c>
      <x:c r="C8" s="126" t="str">
        <x:v>Uncommon</x:v>
      </x:c>
      <x:c r="D8" s="126" t="str">
        <x:v>Yes</x:v>
      </x:c>
      <x:c r="E8" s="126" t="str">
        <x:v>Wondrous Item, Uncommon (Requires Attunement)</x:v>
      </x:c>
      <x:c r="F8" s="126" t="str"/>
      <x:c r="G8" s="127" t="str">
        <x:v>SRD 5.2.1 p. 209</x:v>
      </x:c>
    </x:row>
    <x:row r="9">
      <x:c r="A9" s="125" t="str">
        <x:v>Amulet of the Planes</x:v>
      </x:c>
      <x:c r="B9" s="126" t="str">
        <x:v>Wondrous Item</x:v>
      </x:c>
      <x:c r="C9" s="126" t="str">
        <x:v>Rare, Very Rare</x:v>
      </x:c>
      <x:c r="D9" s="126" t="str">
        <x:v>Yes</x:v>
      </x:c>
      <x:c r="E9" s="126" t="str">
        <x:v>Wondrous Item, Very Rare (Requires Attunement)</x:v>
      </x:c>
      <x:c r="F9" s="126" t="str"/>
      <x:c r="G9" s="127" t="str">
        <x:v>SRD 5.2.1 p. 209</x:v>
      </x:c>
    </x:row>
    <x:row r="10">
      <x:c r="A10" s="125" t="str">
        <x:v>Animated Shield</x:v>
      </x:c>
      <x:c r="B10" s="126" t="str">
        <x:v>Armor</x:v>
      </x:c>
      <x:c r="C10" s="126" t="str">
        <x:v>Rare, Very Rare</x:v>
      </x:c>
      <x:c r="D10" s="126" t="str">
        <x:v>Yes</x:v>
      </x:c>
      <x:c r="E10" s="126" t="str">
        <x:v>Armor (Shield), Very Rare (Requires Attunement)</x:v>
      </x:c>
      <x:c r="F10" s="126" t="str"/>
      <x:c r="G10" s="127" t="str">
        <x:v>SRD 5.2.1 p. 209</x:v>
      </x:c>
    </x:row>
    <x:row r="11">
      <x:c r="A11" s="125" t="str">
        <x:v>Apparatus of the Crab</x:v>
      </x:c>
      <x:c r="B11" s="126" t="str">
        <x:v>Wondrous Item</x:v>
      </x:c>
      <x:c r="C11" s="126" t="str">
        <x:v>Legendary</x:v>
      </x:c>
      <x:c r="D11" s="126" t="str">
        <x:v>No</x:v>
      </x:c>
      <x:c r="E11" s="126" t="str">
        <x:v>Wondrous Item, Legendary</x:v>
      </x:c>
      <x:c r="F11" s="126" t="str"/>
      <x:c r="G11" s="127" t="str">
        <x:v>SRD 5.2.1 p. 210</x:v>
      </x:c>
    </x:row>
    <x:row r="12">
      <x:c r="A12" s="125" t="str">
        <x:v>Armor, +1, +2, or +3</x:v>
      </x:c>
      <x:c r="B12" s="126" t="str">
        <x:v>Armor</x:v>
      </x:c>
      <x:c r="C12" s="126" t="str">
        <x:v>Rare</x:v>
      </x:c>
      <x:c r="D12" s="126" t="str">
        <x:v>No</x:v>
      </x:c>
      <x:c r="E12" s="126" t="str">
        <x:v>Armor (Any Light, Medium, or Heavy), Rare (+1), Very</x:v>
      </x:c>
      <x:c r="F12" s="126" t="str"/>
      <x:c r="G12" s="127" t="str">
        <x:v>SRD 5.2.1 p. 210</x:v>
      </x:c>
    </x:row>
    <x:row r="13">
      <x:c r="A13" s="125" t="str">
        <x:v>Armor of Invulnerability</x:v>
      </x:c>
      <x:c r="B13" s="126" t="str">
        <x:v>Armor</x:v>
      </x:c>
      <x:c r="C13" s="126" t="str">
        <x:v>Legendary</x:v>
      </x:c>
      <x:c r="D13" s="126" t="str">
        <x:v>No</x:v>
      </x:c>
      <x:c r="E13" s="126" t="str">
        <x:v>Armor (Plate Armor), Legendary (Requires</x:v>
      </x:c>
      <x:c r="F13" s="126" t="str"/>
      <x:c r="G13" s="127" t="str">
        <x:v>SRD 5.2.1 p. 210</x:v>
      </x:c>
    </x:row>
    <x:row r="14">
      <x:c r="A14" s="125" t="str">
        <x:v>Armor of Resistance</x:v>
      </x:c>
      <x:c r="B14" s="126" t="str">
        <x:v>Armor</x:v>
      </x:c>
      <x:c r="C14" s="126" t="str">
        <x:v>Rare</x:v>
      </x:c>
      <x:c r="D14" s="126" t="str">
        <x:v>No</x:v>
      </x:c>
      <x:c r="E14" s="126" t="str">
        <x:v>Armor (Any Light, Medium, or Heavy), Rare (Requires</x:v>
      </x:c>
      <x:c r="F14" s="126" t="str"/>
      <x:c r="G14" s="127" t="str">
        <x:v>SRD 5.2.1 p. 210</x:v>
      </x:c>
    </x:row>
    <x:row r="15">
      <x:c r="A15" s="125" t="str">
        <x:v>Armor of Vulnerability</x:v>
      </x:c>
      <x:c r="B15" s="126" t="str">
        <x:v>Armor</x:v>
      </x:c>
      <x:c r="C15" s="126" t="str">
        <x:v>Rare</x:v>
      </x:c>
      <x:c r="D15" s="126" t="str">
        <x:v>No</x:v>
      </x:c>
      <x:c r="E15" s="126" t="str">
        <x:v>Armor (Any Light, Medium, or Heavy), Rare (Requires</x:v>
      </x:c>
      <x:c r="F15" s="126" t="str"/>
      <x:c r="G15" s="127" t="str">
        <x:v>SRD 5.2.1 p. 211</x:v>
      </x:c>
    </x:row>
    <x:row r="16">
      <x:c r="A16" s="125" t="str">
        <x:v>Arrow-Catching Shield</x:v>
      </x:c>
      <x:c r="B16" s="126" t="str">
        <x:v>Armor</x:v>
      </x:c>
      <x:c r="C16" s="126" t="str">
        <x:v>Rare</x:v>
      </x:c>
      <x:c r="D16" s="126" t="str">
        <x:v>Yes</x:v>
      </x:c>
      <x:c r="E16" s="126" t="str">
        <x:v>Armor (Shield), Rare (Requires Attunement)</x:v>
      </x:c>
      <x:c r="F16" s="126" t="str"/>
      <x:c r="G16" s="127" t="str">
        <x:v>SRD 5.2.1 p. 211</x:v>
      </x:c>
    </x:row>
    <x:row r="17">
      <x:c r="A17" s="125" t="str">
        <x:v>Bag of Beans</x:v>
      </x:c>
      <x:c r="B17" s="126" t="str">
        <x:v>Wondrous Item</x:v>
      </x:c>
      <x:c r="C17" s="126" t="str">
        <x:v>Rare</x:v>
      </x:c>
      <x:c r="D17" s="126" t="str">
        <x:v>No</x:v>
      </x:c>
      <x:c r="E17" s="126" t="str">
        <x:v>Wondrous Item, Rare</x:v>
      </x:c>
      <x:c r="F17" s="126" t="str"/>
      <x:c r="G17" s="127" t="str">
        <x:v>SRD 5.2.1 p. 211</x:v>
      </x:c>
    </x:row>
    <x:row r="18">
      <x:c r="A18" s="125" t="str">
        <x:v>Bag of Devouring</x:v>
      </x:c>
      <x:c r="B18" s="126" t="str">
        <x:v>Wondrous Item</x:v>
      </x:c>
      <x:c r="C18" s="126" t="str">
        <x:v>Rare, Very Rare</x:v>
      </x:c>
      <x:c r="D18" s="126" t="str">
        <x:v>No</x:v>
      </x:c>
      <x:c r="E18" s="126" t="str">
        <x:v>Wondrous Item, Very Rare</x:v>
      </x:c>
      <x:c r="F18" s="126" t="str"/>
      <x:c r="G18" s="127" t="str">
        <x:v>SRD 5.2.1 p. 212</x:v>
      </x:c>
    </x:row>
    <x:row r="19">
      <x:c r="A19" s="125" t="str">
        <x:v>Bag of Holding</x:v>
      </x:c>
      <x:c r="B19" s="126" t="str">
        <x:v>Wondrous Item</x:v>
      </x:c>
      <x:c r="C19" s="126" t="str">
        <x:v>Uncommon</x:v>
      </x:c>
      <x:c r="D19" s="126" t="str">
        <x:v>No</x:v>
      </x:c>
      <x:c r="E19" s="126" t="str">
        <x:v>Wondrous Item, Uncommon</x:v>
      </x:c>
      <x:c r="F19" s="126" t="str"/>
      <x:c r="G19" s="127" t="str">
        <x:v>SRD 5.2.1 p. 212</x:v>
      </x:c>
    </x:row>
    <x:row r="20">
      <x:c r="A20" s="125" t="str">
        <x:v>Bag of Tricks</x:v>
      </x:c>
      <x:c r="B20" s="126" t="str">
        <x:v>Wondrous Item</x:v>
      </x:c>
      <x:c r="C20" s="126" t="str">
        <x:v>Uncommon</x:v>
      </x:c>
      <x:c r="D20" s="126" t="str">
        <x:v>No</x:v>
      </x:c>
      <x:c r="E20" s="126" t="str">
        <x:v>Wondrous Item, Uncommon</x:v>
      </x:c>
      <x:c r="F20" s="126" t="str"/>
      <x:c r="G20" s="127" t="str">
        <x:v>SRD 5.2.1 p. 212</x:v>
      </x:c>
    </x:row>
    <x:row r="21">
      <x:c r="A21" s="125" t="str">
        <x:v>Bead of Force</x:v>
      </x:c>
      <x:c r="B21" s="126" t="str">
        <x:v>Wondrous Item</x:v>
      </x:c>
      <x:c r="C21" s="126" t="str">
        <x:v>Rare</x:v>
      </x:c>
      <x:c r="D21" s="126" t="str">
        <x:v>No</x:v>
      </x:c>
      <x:c r="E21" s="126" t="str">
        <x:v>Wondrous Item, Rare</x:v>
      </x:c>
      <x:c r="F21" s="126" t="str"/>
      <x:c r="G21" s="127" t="str">
        <x:v>SRD 5.2.1 p. 212</x:v>
      </x:c>
    </x:row>
    <x:row r="22">
      <x:c r="A22" s="125" t="str">
        <x:v>Bead of Nourishment</x:v>
      </x:c>
      <x:c r="B22" s="126" t="str">
        <x:v>Wondrous Item</x:v>
      </x:c>
      <x:c r="C22" s="126" t="str">
        <x:v>Common</x:v>
      </x:c>
      <x:c r="D22" s="126" t="str">
        <x:v>No</x:v>
      </x:c>
      <x:c r="E22" s="126" t="str">
        <x:v>Wondrous Item, Common</x:v>
      </x:c>
      <x:c r="F22" s="126" t="str"/>
      <x:c r="G22" s="127" t="str">
        <x:v>SRD 5.2.1 p. 213</x:v>
      </x:c>
    </x:row>
    <x:row r="23">
      <x:c r="A23" s="125" t="str">
        <x:v>Belt of Dwarvenkind</x:v>
      </x:c>
      <x:c r="B23" s="126" t="str">
        <x:v>Wondrous Item</x:v>
      </x:c>
      <x:c r="C23" s="126" t="str">
        <x:v>Rare</x:v>
      </x:c>
      <x:c r="D23" s="126" t="str">
        <x:v>Yes</x:v>
      </x:c>
      <x:c r="E23" s="126" t="str">
        <x:v>Wondrous Item, Rare (Requires Attunement)</x:v>
      </x:c>
      <x:c r="F23" s="126" t="str"/>
      <x:c r="G23" s="127" t="str">
        <x:v>SRD 5.2.1 p. 213</x:v>
      </x:c>
    </x:row>
    <x:row r="24">
      <x:c r="A24" s="125" t="str">
        <x:v>Belt of Giant Strength</x:v>
      </x:c>
      <x:c r="B24" s="126" t="str">
        <x:v>Wondrous Item</x:v>
      </x:c>
      <x:c r="C24" s="126" t="str">
        <x:v>Varies</x:v>
      </x:c>
      <x:c r="D24" s="126" t="str">
        <x:v>Yes</x:v>
      </x:c>
      <x:c r="E24" s="126" t="str">
        <x:v>Wondrous Item, Rarity Varies (Requires Attunement)</x:v>
      </x:c>
      <x:c r="F24" s="126" t="str"/>
      <x:c r="G24" s="127" t="str">
        <x:v>SRD 5.2.1 p. 213</x:v>
      </x:c>
    </x:row>
    <x:row r="25">
      <x:c r="A25" s="125" t="str">
        <x:v>Berserker Axe</x:v>
      </x:c>
      <x:c r="B25" s="126" t="str">
        <x:v>Weapon</x:v>
      </x:c>
      <x:c r="C25" s="126" t="str">
        <x:v>Rare</x:v>
      </x:c>
      <x:c r="D25" s="126" t="str">
        <x:v>No</x:v>
      </x:c>
      <x:c r="E25" s="126" t="str">
        <x:v>Weapon (Battleaxe, Greataxe, or Halberd), Rare</x:v>
      </x:c>
      <x:c r="F25" s="126" t="str"/>
      <x:c r="G25" s="127" t="str">
        <x:v>SRD 5.2.1 p. 213</x:v>
      </x:c>
    </x:row>
    <x:row r="26">
      <x:c r="A26" s="125" t="str">
        <x:v>Boots of Elvenkind</x:v>
      </x:c>
      <x:c r="B26" s="126" t="str">
        <x:v>Wondrous Item</x:v>
      </x:c>
      <x:c r="C26" s="126" t="str">
        <x:v>Uncommon</x:v>
      </x:c>
      <x:c r="D26" s="126" t="str">
        <x:v>No</x:v>
      </x:c>
      <x:c r="E26" s="126" t="str">
        <x:v>Wondrous Item, Uncommon</x:v>
      </x:c>
      <x:c r="F26" s="126" t="str"/>
      <x:c r="G26" s="127" t="str">
        <x:v>SRD 5.2.1 p. 213</x:v>
      </x:c>
    </x:row>
    <x:row r="27">
      <x:c r="A27" s="125" t="str">
        <x:v>Boots of Levitation</x:v>
      </x:c>
      <x:c r="B27" s="126" t="str">
        <x:v>Wondrous Item</x:v>
      </x:c>
      <x:c r="C27" s="126" t="str">
        <x:v>Rare</x:v>
      </x:c>
      <x:c r="D27" s="126" t="str">
        <x:v>Yes</x:v>
      </x:c>
      <x:c r="E27" s="126" t="str">
        <x:v>Wondrous Item, Rare (Requires Attunement)</x:v>
      </x:c>
      <x:c r="F27" s="126" t="str"/>
      <x:c r="G27" s="127" t="str">
        <x:v>SRD 5.2.1 p. 213</x:v>
      </x:c>
    </x:row>
    <x:row r="28">
      <x:c r="A28" s="125" t="str">
        <x:v>Boots of Speed</x:v>
      </x:c>
      <x:c r="B28" s="126" t="str">
        <x:v>Wondrous Item</x:v>
      </x:c>
      <x:c r="C28" s="126" t="str">
        <x:v>Rare</x:v>
      </x:c>
      <x:c r="D28" s="126" t="str">
        <x:v>Yes</x:v>
      </x:c>
      <x:c r="E28" s="126" t="str">
        <x:v>Wondrous Item, Rare (Requires Attunement)</x:v>
      </x:c>
      <x:c r="F28" s="126" t="str"/>
      <x:c r="G28" s="127" t="str">
        <x:v>SRD 5.2.1 p. 214</x:v>
      </x:c>
    </x:row>
    <x:row r="29">
      <x:c r="A29" s="125" t="str">
        <x:v>Boots of Striding and Springing</x:v>
      </x:c>
      <x:c r="B29" s="126" t="str">
        <x:v>Wondrous Item</x:v>
      </x:c>
      <x:c r="C29" s="126" t="str">
        <x:v>Uncommon</x:v>
      </x:c>
      <x:c r="D29" s="126" t="str">
        <x:v>Yes</x:v>
      </x:c>
      <x:c r="E29" s="126" t="str">
        <x:v>Wondrous Item, Uncommon (Requires Attunement)</x:v>
      </x:c>
      <x:c r="F29" s="126" t="str"/>
      <x:c r="G29" s="127" t="str">
        <x:v>SRD 5.2.1 p. 214</x:v>
      </x:c>
    </x:row>
    <x:row r="30">
      <x:c r="A30" s="125" t="str">
        <x:v>Boots of the Winterlands</x:v>
      </x:c>
      <x:c r="B30" s="126" t="str">
        <x:v>Wondrous Item</x:v>
      </x:c>
      <x:c r="C30" s="126" t="str">
        <x:v>Uncommon</x:v>
      </x:c>
      <x:c r="D30" s="126" t="str">
        <x:v>Yes</x:v>
      </x:c>
      <x:c r="E30" s="126" t="str">
        <x:v>Wondrous Item, Uncommon (Requires Attunement)</x:v>
      </x:c>
      <x:c r="F30" s="126" t="str"/>
      <x:c r="G30" s="127" t="str">
        <x:v>SRD 5.2.1 p. 214</x:v>
      </x:c>
    </x:row>
    <x:row r="31">
      <x:c r="A31" s="125" t="str">
        <x:v>Bowl of Commanding Water Elementals</x:v>
      </x:c>
      <x:c r="B31" s="126" t="str">
        <x:v>Wondrous Item</x:v>
      </x:c>
      <x:c r="C31" s="126" t="str">
        <x:v>Rare</x:v>
      </x:c>
      <x:c r="D31" s="126" t="str">
        <x:v>No</x:v>
      </x:c>
      <x:c r="E31" s="126" t="str">
        <x:v>Wondrous Item, Rare</x:v>
      </x:c>
      <x:c r="F31" s="126" t="str"/>
      <x:c r="G31" s="127" t="str">
        <x:v>SRD 5.2.1 p. 214</x:v>
      </x:c>
    </x:row>
    <x:row r="32">
      <x:c r="A32" s="125" t="str">
        <x:v>Bracers of Archery</x:v>
      </x:c>
      <x:c r="B32" s="126" t="str">
        <x:v>Wondrous Item</x:v>
      </x:c>
      <x:c r="C32" s="126" t="str">
        <x:v>Uncommon</x:v>
      </x:c>
      <x:c r="D32" s="126" t="str">
        <x:v>Yes</x:v>
      </x:c>
      <x:c r="E32" s="126" t="str">
        <x:v>Wondrous Item, Uncommon (Requires Attunement)</x:v>
      </x:c>
      <x:c r="F32" s="126" t="str"/>
      <x:c r="G32" s="127" t="str">
        <x:v>SRD 5.2.1 p. 214</x:v>
      </x:c>
    </x:row>
    <x:row r="33">
      <x:c r="A33" s="125" t="str">
        <x:v>Bracers of Defense</x:v>
      </x:c>
      <x:c r="B33" s="126" t="str">
        <x:v>Wondrous Item</x:v>
      </x:c>
      <x:c r="C33" s="126" t="str">
        <x:v>Rare</x:v>
      </x:c>
      <x:c r="D33" s="126" t="str">
        <x:v>Yes</x:v>
      </x:c>
      <x:c r="E33" s="126" t="str">
        <x:v>Wondrous Item, Rare (Requires Attunement)</x:v>
      </x:c>
      <x:c r="F33" s="126" t="str"/>
      <x:c r="G33" s="127" t="str">
        <x:v>SRD 5.2.1 p. 214</x:v>
      </x:c>
    </x:row>
    <x:row r="34">
      <x:c r="A34" s="125" t="str">
        <x:v>Brazier of Commanding Fire Elementals</x:v>
      </x:c>
      <x:c r="B34" s="126" t="str">
        <x:v>Wondrous Item</x:v>
      </x:c>
      <x:c r="C34" s="126" t="str">
        <x:v>Rare</x:v>
      </x:c>
      <x:c r="D34" s="126" t="str">
        <x:v>No</x:v>
      </x:c>
      <x:c r="E34" s="126" t="str">
        <x:v>Wondrous Item, Rare</x:v>
      </x:c>
      <x:c r="F34" s="126" t="str"/>
      <x:c r="G34" s="127" t="str">
        <x:v>SRD 5.2.1 p. 214</x:v>
      </x:c>
    </x:row>
    <x:row r="35">
      <x:c r="A35" s="125" t="str">
        <x:v>Brooch of Shielding</x:v>
      </x:c>
      <x:c r="B35" s="126" t="str">
        <x:v>Wondrous Item</x:v>
      </x:c>
      <x:c r="C35" s="126" t="str">
        <x:v>Uncommon</x:v>
      </x:c>
      <x:c r="D35" s="126" t="str">
        <x:v>Yes</x:v>
      </x:c>
      <x:c r="E35" s="126" t="str">
        <x:v>Wondrous Item, Uncommon (Requires Attunement)</x:v>
      </x:c>
      <x:c r="F35" s="126" t="str"/>
      <x:c r="G35" s="127" t="str">
        <x:v>SRD 5.2.1 p. 214</x:v>
      </x:c>
    </x:row>
    <x:row r="36">
      <x:c r="A36" s="125" t="str">
        <x:v>Broom of Flying</x:v>
      </x:c>
      <x:c r="B36" s="126" t="str">
        <x:v>Wondrous Item</x:v>
      </x:c>
      <x:c r="C36" s="126" t="str">
        <x:v>Uncommon</x:v>
      </x:c>
      <x:c r="D36" s="126" t="str">
        <x:v>Yes</x:v>
      </x:c>
      <x:c r="E36" s="126" t="str">
        <x:v>Wondrous Item, Uncommon (Requires Attunement)</x:v>
      </x:c>
      <x:c r="F36" s="126" t="str"/>
      <x:c r="G36" s="127" t="str">
        <x:v>SRD 5.2.1 p. 214</x:v>
      </x:c>
    </x:row>
    <x:row r="37">
      <x:c r="A37" s="125" t="str">
        <x:v>Candle of Invocation</x:v>
      </x:c>
      <x:c r="B37" s="126" t="str">
        <x:v>Wondrous Item</x:v>
      </x:c>
      <x:c r="C37" s="126" t="str">
        <x:v>Rare, Very Rare</x:v>
      </x:c>
      <x:c r="D37" s="126" t="str">
        <x:v>Yes</x:v>
      </x:c>
      <x:c r="E37" s="126" t="str">
        <x:v>Wondrous Item, Very Rare (Requires Attunement)</x:v>
      </x:c>
      <x:c r="F37" s="126" t="str"/>
      <x:c r="G37" s="127" t="str">
        <x:v>SRD 5.2.1 p. 214</x:v>
      </x:c>
    </x:row>
    <x:row r="38">
      <x:c r="A38" s="125" t="str">
        <x:v>Cape of the Mountebank</x:v>
      </x:c>
      <x:c r="B38" s="126" t="str">
        <x:v>Wondrous Item</x:v>
      </x:c>
      <x:c r="C38" s="126" t="str">
        <x:v>Rare</x:v>
      </x:c>
      <x:c r="D38" s="126" t="str">
        <x:v>No</x:v>
      </x:c>
      <x:c r="E38" s="126" t="str">
        <x:v>Wondrous Item, Rare</x:v>
      </x:c>
      <x:c r="F38" s="126" t="str"/>
      <x:c r="G38" s="127" t="str">
        <x:v>SRD 5.2.1 p. 215</x:v>
      </x:c>
    </x:row>
    <x:row r="39">
      <x:c r="A39" s="125" t="str">
        <x:v>Carpet of Flying</x:v>
      </x:c>
      <x:c r="B39" s="126" t="str">
        <x:v>Wondrous Item</x:v>
      </x:c>
      <x:c r="C39" s="126" t="str">
        <x:v>Rare, Very Rare</x:v>
      </x:c>
      <x:c r="D39" s="126" t="str">
        <x:v>No</x:v>
      </x:c>
      <x:c r="E39" s="126" t="str">
        <x:v>Wondrous Item, Very Rare</x:v>
      </x:c>
      <x:c r="F39" s="126" t="str"/>
      <x:c r="G39" s="127" t="str">
        <x:v>SRD 5.2.1 p. 215</x:v>
      </x:c>
    </x:row>
    <x:row r="40">
      <x:c r="A40" s="125" t="str">
        <x:v>Censer of Controlling Air Elementals</x:v>
      </x:c>
      <x:c r="B40" s="126" t="str">
        <x:v>Wondrous Item</x:v>
      </x:c>
      <x:c r="C40" s="126" t="str">
        <x:v>Rare</x:v>
      </x:c>
      <x:c r="D40" s="126" t="str">
        <x:v>No</x:v>
      </x:c>
      <x:c r="E40" s="126" t="str">
        <x:v>Wondrous Item, Rare</x:v>
      </x:c>
      <x:c r="F40" s="126" t="str"/>
      <x:c r="G40" s="127" t="str">
        <x:v>SRD 5.2.1 p. 215</x:v>
      </x:c>
    </x:row>
    <x:row r="41">
      <x:c r="A41" s="125" t="str">
        <x:v>Chime of Opening</x:v>
      </x:c>
      <x:c r="B41" s="126" t="str">
        <x:v>Wondrous Item</x:v>
      </x:c>
      <x:c r="C41" s="126" t="str">
        <x:v>Rare</x:v>
      </x:c>
      <x:c r="D41" s="126" t="str">
        <x:v>No</x:v>
      </x:c>
      <x:c r="E41" s="126" t="str">
        <x:v>Wondrous Item, Rare</x:v>
      </x:c>
      <x:c r="F41" s="126" t="str"/>
      <x:c r="G41" s="127" t="str">
        <x:v>SRD 5.2.1 p. 215</x:v>
      </x:c>
    </x:row>
    <x:row r="42">
      <x:c r="A42" s="125" t="str">
        <x:v>Circlet of Blasting</x:v>
      </x:c>
      <x:c r="B42" s="126" t="str">
        <x:v>Wondrous Item</x:v>
      </x:c>
      <x:c r="C42" s="126" t="str">
        <x:v>Uncommon</x:v>
      </x:c>
      <x:c r="D42" s="126" t="str">
        <x:v>No</x:v>
      </x:c>
      <x:c r="E42" s="126" t="str">
        <x:v>Wondrous Item, Uncommon</x:v>
      </x:c>
      <x:c r="F42" s="126" t="str"/>
      <x:c r="G42" s="127" t="str">
        <x:v>SRD 5.2.1 p. 215</x:v>
      </x:c>
    </x:row>
    <x:row r="43">
      <x:c r="A43" s="125" t="str">
        <x:v>Cloak of Arachnida</x:v>
      </x:c>
      <x:c r="B43" s="126" t="str">
        <x:v>Wondrous Item</x:v>
      </x:c>
      <x:c r="C43" s="126" t="str">
        <x:v>Rare, Very Rare</x:v>
      </x:c>
      <x:c r="D43" s="126" t="str">
        <x:v>Yes</x:v>
      </x:c>
      <x:c r="E43" s="126" t="str">
        <x:v>Wondrous Item, Very Rare (Requires Attunement)</x:v>
      </x:c>
      <x:c r="F43" s="126" t="str"/>
      <x:c r="G43" s="127" t="str">
        <x:v>SRD 5.2.1 p. 215</x:v>
      </x:c>
    </x:row>
    <x:row r="44">
      <x:c r="A44" s="125" t="str">
        <x:v>Cloak of Displacement</x:v>
      </x:c>
      <x:c r="B44" s="126" t="str">
        <x:v>Wondrous Item</x:v>
      </x:c>
      <x:c r="C44" s="126" t="str">
        <x:v>Rare</x:v>
      </x:c>
      <x:c r="D44" s="126" t="str">
        <x:v>Yes</x:v>
      </x:c>
      <x:c r="E44" s="126" t="str">
        <x:v>Wondrous Item, Rare (Requires Attunement)</x:v>
      </x:c>
      <x:c r="F44" s="126" t="str"/>
      <x:c r="G44" s="127" t="str">
        <x:v>SRD 5.2.1 p. 215</x:v>
      </x:c>
    </x:row>
    <x:row r="45">
      <x:c r="A45" s="125" t="str">
        <x:v>Cloak of Elvenkind</x:v>
      </x:c>
      <x:c r="B45" s="126" t="str">
        <x:v>Wondrous Item</x:v>
      </x:c>
      <x:c r="C45" s="126" t="str">
        <x:v>Uncommon</x:v>
      </x:c>
      <x:c r="D45" s="126" t="str">
        <x:v>Yes</x:v>
      </x:c>
      <x:c r="E45" s="126" t="str">
        <x:v>Wondrous Item, Uncommon (Requires Attunement)</x:v>
      </x:c>
      <x:c r="F45" s="126" t="str"/>
      <x:c r="G45" s="127" t="str">
        <x:v>SRD 5.2.1 p. 215</x:v>
      </x:c>
    </x:row>
    <x:row r="46">
      <x:c r="A46" s="125" t="str">
        <x:v>Cloak of Invisibility</x:v>
      </x:c>
      <x:c r="B46" s="126" t="str">
        <x:v>Wondrous Item</x:v>
      </x:c>
      <x:c r="C46" s="126" t="str">
        <x:v>Legendary</x:v>
      </x:c>
      <x:c r="D46" s="126" t="str">
        <x:v>Yes</x:v>
      </x:c>
      <x:c r="E46" s="126" t="str">
        <x:v>Wondrous Item, Legendary (Requires Attunement)</x:v>
      </x:c>
      <x:c r="F46" s="126" t="str"/>
      <x:c r="G46" s="127" t="str">
        <x:v>SRD 5.2.1 p. 215</x:v>
      </x:c>
    </x:row>
    <x:row r="47">
      <x:c r="A47" s="125" t="str">
        <x:v>Cloak of Protection</x:v>
      </x:c>
      <x:c r="B47" s="126" t="str">
        <x:v>Wondrous Item</x:v>
      </x:c>
      <x:c r="C47" s="126" t="str">
        <x:v>Uncommon</x:v>
      </x:c>
      <x:c r="D47" s="126" t="str">
        <x:v>Yes</x:v>
      </x:c>
      <x:c r="E47" s="126" t="str">
        <x:v>Wondrous Item, Uncommon (Requires Attunement)</x:v>
      </x:c>
      <x:c r="F47" s="126" t="str"/>
      <x:c r="G47" s="127" t="str">
        <x:v>SRD 5.2.1 p. 216</x:v>
      </x:c>
    </x:row>
    <x:row r="48">
      <x:c r="A48" s="125" t="str">
        <x:v>Cloak of the Bat</x:v>
      </x:c>
      <x:c r="B48" s="126" t="str">
        <x:v>Wondrous Item</x:v>
      </x:c>
      <x:c r="C48" s="126" t="str">
        <x:v>Rare</x:v>
      </x:c>
      <x:c r="D48" s="126" t="str">
        <x:v>Yes</x:v>
      </x:c>
      <x:c r="E48" s="126" t="str">
        <x:v>Wondrous Item, Rare (Requires Attunement)</x:v>
      </x:c>
      <x:c r="F48" s="126" t="str"/>
      <x:c r="G48" s="127" t="str">
        <x:v>SRD 5.2.1 p. 216</x:v>
      </x:c>
    </x:row>
    <x:row r="49">
      <x:c r="A49" s="125" t="str">
        <x:v>Cloak of the Manta Ray</x:v>
      </x:c>
      <x:c r="B49" s="126" t="str">
        <x:v>Wondrous Item</x:v>
      </x:c>
      <x:c r="C49" s="126" t="str">
        <x:v>Uncommon</x:v>
      </x:c>
      <x:c r="D49" s="126" t="str">
        <x:v>Yes</x:v>
      </x:c>
      <x:c r="E49" s="126" t="str">
        <x:v>Wondrous Item, Uncommon (Requires Attunement)</x:v>
      </x:c>
      <x:c r="F49" s="126" t="str"/>
      <x:c r="G49" s="127" t="str">
        <x:v>SRD 5.2.1 p. 216</x:v>
      </x:c>
    </x:row>
    <x:row r="50">
      <x:c r="A50" s="125" t="str">
        <x:v>Crystal Ball</x:v>
      </x:c>
      <x:c r="B50" s="126" t="str">
        <x:v>Wondrous Item</x:v>
      </x:c>
      <x:c r="C50" s="126" t="str">
        <x:v>Rare, Very Rare</x:v>
      </x:c>
      <x:c r="D50" s="126" t="str">
        <x:v>Yes</x:v>
      </x:c>
      <x:c r="E50" s="126" t="str">
        <x:v>Wondrous Item, Very Rare (Requires Attunement)</x:v>
      </x:c>
      <x:c r="F50" s="126" t="str"/>
      <x:c r="G50" s="127" t="str">
        <x:v>SRD 5.2.1 p. 216</x:v>
      </x:c>
    </x:row>
    <x:row r="51">
      <x:c r="A51" s="125" t="str">
        <x:v>Crystal Ball of Mind Reading</x:v>
      </x:c>
      <x:c r="B51" s="126" t="str">
        <x:v>Wondrous Item</x:v>
      </x:c>
      <x:c r="C51" s="126" t="str">
        <x:v>Legendary</x:v>
      </x:c>
      <x:c r="D51" s="126" t="str">
        <x:v>Yes</x:v>
      </x:c>
      <x:c r="E51" s="126" t="str">
        <x:v>Wondrous Item, Legendary (Requires Attunement)</x:v>
      </x:c>
      <x:c r="F51" s="126" t="str"/>
      <x:c r="G51" s="127" t="str">
        <x:v>SRD 5.2.1 p. 216</x:v>
      </x:c>
    </x:row>
    <x:row r="52">
      <x:c r="A52" s="125" t="str">
        <x:v>Crystal Ball of Telepathy</x:v>
      </x:c>
      <x:c r="B52" s="126" t="str">
        <x:v>Wondrous Item</x:v>
      </x:c>
      <x:c r="C52" s="126" t="str">
        <x:v>Legendary</x:v>
      </x:c>
      <x:c r="D52" s="126" t="str">
        <x:v>Yes</x:v>
      </x:c>
      <x:c r="E52" s="126" t="str">
        <x:v>Wondrous Item, Legendary (Requires Attunement)</x:v>
      </x:c>
      <x:c r="F52" s="126" t="str"/>
      <x:c r="G52" s="127" t="str">
        <x:v>SRD 5.2.1 p. 216</x:v>
      </x:c>
    </x:row>
    <x:row r="53">
      <x:c r="A53" s="125" t="str">
        <x:v>Crystal Ball of True Seeing</x:v>
      </x:c>
      <x:c r="B53" s="126" t="str">
        <x:v>Wondrous Item</x:v>
      </x:c>
      <x:c r="C53" s="126" t="str">
        <x:v>Legendary</x:v>
      </x:c>
      <x:c r="D53" s="126" t="str">
        <x:v>Yes</x:v>
      </x:c>
      <x:c r="E53" s="126" t="str">
        <x:v>Wondrous Item, Legendary (Requires Attunement)</x:v>
      </x:c>
      <x:c r="F53" s="126" t="str"/>
      <x:c r="G53" s="127" t="str">
        <x:v>SRD 5.2.1 p. 216</x:v>
      </x:c>
    </x:row>
    <x:row r="54">
      <x:c r="A54" s="125" t="str">
        <x:v>Cube of Force</x:v>
      </x:c>
      <x:c r="B54" s="126" t="str">
        <x:v>Wondrous Item</x:v>
      </x:c>
      <x:c r="C54" s="126" t="str">
        <x:v>Rare</x:v>
      </x:c>
      <x:c r="D54" s="126" t="str">
        <x:v>Yes</x:v>
      </x:c>
      <x:c r="E54" s="126" t="str">
        <x:v>Wondrous Item, Rare (Requires Attunement)</x:v>
      </x:c>
      <x:c r="F54" s="126" t="str"/>
      <x:c r="G54" s="127" t="str">
        <x:v>SRD 5.2.1 p. 216</x:v>
      </x:c>
    </x:row>
    <x:row r="55">
      <x:c r="A55" s="125" t="str">
        <x:v>Cubic Gate</x:v>
      </x:c>
      <x:c r="B55" s="126" t="str">
        <x:v>Wondrous Item</x:v>
      </x:c>
      <x:c r="C55" s="126" t="str">
        <x:v>Legendary</x:v>
      </x:c>
      <x:c r="D55" s="126" t="str">
        <x:v>No</x:v>
      </x:c>
      <x:c r="E55" s="126" t="str">
        <x:v>Wondrous Item, Legendary</x:v>
      </x:c>
      <x:c r="F55" s="126" t="str"/>
      <x:c r="G55" s="127" t="str">
        <x:v>SRD 5.2.1 p. 216</x:v>
      </x:c>
    </x:row>
    <x:row r="56">
      <x:c r="A56" s="125" t="str">
        <x:v>Dagger of Venom</x:v>
      </x:c>
      <x:c r="B56" s="126" t="str">
        <x:v>Weapon</x:v>
      </x:c>
      <x:c r="C56" s="126" t="str">
        <x:v>Rare</x:v>
      </x:c>
      <x:c r="D56" s="126" t="str">
        <x:v>No</x:v>
      </x:c>
      <x:c r="E56" s="126" t="str">
        <x:v>Weapon (Dagger), Rare</x:v>
      </x:c>
      <x:c r="F56" s="126" t="str"/>
      <x:c r="G56" s="127" t="str">
        <x:v>SRD 5.2.1 p. 216</x:v>
      </x:c>
    </x:row>
    <x:row r="57">
      <x:c r="A57" s="125" t="str">
        <x:v>Dancing Sword</x:v>
      </x:c>
      <x:c r="B57" s="126" t="str">
        <x:v>Weapon</x:v>
      </x:c>
      <x:c r="C57" s="126" t="str"/>
      <x:c r="D57" s="126" t="str">
        <x:v>No</x:v>
      </x:c>
      <x:c r="E57" s="126" t="str">
        <x:v>Weapon (Greatsword, Longsword, Rapier, Scimitar, or</x:v>
      </x:c>
      <x:c r="F57" s="126" t="str"/>
      <x:c r="G57" s="127" t="str">
        <x:v>SRD 5.2.1 p. 217</x:v>
      </x:c>
    </x:row>
    <x:row r="58">
      <x:c r="A58" s="125" t="str">
        <x:v>Decanter of Endless Water</x:v>
      </x:c>
      <x:c r="B58" s="126" t="str">
        <x:v>Wondrous Item</x:v>
      </x:c>
      <x:c r="C58" s="126" t="str">
        <x:v>Uncommon</x:v>
      </x:c>
      <x:c r="D58" s="126" t="str">
        <x:v>No</x:v>
      </x:c>
      <x:c r="E58" s="126" t="str">
        <x:v>Wondrous Item, Uncommon</x:v>
      </x:c>
      <x:c r="F58" s="126" t="str"/>
      <x:c r="G58" s="127" t="str">
        <x:v>SRD 5.2.1 p. 217</x:v>
      </x:c>
    </x:row>
    <x:row r="59">
      <x:c r="A59" s="125" t="str">
        <x:v>Deck of Illusions</x:v>
      </x:c>
      <x:c r="B59" s="126" t="str">
        <x:v>Wondrous Item</x:v>
      </x:c>
      <x:c r="C59" s="126" t="str">
        <x:v>Uncommon</x:v>
      </x:c>
      <x:c r="D59" s="126" t="str">
        <x:v>No</x:v>
      </x:c>
      <x:c r="E59" s="126" t="str">
        <x:v>Wondrous Item, Uncommon</x:v>
      </x:c>
      <x:c r="F59" s="126" t="str"/>
      <x:c r="G59" s="127" t="str">
        <x:v>SRD 5.2.1 p. 217</x:v>
      </x:c>
    </x:row>
    <x:row r="60">
      <x:c r="A60" s="125" t="str">
        <x:v>Defender</x:v>
      </x:c>
      <x:c r="B60" s="126" t="str">
        <x:v>Weapon</x:v>
      </x:c>
      <x:c r="C60" s="126" t="str">
        <x:v>Legendary</x:v>
      </x:c>
      <x:c r="D60" s="126" t="str">
        <x:v>No</x:v>
      </x:c>
      <x:c r="E60" s="126" t="str">
        <x:v>Weapon (Any Melee Weapon), Legendary (Requires</x:v>
      </x:c>
      <x:c r="F60" s="126" t="str"/>
      <x:c r="G60" s="127" t="str">
        <x:v>SRD 5.2.1 p. 218</x:v>
      </x:c>
    </x:row>
    <x:row r="61">
      <x:c r="A61" s="125" t="str">
        <x:v>Demon Armor</x:v>
      </x:c>
      <x:c r="B61" s="126" t="str">
        <x:v>Armor</x:v>
      </x:c>
      <x:c r="C61" s="126" t="str">
        <x:v>Rare, Very Rare</x:v>
      </x:c>
      <x:c r="D61" s="126" t="str">
        <x:v>No</x:v>
      </x:c>
      <x:c r="E61" s="126" t="str">
        <x:v>Armor (Any Light, Medium, or Heavy), Very Rare</x:v>
      </x:c>
      <x:c r="F61" s="126" t="str"/>
      <x:c r="G61" s="127" t="str">
        <x:v>SRD 5.2.1 p. 218</x:v>
      </x:c>
    </x:row>
    <x:row r="62">
      <x:c r="A62" s="125" t="str">
        <x:v>Dimensional Shackles</x:v>
      </x:c>
      <x:c r="B62" s="126" t="str">
        <x:v>Wondrous Item</x:v>
      </x:c>
      <x:c r="C62" s="126" t="str">
        <x:v>Rare</x:v>
      </x:c>
      <x:c r="D62" s="126" t="str">
        <x:v>No</x:v>
      </x:c>
      <x:c r="E62" s="126" t="str">
        <x:v>Wondrous Item, Rare</x:v>
      </x:c>
      <x:c r="F62" s="126" t="str"/>
      <x:c r="G62" s="127" t="str">
        <x:v>SRD 5.2.1 p. 218</x:v>
      </x:c>
    </x:row>
    <x:row r="63">
      <x:c r="A63" s="125" t="str">
        <x:v>Dragon Orb</x:v>
      </x:c>
      <x:c r="B63" s="126" t="str">
        <x:v>Wondrous Item</x:v>
      </x:c>
      <x:c r="C63" s="126" t="str">
        <x:v>Artifact</x:v>
      </x:c>
      <x:c r="D63" s="126" t="str">
        <x:v>Yes</x:v>
      </x:c>
      <x:c r="E63" s="126" t="str">
        <x:v>Wondrous Item, Artifact (Requires Attunement)</x:v>
      </x:c>
      <x:c r="F63" s="126" t="str"/>
      <x:c r="G63" s="127" t="str">
        <x:v>SRD 5.2.1 p. 218</x:v>
      </x:c>
    </x:row>
    <x:row r="64">
      <x:c r="A64" s="125" t="str">
        <x:v>Dragon Scale Mail</x:v>
      </x:c>
      <x:c r="B64" s="126" t="str">
        <x:v>Armor</x:v>
      </x:c>
      <x:c r="C64" s="126" t="str">
        <x:v>Rare, Very Rare</x:v>
      </x:c>
      <x:c r="D64" s="126" t="str">
        <x:v>Yes</x:v>
      </x:c>
      <x:c r="E64" s="126" t="str">
        <x:v>Armor (Scale Mail), Very Rare (Requires Attunement)</x:v>
      </x:c>
      <x:c r="F64" s="126" t="str"/>
      <x:c r="G64" s="127" t="str">
        <x:v>SRD 5.2.1 p. 218</x:v>
      </x:c>
    </x:row>
    <x:row r="65">
      <x:c r="A65" s="125" t="str">
        <x:v>Dragon Slayer</x:v>
      </x:c>
      <x:c r="B65" s="126" t="str">
        <x:v>Weapon</x:v>
      </x:c>
      <x:c r="C65" s="126" t="str">
        <x:v>Rare</x:v>
      </x:c>
      <x:c r="D65" s="126" t="str">
        <x:v>No</x:v>
      </x:c>
      <x:c r="E65" s="126" t="str">
        <x:v>Weapon (Any Simple or Martial), Rare</x:v>
      </x:c>
      <x:c r="F65" s="126" t="str"/>
      <x:c r="G65" s="127" t="str">
        <x:v>SRD 5.2.1 p. 219</x:v>
      </x:c>
    </x:row>
    <x:row r="66">
      <x:c r="A66" s="125" t="str">
        <x:v>Dust of Disappearance</x:v>
      </x:c>
      <x:c r="B66" s="126" t="str">
        <x:v>Wondrous Item</x:v>
      </x:c>
      <x:c r="C66" s="126" t="str">
        <x:v>Uncommon</x:v>
      </x:c>
      <x:c r="D66" s="126" t="str">
        <x:v>No</x:v>
      </x:c>
      <x:c r="E66" s="126" t="str">
        <x:v>Wondrous Item, Uncommon</x:v>
      </x:c>
      <x:c r="F66" s="126" t="str"/>
      <x:c r="G66" s="127" t="str">
        <x:v>SRD 5.2.1 p. 219</x:v>
      </x:c>
    </x:row>
    <x:row r="67">
      <x:c r="A67" s="125" t="str">
        <x:v>Dust of Dryness</x:v>
      </x:c>
      <x:c r="B67" s="126" t="str">
        <x:v>Wondrous Item</x:v>
      </x:c>
      <x:c r="C67" s="126" t="str">
        <x:v>Uncommon</x:v>
      </x:c>
      <x:c r="D67" s="126" t="str">
        <x:v>No</x:v>
      </x:c>
      <x:c r="E67" s="126" t="str">
        <x:v>Wondrous Item, Uncommon</x:v>
      </x:c>
      <x:c r="F67" s="126" t="str"/>
      <x:c r="G67" s="127" t="str">
        <x:v>SRD 5.2.1 p. 219</x:v>
      </x:c>
    </x:row>
    <x:row r="68">
      <x:c r="A68" s="125" t="str">
        <x:v>Dust of Sneezing and Choking</x:v>
      </x:c>
      <x:c r="B68" s="126" t="str">
        <x:v>Wondrous Item</x:v>
      </x:c>
      <x:c r="C68" s="126" t="str">
        <x:v>Uncommon</x:v>
      </x:c>
      <x:c r="D68" s="126" t="str">
        <x:v>No</x:v>
      </x:c>
      <x:c r="E68" s="126" t="str">
        <x:v>Wondrous Item, Uncommon</x:v>
      </x:c>
      <x:c r="F68" s="126" t="str"/>
      <x:c r="G68" s="127" t="str">
        <x:v>SRD 5.2.1 p. 219</x:v>
      </x:c>
    </x:row>
    <x:row r="69">
      <x:c r="A69" s="125" t="str">
        <x:v>Dwarven Plate</x:v>
      </x:c>
      <x:c r="B69" s="126" t="str">
        <x:v>Armor</x:v>
      </x:c>
      <x:c r="C69" s="126" t="str">
        <x:v>Rare, Very Rare</x:v>
      </x:c>
      <x:c r="D69" s="126" t="str">
        <x:v>No</x:v>
      </x:c>
      <x:c r="E69" s="126" t="str">
        <x:v>Armor (Half Plate Armor or Plate Armor), Very Rare</x:v>
      </x:c>
      <x:c r="F69" s="126" t="str"/>
      <x:c r="G69" s="127" t="str">
        <x:v>SRD 5.2.1 p. 219</x:v>
      </x:c>
    </x:row>
    <x:row r="70">
      <x:c r="A70" s="125" t="str">
        <x:v>Dwarven Thrower</x:v>
      </x:c>
      <x:c r="B70" s="126" t="str">
        <x:v>Weapon</x:v>
      </x:c>
      <x:c r="C70" s="126" t="str">
        <x:v>Rare, Very Rare</x:v>
      </x:c>
      <x:c r="D70" s="126" t="str">
        <x:v>No</x:v>
      </x:c>
      <x:c r="E70" s="126" t="str">
        <x:v>Weapon (Warhammer), Very Rare (Requires</x:v>
      </x:c>
      <x:c r="F70" s="126" t="str"/>
      <x:c r="G70" s="127" t="str">
        <x:v>SRD 5.2.1 p. 219</x:v>
      </x:c>
    </x:row>
    <x:row r="71">
      <x:c r="A71" s="125" t="str">
        <x:v>Efficient Quiver</x:v>
      </x:c>
      <x:c r="B71" s="126" t="str">
        <x:v>Wondrous Item</x:v>
      </x:c>
      <x:c r="C71" s="126" t="str">
        <x:v>Uncommon</x:v>
      </x:c>
      <x:c r="D71" s="126" t="str">
        <x:v>No</x:v>
      </x:c>
      <x:c r="E71" s="126" t="str">
        <x:v>Wondrous Item, Uncommon</x:v>
      </x:c>
      <x:c r="F71" s="126" t="str"/>
      <x:c r="G71" s="127" t="str">
        <x:v>SRD 5.2.1 p. 219</x:v>
      </x:c>
    </x:row>
    <x:row r="72">
      <x:c r="A72" s="125" t="str">
        <x:v>Efreeti Bottle</x:v>
      </x:c>
      <x:c r="B72" s="126" t="str">
        <x:v>Wondrous Item</x:v>
      </x:c>
      <x:c r="C72" s="126" t="str">
        <x:v>Rare, Very Rare</x:v>
      </x:c>
      <x:c r="D72" s="126" t="str">
        <x:v>No</x:v>
      </x:c>
      <x:c r="E72" s="126" t="str">
        <x:v>Wondrous Item, Very Rare</x:v>
      </x:c>
      <x:c r="F72" s="126" t="str"/>
      <x:c r="G72" s="127" t="str">
        <x:v>SRD 5.2.1 p. 220</x:v>
      </x:c>
    </x:row>
    <x:row r="73">
      <x:c r="A73" s="125" t="str">
        <x:v>Elemental Gem</x:v>
      </x:c>
      <x:c r="B73" s="126" t="str">
        <x:v>Wondrous Item</x:v>
      </x:c>
      <x:c r="C73" s="126" t="str">
        <x:v>Uncommon</x:v>
      </x:c>
      <x:c r="D73" s="126" t="str">
        <x:v>No</x:v>
      </x:c>
      <x:c r="E73" s="126" t="str">
        <x:v>Wondrous Item, Uncommon</x:v>
      </x:c>
      <x:c r="F73" s="126" t="str"/>
      <x:c r="G73" s="127" t="str">
        <x:v>SRD 5.2.1 p. 220</x:v>
      </x:c>
    </x:row>
    <x:row r="74">
      <x:c r="A74" s="125" t="str">
        <x:v>Elixir of Health</x:v>
      </x:c>
      <x:c r="B74" s="126" t="str">
        <x:v>Potion</x:v>
      </x:c>
      <x:c r="C74" s="126" t="str">
        <x:v>Rare</x:v>
      </x:c>
      <x:c r="D74" s="126" t="str">
        <x:v>No</x:v>
      </x:c>
      <x:c r="E74" s="126" t="str">
        <x:v>Potion, Rare</x:v>
      </x:c>
      <x:c r="F74" s="126" t="str"/>
      <x:c r="G74" s="127" t="str">
        <x:v>SRD 5.2.1 p. 220</x:v>
      </x:c>
    </x:row>
    <x:row r="75">
      <x:c r="A75" s="125" t="str">
        <x:v>Elven Chain</x:v>
      </x:c>
      <x:c r="B75" s="126" t="str">
        <x:v>Armor</x:v>
      </x:c>
      <x:c r="C75" s="126" t="str">
        <x:v>Rare</x:v>
      </x:c>
      <x:c r="D75" s="126" t="str">
        <x:v>No</x:v>
      </x:c>
      <x:c r="E75" s="126" t="str">
        <x:v>Armor (Chain Mail or Chain Shirt), Rare</x:v>
      </x:c>
      <x:c r="F75" s="126" t="str"/>
      <x:c r="G75" s="127" t="str">
        <x:v>SRD 5.2.1 p. 220</x:v>
      </x:c>
    </x:row>
    <x:row r="76">
      <x:c r="A76" s="125" t="str">
        <x:v>Energy Bow</x:v>
      </x:c>
      <x:c r="B76" s="126" t="str">
        <x:v>Weapon</x:v>
      </x:c>
      <x:c r="C76" s="126" t="str">
        <x:v>Rare, Very Rare</x:v>
      </x:c>
      <x:c r="D76" s="126" t="str">
        <x:v>No</x:v>
      </x:c>
      <x:c r="E76" s="126" t="str">
        <x:v>Weapon (Longbow or Shortbow), Very Rare (Requires</x:v>
      </x:c>
      <x:c r="F76" s="126" t="str"/>
      <x:c r="G76" s="127" t="str">
        <x:v>SRD 5.2.1 p. 220</x:v>
      </x:c>
    </x:row>
    <x:row r="77">
      <x:c r="A77" s="125" t="str">
        <x:v>Eversmoking Bottle</x:v>
      </x:c>
      <x:c r="B77" s="126" t="str">
        <x:v>Wondrous Item</x:v>
      </x:c>
      <x:c r="C77" s="126" t="str">
        <x:v>Uncommon</x:v>
      </x:c>
      <x:c r="D77" s="126" t="str">
        <x:v>No</x:v>
      </x:c>
      <x:c r="E77" s="126" t="str">
        <x:v>Wondrous Item, Uncommon</x:v>
      </x:c>
      <x:c r="F77" s="126" t="str"/>
      <x:c r="G77" s="127" t="str">
        <x:v>SRD 5.2.1 p. 220</x:v>
      </x:c>
    </x:row>
    <x:row r="78">
      <x:c r="A78" s="125" t="str">
        <x:v>Eyes of Charming</x:v>
      </x:c>
      <x:c r="B78" s="126" t="str">
        <x:v>Wondrous Item</x:v>
      </x:c>
      <x:c r="C78" s="126" t="str">
        <x:v>Uncommon</x:v>
      </x:c>
      <x:c r="D78" s="126" t="str">
        <x:v>Yes</x:v>
      </x:c>
      <x:c r="E78" s="126" t="str">
        <x:v>Wondrous Item, Uncommon (Requires Attunement)</x:v>
      </x:c>
      <x:c r="F78" s="126" t="str"/>
      <x:c r="G78" s="127" t="str">
        <x:v>SRD 5.2.1 p. 221</x:v>
      </x:c>
    </x:row>
    <x:row r="79">
      <x:c r="A79" s="125" t="str">
        <x:v>Eyes of Minute Seeing</x:v>
      </x:c>
      <x:c r="B79" s="126" t="str">
        <x:v>Wondrous Item</x:v>
      </x:c>
      <x:c r="C79" s="126" t="str">
        <x:v>Uncommon</x:v>
      </x:c>
      <x:c r="D79" s="126" t="str">
        <x:v>No</x:v>
      </x:c>
      <x:c r="E79" s="126" t="str">
        <x:v>Wondrous Item, Uncommon</x:v>
      </x:c>
      <x:c r="F79" s="126" t="str"/>
      <x:c r="G79" s="127" t="str">
        <x:v>SRD 5.2.1 p. 221</x:v>
      </x:c>
    </x:row>
    <x:row r="80">
      <x:c r="A80" s="125" t="str">
        <x:v>Eyes of the Eagle</x:v>
      </x:c>
      <x:c r="B80" s="126" t="str">
        <x:v>Wondrous Item</x:v>
      </x:c>
      <x:c r="C80" s="126" t="str">
        <x:v>Uncommon</x:v>
      </x:c>
      <x:c r="D80" s="126" t="str">
        <x:v>No</x:v>
      </x:c>
      <x:c r="E80" s="126" t="str">
        <x:v>Wondrous Item, Uncommon</x:v>
      </x:c>
      <x:c r="F80" s="126" t="str"/>
      <x:c r="G80" s="127" t="str">
        <x:v>SRD 5.2.1 p. 221</x:v>
      </x:c>
    </x:row>
    <x:row r="81">
      <x:c r="A81" s="125" t="str">
        <x:v>Feather Token</x:v>
      </x:c>
      <x:c r="B81" s="126" t="str">
        <x:v>Wondrous Item</x:v>
      </x:c>
      <x:c r="C81" s="126" t="str">
        <x:v>Varies</x:v>
      </x:c>
      <x:c r="D81" s="126" t="str">
        <x:v>No</x:v>
      </x:c>
      <x:c r="E81" s="126" t="str">
        <x:v>Wondrous Item, Rarity Varies</x:v>
      </x:c>
      <x:c r="F81" s="126" t="str"/>
      <x:c r="G81" s="127" t="str">
        <x:v>SRD 5.2.1 p. 221</x:v>
      </x:c>
    </x:row>
    <x:row r="82">
      <x:c r="A82" s="125" t="str">
        <x:v>Figurine of Wondrous Power</x:v>
      </x:c>
      <x:c r="B82" s="126" t="str">
        <x:v>Wondrous Item</x:v>
      </x:c>
      <x:c r="C82" s="126" t="str">
        <x:v>Varies</x:v>
      </x:c>
      <x:c r="D82" s="126" t="str">
        <x:v>No</x:v>
      </x:c>
      <x:c r="E82" s="126" t="str">
        <x:v>Wondrous Item, Rarity Varies</x:v>
      </x:c>
      <x:c r="F82" s="126" t="str"/>
      <x:c r="G82" s="127" t="str">
        <x:v>SRD 5.2.1 p. 221</x:v>
      </x:c>
    </x:row>
    <x:row r="83">
      <x:c r="A83" s="125" t="str">
        <x:v>Flame Tongue</x:v>
      </x:c>
      <x:c r="B83" s="126" t="str">
        <x:v>Weapon</x:v>
      </x:c>
      <x:c r="C83" s="126" t="str">
        <x:v>Rare</x:v>
      </x:c>
      <x:c r="D83" s="126" t="str">
        <x:v>No</x:v>
      </x:c>
      <x:c r="E83" s="126" t="str">
        <x:v>Weapon (Any Melee Weapon), Rare (Requires</x:v>
      </x:c>
      <x:c r="F83" s="126" t="str"/>
      <x:c r="G83" s="127" t="str">
        <x:v>SRD 5.2.1 p. 223</x:v>
      </x:c>
    </x:row>
    <x:row r="84">
      <x:c r="A84" s="125" t="str">
        <x:v>Folding Boat</x:v>
      </x:c>
      <x:c r="B84" s="126" t="str">
        <x:v>Wondrous Item</x:v>
      </x:c>
      <x:c r="C84" s="126" t="str">
        <x:v>Rare</x:v>
      </x:c>
      <x:c r="D84" s="126" t="str">
        <x:v>No</x:v>
      </x:c>
      <x:c r="E84" s="126" t="str">
        <x:v>Wondrous Item, Rare</x:v>
      </x:c>
      <x:c r="F84" s="126" t="str"/>
      <x:c r="G84" s="127" t="str">
        <x:v>SRD 5.2.1 p. 223</x:v>
      </x:c>
    </x:row>
    <x:row r="85">
      <x:c r="A85" s="125" t="str">
        <x:v>Frost Brand</x:v>
      </x:c>
      <x:c r="B85" s="126" t="str">
        <x:v>Weapon</x:v>
      </x:c>
      <x:c r="C85" s="126" t="str"/>
      <x:c r="D85" s="126" t="str">
        <x:v>No</x:v>
      </x:c>
      <x:c r="E85" s="126" t="str">
        <x:v>Weapon (Glaive, Greatsword, Longsword, Rapier,</x:v>
      </x:c>
      <x:c r="F85" s="126" t="str"/>
      <x:c r="G85" s="127" t="str">
        <x:v>SRD 5.2.1 p. 223</x:v>
      </x:c>
    </x:row>
    <x:row r="86">
      <x:c r="A86" s="125" t="str">
        <x:v>Gauntlets of Ogre Power</x:v>
      </x:c>
      <x:c r="B86" s="126" t="str">
        <x:v>Wondrous Item</x:v>
      </x:c>
      <x:c r="C86" s="126" t="str">
        <x:v>Uncommon</x:v>
      </x:c>
      <x:c r="D86" s="126" t="str">
        <x:v>Yes</x:v>
      </x:c>
      <x:c r="E86" s="126" t="str">
        <x:v>Wondrous Item, Uncommon (Requires Attunement)</x:v>
      </x:c>
      <x:c r="F86" s="126" t="str"/>
      <x:c r="G86" s="127" t="str">
        <x:v>SRD 5.2.1 p. 223</x:v>
      </x:c>
    </x:row>
    <x:row r="87">
      <x:c r="A87" s="125" t="str">
        <x:v>Gem of Brightness</x:v>
      </x:c>
      <x:c r="B87" s="126" t="str">
        <x:v>Wondrous Item</x:v>
      </x:c>
      <x:c r="C87" s="126" t="str">
        <x:v>Uncommon</x:v>
      </x:c>
      <x:c r="D87" s="126" t="str">
        <x:v>No</x:v>
      </x:c>
      <x:c r="E87" s="126" t="str">
        <x:v>Wondrous Item, Uncommon</x:v>
      </x:c>
      <x:c r="F87" s="126" t="str"/>
      <x:c r="G87" s="127" t="str">
        <x:v>SRD 5.2.1 p. 223</x:v>
      </x:c>
    </x:row>
    <x:row r="88">
      <x:c r="A88" s="125" t="str">
        <x:v>Gem of Seeing</x:v>
      </x:c>
      <x:c r="B88" s="126" t="str">
        <x:v>Wondrous Item</x:v>
      </x:c>
      <x:c r="C88" s="126" t="str">
        <x:v>Rare</x:v>
      </x:c>
      <x:c r="D88" s="126" t="str">
        <x:v>Yes</x:v>
      </x:c>
      <x:c r="E88" s="126" t="str">
        <x:v>Wondrous Item, Rare (Requires Attunement)</x:v>
      </x:c>
      <x:c r="F88" s="126" t="str"/>
      <x:c r="G88" s="127" t="str">
        <x:v>SRD 5.2.1 p. 223</x:v>
      </x:c>
    </x:row>
    <x:row r="89">
      <x:c r="A89" s="125" t="str">
        <x:v>Giant Slayer</x:v>
      </x:c>
      <x:c r="B89" s="126" t="str">
        <x:v>Weapon</x:v>
      </x:c>
      <x:c r="C89" s="126" t="str">
        <x:v>Rare</x:v>
      </x:c>
      <x:c r="D89" s="126" t="str">
        <x:v>No</x:v>
      </x:c>
      <x:c r="E89" s="126" t="str">
        <x:v>Weapon (Any Simple or Martial), Rare</x:v>
      </x:c>
      <x:c r="F89" s="126" t="str"/>
      <x:c r="G89" s="127" t="str">
        <x:v>SRD 5.2.1 p. 223</x:v>
      </x:c>
    </x:row>
    <x:row r="90">
      <x:c r="A90" s="125" t="str">
        <x:v>Glamoured Studded Leather</x:v>
      </x:c>
      <x:c r="B90" s="126" t="str">
        <x:v>Armor</x:v>
      </x:c>
      <x:c r="C90" s="126" t="str">
        <x:v>Rare</x:v>
      </x:c>
      <x:c r="D90" s="126" t="str">
        <x:v>No</x:v>
      </x:c>
      <x:c r="E90" s="126" t="str">
        <x:v>Armor (Studded Leather Armor), Rare</x:v>
      </x:c>
      <x:c r="F90" s="126" t="str"/>
      <x:c r="G90" s="127" t="str">
        <x:v>SRD 5.2.1 p. 223</x:v>
      </x:c>
    </x:row>
    <x:row r="91">
      <x:c r="A91" s="125" t="str">
        <x:v>Gloves of Missile Snaring</x:v>
      </x:c>
      <x:c r="B91" s="126" t="str">
        <x:v>Wondrous Item</x:v>
      </x:c>
      <x:c r="C91" s="126" t="str">
        <x:v>Uncommon</x:v>
      </x:c>
      <x:c r="D91" s="126" t="str">
        <x:v>Yes</x:v>
      </x:c>
      <x:c r="E91" s="126" t="str">
        <x:v>Wondrous Item, Uncommon (Requires Attunement)</x:v>
      </x:c>
      <x:c r="F91" s="126" t="str"/>
      <x:c r="G91" s="127" t="str">
        <x:v>SRD 5.2.1 p. 224</x:v>
      </x:c>
    </x:row>
    <x:row r="92">
      <x:c r="A92" s="125" t="str">
        <x:v>Gloves of Swimming and Climbing</x:v>
      </x:c>
      <x:c r="B92" s="126" t="str">
        <x:v>Wondrous Item</x:v>
      </x:c>
      <x:c r="C92" s="126" t="str">
        <x:v>Uncommon</x:v>
      </x:c>
      <x:c r="D92" s="126" t="str">
        <x:v>Yes</x:v>
      </x:c>
      <x:c r="E92" s="126" t="str">
        <x:v>Wondrous Item, Uncommon (Requires Attunement)</x:v>
      </x:c>
      <x:c r="F92" s="126" t="str"/>
      <x:c r="G92" s="127" t="str">
        <x:v>SRD 5.2.1 p. 224</x:v>
      </x:c>
    </x:row>
    <x:row r="93">
      <x:c r="A93" s="125" t="str">
        <x:v>Gloves of Thievery</x:v>
      </x:c>
      <x:c r="B93" s="126" t="str">
        <x:v>Wondrous Item</x:v>
      </x:c>
      <x:c r="C93" s="126" t="str">
        <x:v>Uncommon</x:v>
      </x:c>
      <x:c r="D93" s="126" t="str">
        <x:v>No</x:v>
      </x:c>
      <x:c r="E93" s="126" t="str">
        <x:v>Wondrous Item, Uncommon</x:v>
      </x:c>
      <x:c r="F93" s="126" t="str"/>
      <x:c r="G93" s="127" t="str">
        <x:v>SRD 5.2.1 p. 224</x:v>
      </x:c>
    </x:row>
    <x:row r="94">
      <x:c r="A94" s="125" t="str">
        <x:v>Goggles of Night</x:v>
      </x:c>
      <x:c r="B94" s="126" t="str">
        <x:v>Wondrous Item</x:v>
      </x:c>
      <x:c r="C94" s="126" t="str">
        <x:v>Uncommon</x:v>
      </x:c>
      <x:c r="D94" s="126" t="str">
        <x:v>No</x:v>
      </x:c>
      <x:c r="E94" s="126" t="str">
        <x:v>Wondrous Item, Uncommon</x:v>
      </x:c>
      <x:c r="F94" s="126" t="str"/>
      <x:c r="G94" s="127" t="str">
        <x:v>SRD 5.2.1 p. 224</x:v>
      </x:c>
    </x:row>
    <x:row r="95">
      <x:c r="A95" s="125" t="str">
        <x:v>Hammer of Thunderbolts</x:v>
      </x:c>
      <x:c r="B95" s="126" t="str">
        <x:v>Weapon</x:v>
      </x:c>
      <x:c r="C95" s="126" t="str">
        <x:v>Legendary</x:v>
      </x:c>
      <x:c r="D95" s="126" t="str">
        <x:v>No</x:v>
      </x:c>
      <x:c r="E95" s="126" t="str">
        <x:v>Weapon (Maul or Warhammer), Legendary (Requires</x:v>
      </x:c>
      <x:c r="F95" s="126" t="str"/>
      <x:c r="G95" s="127" t="str">
        <x:v>SRD 5.2.1 p. 224</x:v>
      </x:c>
    </x:row>
    <x:row r="96">
      <x:c r="A96" s="125" t="str">
        <x:v>Handy Haversack</x:v>
      </x:c>
      <x:c r="B96" s="126" t="str">
        <x:v>Wondrous Item</x:v>
      </x:c>
      <x:c r="C96" s="126" t="str">
        <x:v>Rare</x:v>
      </x:c>
      <x:c r="D96" s="126" t="str">
        <x:v>No</x:v>
      </x:c>
      <x:c r="E96" s="126" t="str">
        <x:v>Wondrous Item, Rare</x:v>
      </x:c>
      <x:c r="F96" s="126" t="str"/>
      <x:c r="G96" s="127" t="str">
        <x:v>SRD 5.2.1 p. 224</x:v>
      </x:c>
    </x:row>
    <x:row r="97">
      <x:c r="A97" s="125" t="str">
        <x:v>Hat of Disguise</x:v>
      </x:c>
      <x:c r="B97" s="126" t="str">
        <x:v>Wondrous Item</x:v>
      </x:c>
      <x:c r="C97" s="126" t="str">
        <x:v>Uncommon</x:v>
      </x:c>
      <x:c r="D97" s="126" t="str">
        <x:v>Yes</x:v>
      </x:c>
      <x:c r="E97" s="126" t="str">
        <x:v>Wondrous Item, Uncommon (Requires Attunement)</x:v>
      </x:c>
      <x:c r="F97" s="126" t="str"/>
      <x:c r="G97" s="127" t="str">
        <x:v>SRD 5.2.1 p. 224</x:v>
      </x:c>
    </x:row>
    <x:row r="98">
      <x:c r="A98" s="125" t="str">
        <x:v>Hat of Many Spells</x:v>
      </x:c>
      <x:c r="B98" s="126" t="str">
        <x:v>Wondrous Item</x:v>
      </x:c>
      <x:c r="C98" s="126" t="str">
        <x:v>Rare, Very Rare</x:v>
      </x:c>
      <x:c r="D98" s="126" t="str">
        <x:v>Yes</x:v>
      </x:c>
      <x:c r="E98" s="126" t="str">
        <x:v>Wondrous Item, Very Rare (Requires Attunement by a</x:v>
      </x:c>
      <x:c r="F98" s="126" t="str"/>
      <x:c r="G98" s="127" t="str">
        <x:v>SRD 5.2.1 p. 224</x:v>
      </x:c>
    </x:row>
    <x:row r="99">
      <x:c r="A99" s="125" t="str">
        <x:v>Headband of Intellect</x:v>
      </x:c>
      <x:c r="B99" s="126" t="str">
        <x:v>Wondrous Item</x:v>
      </x:c>
      <x:c r="C99" s="126" t="str">
        <x:v>Uncommon</x:v>
      </x:c>
      <x:c r="D99" s="126" t="str">
        <x:v>Yes</x:v>
      </x:c>
      <x:c r="E99" s="126" t="str">
        <x:v>Wondrous Item, Uncommon (Requires Attunement)</x:v>
      </x:c>
      <x:c r="F99" s="126" t="str"/>
      <x:c r="G99" s="127" t="str">
        <x:v>SRD 5.2.1 p. 225</x:v>
      </x:c>
    </x:row>
    <x:row r="100">
      <x:c r="A100" s="125" t="str">
        <x:v>Helm of Brilliance</x:v>
      </x:c>
      <x:c r="B100" s="126" t="str">
        <x:v>Wondrous Item</x:v>
      </x:c>
      <x:c r="C100" s="126" t="str">
        <x:v>Rare, Very Rare</x:v>
      </x:c>
      <x:c r="D100" s="126" t="str">
        <x:v>Yes</x:v>
      </x:c>
      <x:c r="E100" s="126" t="str">
        <x:v>Wondrous Item, Very Rare (Requires Attunement)</x:v>
      </x:c>
      <x:c r="F100" s="126" t="str"/>
      <x:c r="G100" s="127" t="str">
        <x:v>SRD 5.2.1 p. 225</x:v>
      </x:c>
    </x:row>
    <x:row r="101">
      <x:c r="A101" s="125" t="str">
        <x:v>Helm of Comprehending Languages</x:v>
      </x:c>
      <x:c r="B101" s="126" t="str">
        <x:v>Wondrous Item</x:v>
      </x:c>
      <x:c r="C101" s="126" t="str">
        <x:v>Uncommon</x:v>
      </x:c>
      <x:c r="D101" s="126" t="str">
        <x:v>No</x:v>
      </x:c>
      <x:c r="E101" s="126" t="str">
        <x:v>Wondrous Item, Uncommon</x:v>
      </x:c>
      <x:c r="F101" s="126" t="str"/>
      <x:c r="G101" s="127" t="str">
        <x:v>SRD 5.2.1 p. 226</x:v>
      </x:c>
    </x:row>
    <x:row r="102">
      <x:c r="A102" s="125" t="str">
        <x:v>Helm of Telepathy</x:v>
      </x:c>
      <x:c r="B102" s="126" t="str">
        <x:v>Wondrous Item</x:v>
      </x:c>
      <x:c r="C102" s="126" t="str">
        <x:v>Uncommon</x:v>
      </x:c>
      <x:c r="D102" s="126" t="str">
        <x:v>Yes</x:v>
      </x:c>
      <x:c r="E102" s="126" t="str">
        <x:v>Wondrous Item, Uncommon (Requires Attunement)</x:v>
      </x:c>
      <x:c r="F102" s="126" t="str"/>
      <x:c r="G102" s="127" t="str">
        <x:v>SRD 5.2.1 p. 226</x:v>
      </x:c>
    </x:row>
    <x:row r="103">
      <x:c r="A103" s="125" t="str">
        <x:v>Helm of Teleportation</x:v>
      </x:c>
      <x:c r="B103" s="126" t="str">
        <x:v>Wondrous Item</x:v>
      </x:c>
      <x:c r="C103" s="126" t="str">
        <x:v>Rare</x:v>
      </x:c>
      <x:c r="D103" s="126" t="str">
        <x:v>Yes</x:v>
      </x:c>
      <x:c r="E103" s="126" t="str">
        <x:v>Wondrous Item, Rare (Requires Attunement)</x:v>
      </x:c>
      <x:c r="F103" s="126" t="str"/>
      <x:c r="G103" s="127" t="str">
        <x:v>SRD 5.2.1 p. 226</x:v>
      </x:c>
    </x:row>
    <x:row r="104">
      <x:c r="A104" s="125" t="str">
        <x:v>Holy Avenger</x:v>
      </x:c>
      <x:c r="B104" s="126" t="str">
        <x:v>Weapon</x:v>
      </x:c>
      <x:c r="C104" s="126" t="str">
        <x:v>Legendary</x:v>
      </x:c>
      <x:c r="D104" s="126" t="str">
        <x:v>No</x:v>
      </x:c>
      <x:c r="E104" s="126" t="str">
        <x:v>Weapon (Any Simple or Martial), Legendary (Requires</x:v>
      </x:c>
      <x:c r="F104" s="126" t="str"/>
      <x:c r="G104" s="127" t="str">
        <x:v>SRD 5.2.1 p. 226</x:v>
      </x:c>
    </x:row>
    <x:row r="105">
      <x:c r="A105" s="125" t="str">
        <x:v>Horn of Blasting</x:v>
      </x:c>
      <x:c r="B105" s="126" t="str">
        <x:v>Wondrous Item</x:v>
      </x:c>
      <x:c r="C105" s="126" t="str">
        <x:v>Rare</x:v>
      </x:c>
      <x:c r="D105" s="126" t="str">
        <x:v>No</x:v>
      </x:c>
      <x:c r="E105" s="126" t="str">
        <x:v>Wondrous Item, Rare</x:v>
      </x:c>
      <x:c r="F105" s="126" t="str"/>
      <x:c r="G105" s="127" t="str">
        <x:v>SRD 5.2.1 p. 226</x:v>
      </x:c>
    </x:row>
    <x:row r="106">
      <x:c r="A106" s="125" t="str">
        <x:v>Horn of Valhalla</x:v>
      </x:c>
      <x:c r="B106" s="126" t="str">
        <x:v>Wondrous Item</x:v>
      </x:c>
      <x:c r="C106" s="126" t="str">
        <x:v>Rare, Very Rare</x:v>
      </x:c>
      <x:c r="D106" s="126" t="str">
        <x:v>No</x:v>
      </x:c>
      <x:c r="E106" s="126" t="str">
        <x:v>Wondrous Item, Rare (Silver or Brass), Very Rare</x:v>
      </x:c>
      <x:c r="F106" s="126" t="str"/>
      <x:c r="G106" s="127" t="str">
        <x:v>SRD 5.2.1 p. 226</x:v>
      </x:c>
    </x:row>
    <x:row r="107">
      <x:c r="A107" s="125" t="str">
        <x:v>Horseshoes of a Zephyr</x:v>
      </x:c>
      <x:c r="B107" s="126" t="str">
        <x:v>Wondrous Item</x:v>
      </x:c>
      <x:c r="C107" s="126" t="str">
        <x:v>Rare, Very Rare</x:v>
      </x:c>
      <x:c r="D107" s="126" t="str">
        <x:v>No</x:v>
      </x:c>
      <x:c r="E107" s="126" t="str">
        <x:v>Wondrous Item, Very Rare</x:v>
      </x:c>
      <x:c r="F107" s="126" t="str"/>
      <x:c r="G107" s="127" t="str">
        <x:v>SRD 5.2.1 p. 226</x:v>
      </x:c>
    </x:row>
    <x:row r="108">
      <x:c r="A108" s="125" t="str">
        <x:v>Horseshoes of Speed</x:v>
      </x:c>
      <x:c r="B108" s="126" t="str">
        <x:v>Wondrous Item</x:v>
      </x:c>
      <x:c r="C108" s="126" t="str">
        <x:v>Rare</x:v>
      </x:c>
      <x:c r="D108" s="126" t="str">
        <x:v>No</x:v>
      </x:c>
      <x:c r="E108" s="126" t="str">
        <x:v>Wondrous Item, Rare</x:v>
      </x:c>
      <x:c r="F108" s="126" t="str"/>
      <x:c r="G108" s="127" t="str">
        <x:v>SRD 5.2.1 p. 227</x:v>
      </x:c>
    </x:row>
    <x:row r="109">
      <x:c r="A109" s="125" t="str">
        <x:v>Immovable Rod</x:v>
      </x:c>
      <x:c r="B109" s="126" t="str">
        <x:v>Rod</x:v>
      </x:c>
      <x:c r="C109" s="126" t="str">
        <x:v>Uncommon</x:v>
      </x:c>
      <x:c r="D109" s="126" t="str">
        <x:v>No</x:v>
      </x:c>
      <x:c r="E109" s="126" t="str">
        <x:v>Rod, Uncommon</x:v>
      </x:c>
      <x:c r="F109" s="126" t="str"/>
      <x:c r="G109" s="127" t="str">
        <x:v>SRD 5.2.1 p. 227</x:v>
      </x:c>
    </x:row>
    <x:row r="110">
      <x:c r="A110" s="125" t="str">
        <x:v>Instant Fortress</x:v>
      </x:c>
      <x:c r="B110" s="126" t="str">
        <x:v>Wondrous Item</x:v>
      </x:c>
      <x:c r="C110" s="126" t="str">
        <x:v>Rare</x:v>
      </x:c>
      <x:c r="D110" s="126" t="str">
        <x:v>Yes</x:v>
      </x:c>
      <x:c r="E110" s="126" t="str">
        <x:v>Wondrous Item, Rare (Requires Attunement)</x:v>
      </x:c>
      <x:c r="F110" s="126" t="str"/>
      <x:c r="G110" s="127" t="str">
        <x:v>SRD 5.2.1 p. 227</x:v>
      </x:c>
    </x:row>
    <x:row r="111">
      <x:c r="A111" s="125" t="str">
        <x:v>Ioun Stone</x:v>
      </x:c>
      <x:c r="B111" s="126" t="str">
        <x:v>Wondrous Item</x:v>
      </x:c>
      <x:c r="C111" s="126" t="str">
        <x:v>Varies</x:v>
      </x:c>
      <x:c r="D111" s="126" t="str">
        <x:v>Yes</x:v>
      </x:c>
      <x:c r="E111" s="126" t="str">
        <x:v>Wondrous Item, Rarity Varies (Requires Attunement)</x:v>
      </x:c>
      <x:c r="F111" s="126" t="str"/>
      <x:c r="G111" s="127" t="str">
        <x:v>SRD 5.2.1 p. 227</x:v>
      </x:c>
    </x:row>
    <x:row r="112">
      <x:c r="A112" s="125" t="str">
        <x:v>Iron Bands</x:v>
      </x:c>
      <x:c r="B112" s="126" t="str">
        <x:v>Wondrous Item</x:v>
      </x:c>
      <x:c r="C112" s="126" t="str">
        <x:v>Rare</x:v>
      </x:c>
      <x:c r="D112" s="126" t="str">
        <x:v>No</x:v>
      </x:c>
      <x:c r="E112" s="126" t="str">
        <x:v>Wondrous Item, Rare</x:v>
      </x:c>
      <x:c r="F112" s="126" t="str"/>
      <x:c r="G112" s="127" t="str">
        <x:v>SRD 5.2.1 p. 228</x:v>
      </x:c>
    </x:row>
    <x:row r="113">
      <x:c r="A113" s="125" t="str">
        <x:v>Iron Flask</x:v>
      </x:c>
      <x:c r="B113" s="126" t="str">
        <x:v>Wondrous Item</x:v>
      </x:c>
      <x:c r="C113" s="126" t="str">
        <x:v>Legendary</x:v>
      </x:c>
      <x:c r="D113" s="126" t="str">
        <x:v>No</x:v>
      </x:c>
      <x:c r="E113" s="126" t="str">
        <x:v>Wondrous Item, Legendary</x:v>
      </x:c>
      <x:c r="F113" s="126" t="str"/>
      <x:c r="G113" s="127" t="str">
        <x:v>SRD 5.2.1 p. 228</x:v>
      </x:c>
    </x:row>
    <x:row r="114">
      <x:c r="A114" s="125" t="str">
        <x:v>Javelin of Lightning</x:v>
      </x:c>
      <x:c r="B114" s="126" t="str">
        <x:v>Weapon</x:v>
      </x:c>
      <x:c r="C114" s="126" t="str">
        <x:v>Uncommon</x:v>
      </x:c>
      <x:c r="D114" s="126" t="str">
        <x:v>No</x:v>
      </x:c>
      <x:c r="E114" s="126" t="str">
        <x:v>Weapon (Javelin), Uncommon</x:v>
      </x:c>
      <x:c r="F114" s="126" t="str"/>
      <x:c r="G114" s="127" t="str">
        <x:v>SRD 5.2.1 p. 228</x:v>
      </x:c>
    </x:row>
    <x:row r="115">
      <x:c r="A115" s="125" t="str">
        <x:v>Lantern of Revealing</x:v>
      </x:c>
      <x:c r="B115" s="126" t="str">
        <x:v>Wondrous Item</x:v>
      </x:c>
      <x:c r="C115" s="126" t="str">
        <x:v>Uncommon</x:v>
      </x:c>
      <x:c r="D115" s="126" t="str">
        <x:v>No</x:v>
      </x:c>
      <x:c r="E115" s="126" t="str">
        <x:v>Wondrous Item, Uncommon</x:v>
      </x:c>
      <x:c r="F115" s="126" t="str"/>
      <x:c r="G115" s="127" t="str">
        <x:v>SRD 5.2.1 p. 228</x:v>
      </x:c>
    </x:row>
    <x:row r="116">
      <x:c r="A116" s="125" t="str">
        <x:v>Luck Blade</x:v>
      </x:c>
      <x:c r="B116" s="126" t="str">
        <x:v>Weapon</x:v>
      </x:c>
      <x:c r="C116" s="126" t="str"/>
      <x:c r="D116" s="126" t="str">
        <x:v>No</x:v>
      </x:c>
      <x:c r="E116" s="126" t="str">
        <x:v>Weapon (Glaive, Greatsword, Longsword, Rapier,</x:v>
      </x:c>
      <x:c r="F116" s="126" t="str"/>
      <x:c r="G116" s="127" t="str">
        <x:v>SRD 5.2.1 p. 229</x:v>
      </x:c>
    </x:row>
    <x:row r="117">
      <x:c r="A117" s="125" t="str">
        <x:v>Mace of Disruption</x:v>
      </x:c>
      <x:c r="B117" s="126" t="str">
        <x:v>Weapon</x:v>
      </x:c>
      <x:c r="C117" s="126" t="str">
        <x:v>Rare</x:v>
      </x:c>
      <x:c r="D117" s="126" t="str">
        <x:v>Yes</x:v>
      </x:c>
      <x:c r="E117" s="126" t="str">
        <x:v>Weapon (Mace), Rare (Requires Attunement)</x:v>
      </x:c>
      <x:c r="F117" s="126" t="str"/>
      <x:c r="G117" s="127" t="str">
        <x:v>SRD 5.2.1 p. 229</x:v>
      </x:c>
    </x:row>
    <x:row r="118">
      <x:c r="A118" s="125" t="str">
        <x:v>Mace of Smiting</x:v>
      </x:c>
      <x:c r="B118" s="126" t="str">
        <x:v>Weapon</x:v>
      </x:c>
      <x:c r="C118" s="126" t="str">
        <x:v>Rare</x:v>
      </x:c>
      <x:c r="D118" s="126" t="str">
        <x:v>No</x:v>
      </x:c>
      <x:c r="E118" s="126" t="str">
        <x:v>Weapon (Mace), Rare</x:v>
      </x:c>
      <x:c r="F118" s="126" t="str"/>
      <x:c r="G118" s="127" t="str">
        <x:v>SRD 5.2.1 p. 229</x:v>
      </x:c>
    </x:row>
    <x:row r="119">
      <x:c r="A119" s="125" t="str">
        <x:v>Mace of Terror</x:v>
      </x:c>
      <x:c r="B119" s="126" t="str">
        <x:v>Weapon</x:v>
      </x:c>
      <x:c r="C119" s="126" t="str">
        <x:v>Rare</x:v>
      </x:c>
      <x:c r="D119" s="126" t="str">
        <x:v>Yes</x:v>
      </x:c>
      <x:c r="E119" s="126" t="str">
        <x:v>Weapon (Mace), Rare (Requires Attunement)</x:v>
      </x:c>
      <x:c r="F119" s="126" t="str"/>
      <x:c r="G119" s="127" t="str">
        <x:v>SRD 5.2.1 p. 229</x:v>
      </x:c>
    </x:row>
    <x:row r="120">
      <x:c r="A120" s="125" t="str">
        <x:v>Mantle of Spell Resistance</x:v>
      </x:c>
      <x:c r="B120" s="126" t="str">
        <x:v>Wondrous Item</x:v>
      </x:c>
      <x:c r="C120" s="126" t="str">
        <x:v>Rare</x:v>
      </x:c>
      <x:c r="D120" s="126" t="str">
        <x:v>Yes</x:v>
      </x:c>
      <x:c r="E120" s="126" t="str">
        <x:v>Wondrous Item, Rare (Requires Attunement)</x:v>
      </x:c>
      <x:c r="F120" s="126" t="str"/>
      <x:c r="G120" s="127" t="str">
        <x:v>SRD 5.2.1 p. 229</x:v>
      </x:c>
    </x:row>
    <x:row r="121">
      <x:c r="A121" s="125" t="str">
        <x:v>Manual of Bodily Health</x:v>
      </x:c>
      <x:c r="B121" s="126" t="str">
        <x:v>Wondrous Item</x:v>
      </x:c>
      <x:c r="C121" s="126" t="str">
        <x:v>Rare, Very Rare</x:v>
      </x:c>
      <x:c r="D121" s="126" t="str">
        <x:v>No</x:v>
      </x:c>
      <x:c r="E121" s="126" t="str">
        <x:v>Wondrous Item, Very Rare</x:v>
      </x:c>
      <x:c r="F121" s="126" t="str"/>
      <x:c r="G121" s="127" t="str">
        <x:v>SRD 5.2.1 p. 229</x:v>
      </x:c>
    </x:row>
    <x:row r="122">
      <x:c r="A122" s="125" t="str">
        <x:v>Manual of Gainful Exercise</x:v>
      </x:c>
      <x:c r="B122" s="126" t="str">
        <x:v>Wondrous Item</x:v>
      </x:c>
      <x:c r="C122" s="126" t="str">
        <x:v>Rare, Very Rare</x:v>
      </x:c>
      <x:c r="D122" s="126" t="str">
        <x:v>No</x:v>
      </x:c>
      <x:c r="E122" s="126" t="str">
        <x:v>Wondrous Item, Very Rare</x:v>
      </x:c>
      <x:c r="F122" s="126" t="str"/>
      <x:c r="G122" s="127" t="str">
        <x:v>SRD 5.2.1 p. 229</x:v>
      </x:c>
    </x:row>
    <x:row r="123">
      <x:c r="A123" s="125" t="str">
        <x:v>Manual of Golems</x:v>
      </x:c>
      <x:c r="B123" s="126" t="str">
        <x:v>Wondrous Item</x:v>
      </x:c>
      <x:c r="C123" s="126" t="str">
        <x:v>Rare, Very Rare</x:v>
      </x:c>
      <x:c r="D123" s="126" t="str">
        <x:v>No</x:v>
      </x:c>
      <x:c r="E123" s="126" t="str">
        <x:v>Wondrous Item, Very Rare</x:v>
      </x:c>
      <x:c r="F123" s="126" t="str"/>
      <x:c r="G123" s="127" t="str">
        <x:v>SRD 5.2.1 p. 229</x:v>
      </x:c>
    </x:row>
    <x:row r="124">
      <x:c r="A124" s="125" t="str">
        <x:v>Manual of Quickness of Action</x:v>
      </x:c>
      <x:c r="B124" s="126" t="str">
        <x:v>Wondrous Item</x:v>
      </x:c>
      <x:c r="C124" s="126" t="str">
        <x:v>Rare, Very Rare</x:v>
      </x:c>
      <x:c r="D124" s="126" t="str">
        <x:v>No</x:v>
      </x:c>
      <x:c r="E124" s="126" t="str">
        <x:v>Wondrous Item, Very Rare</x:v>
      </x:c>
      <x:c r="F124" s="126" t="str"/>
      <x:c r="G124" s="127" t="str">
        <x:v>SRD 5.2.1 p. 230</x:v>
      </x:c>
    </x:row>
    <x:row r="125">
      <x:c r="A125" s="125" t="str">
        <x:v>Marvelous Pigments</x:v>
      </x:c>
      <x:c r="B125" s="126" t="str">
        <x:v>Wondrous Item</x:v>
      </x:c>
      <x:c r="C125" s="126" t="str">
        <x:v>Rare, Very Rare</x:v>
      </x:c>
      <x:c r="D125" s="126" t="str">
        <x:v>No</x:v>
      </x:c>
      <x:c r="E125" s="126" t="str">
        <x:v>Wondrous Item, Very Rare</x:v>
      </x:c>
      <x:c r="F125" s="126" t="str"/>
      <x:c r="G125" s="127" t="str">
        <x:v>SRD 5.2.1 p. 230</x:v>
      </x:c>
    </x:row>
    <x:row r="126">
      <x:c r="A126" s="125" t="str">
        <x:v>Medallion of Thoughts</x:v>
      </x:c>
      <x:c r="B126" s="126" t="str">
        <x:v>Wondrous Item</x:v>
      </x:c>
      <x:c r="C126" s="126" t="str">
        <x:v>Uncommon</x:v>
      </x:c>
      <x:c r="D126" s="126" t="str">
        <x:v>Yes</x:v>
      </x:c>
      <x:c r="E126" s="126" t="str">
        <x:v>Wondrous Item, Uncommon (Requires Attunement)</x:v>
      </x:c>
      <x:c r="F126" s="126" t="str"/>
      <x:c r="G126" s="127" t="str">
        <x:v>SRD 5.2.1 p. 230</x:v>
      </x:c>
    </x:row>
    <x:row r="127">
      <x:c r="A127" s="125" t="str">
        <x:v>Mirror of Life Trapping</x:v>
      </x:c>
      <x:c r="B127" s="126" t="str">
        <x:v>Wondrous Item</x:v>
      </x:c>
      <x:c r="C127" s="126" t="str">
        <x:v>Rare, Very Rare</x:v>
      </x:c>
      <x:c r="D127" s="126" t="str">
        <x:v>No</x:v>
      </x:c>
      <x:c r="E127" s="126" t="str">
        <x:v>Wondrous Item, Very Rare</x:v>
      </x:c>
      <x:c r="F127" s="126" t="str"/>
      <x:c r="G127" s="127" t="str">
        <x:v>SRD 5.2.1 p. 230</x:v>
      </x:c>
    </x:row>
    <x:row r="128">
      <x:c r="A128" s="125" t="str">
        <x:v>Mithral Armor</x:v>
      </x:c>
      <x:c r="B128" s="126" t="str">
        <x:v>Armor</x:v>
      </x:c>
      <x:c r="C128" s="126" t="str"/>
      <x:c r="D128" s="126" t="str">
        <x:v>No</x:v>
      </x:c>
      <x:c r="E128" s="126" t="str">
        <x:v>Armor (Any Medium or Heavy, Except Hide Armor),</x:v>
      </x:c>
      <x:c r="F128" s="126" t="str"/>
      <x:c r="G128" s="127" t="str">
        <x:v>SRD 5.2.1 p. 231</x:v>
      </x:c>
    </x:row>
    <x:row r="129">
      <x:c r="A129" s="125" t="str">
        <x:v>Mysterious Deck</x:v>
      </x:c>
      <x:c r="B129" s="126" t="str">
        <x:v>Wondrous Item</x:v>
      </x:c>
      <x:c r="C129" s="126" t="str">
        <x:v>Legendary</x:v>
      </x:c>
      <x:c r="D129" s="126" t="str">
        <x:v>No</x:v>
      </x:c>
      <x:c r="E129" s="126" t="str">
        <x:v>Wondrous Item, Legendary</x:v>
      </x:c>
      <x:c r="F129" s="126" t="str"/>
      <x:c r="G129" s="127" t="str">
        <x:v>SRD 5.2.1 p. 231</x:v>
      </x:c>
    </x:row>
    <x:row r="130">
      <x:c r="A130" s="125" t="str">
        <x:v>Necklace of Adaptation</x:v>
      </x:c>
      <x:c r="B130" s="126" t="str">
        <x:v>Wondrous Item</x:v>
      </x:c>
      <x:c r="C130" s="126" t="str">
        <x:v>Uncommon</x:v>
      </x:c>
      <x:c r="D130" s="126" t="str">
        <x:v>Yes</x:v>
      </x:c>
      <x:c r="E130" s="126" t="str">
        <x:v>Wondrous Item, Uncommon (Requires Attunement)</x:v>
      </x:c>
      <x:c r="F130" s="126" t="str"/>
      <x:c r="G130" s="127" t="str">
        <x:v>SRD 5.2.1 p. 232</x:v>
      </x:c>
    </x:row>
    <x:row r="131">
      <x:c r="A131" s="125" t="str">
        <x:v>Necklace of Fireballs</x:v>
      </x:c>
      <x:c r="B131" s="126" t="str">
        <x:v>Wondrous Item</x:v>
      </x:c>
      <x:c r="C131" s="126" t="str">
        <x:v>Rare</x:v>
      </x:c>
      <x:c r="D131" s="126" t="str">
        <x:v>No</x:v>
      </x:c>
      <x:c r="E131" s="126" t="str">
        <x:v>Wondrous Item, Rare</x:v>
      </x:c>
      <x:c r="F131" s="126" t="str"/>
      <x:c r="G131" s="127" t="str">
        <x:v>SRD 5.2.1 p. 233</x:v>
      </x:c>
    </x:row>
    <x:row r="132">
      <x:c r="A132" s="125" t="str">
        <x:v>Necklace of Prayer Beads</x:v>
      </x:c>
      <x:c r="B132" s="126" t="str">
        <x:v>Wondrous Item</x:v>
      </x:c>
      <x:c r="C132" s="126" t="str">
        <x:v>Rare</x:v>
      </x:c>
      <x:c r="D132" s="126" t="str">
        <x:v>Yes</x:v>
      </x:c>
      <x:c r="E132" s="126" t="str">
        <x:v>Wondrous Item, Rare (Requires Attunement by a</x:v>
      </x:c>
      <x:c r="F132" s="126" t="str"/>
      <x:c r="G132" s="127" t="str">
        <x:v>SRD 5.2.1 p. 233</x:v>
      </x:c>
    </x:row>
    <x:row r="133">
      <x:c r="A133" s="125" t="str">
        <x:v>Nine Lives Stealer</x:v>
      </x:c>
      <x:c r="B133" s="126" t="str">
        <x:v>Weapon</x:v>
      </x:c>
      <x:c r="C133" s="126" t="str">
        <x:v>Rare, Very Rare</x:v>
      </x:c>
      <x:c r="D133" s="126" t="str">
        <x:v>No</x:v>
      </x:c>
      <x:c r="E133" s="126" t="str">
        <x:v>Weapon (Any Simple or Martial), Very Rare (Requires</x:v>
      </x:c>
      <x:c r="F133" s="126" t="str"/>
      <x:c r="G133" s="127" t="str">
        <x:v>SRD 5.2.1 p. 233</x:v>
      </x:c>
    </x:row>
    <x:row r="134">
      <x:c r="A134" s="125" t="str">
        <x:v>Oathbow</x:v>
      </x:c>
      <x:c r="B134" s="126" t="str">
        <x:v>Weapon</x:v>
      </x:c>
      <x:c r="C134" s="126" t="str">
        <x:v>Rare, Very Rare</x:v>
      </x:c>
      <x:c r="D134" s="126" t="str">
        <x:v>No</x:v>
      </x:c>
      <x:c r="E134" s="126" t="str">
        <x:v>Weapon (Longbow or Shortbow), Very Rare (Requires</x:v>
      </x:c>
      <x:c r="F134" s="126" t="str"/>
      <x:c r="G134" s="127" t="str">
        <x:v>SRD 5.2.1 p. 233</x:v>
      </x:c>
    </x:row>
    <x:row r="135">
      <x:c r="A135" s="125" t="str">
        <x:v>Oil of Etherealness</x:v>
      </x:c>
      <x:c r="B135" s="126" t="str">
        <x:v>Potion</x:v>
      </x:c>
      <x:c r="C135" s="126" t="str">
        <x:v>Rare</x:v>
      </x:c>
      <x:c r="D135" s="126" t="str">
        <x:v>No</x:v>
      </x:c>
      <x:c r="E135" s="126" t="str">
        <x:v>Potion, Rare</x:v>
      </x:c>
      <x:c r="F135" s="126" t="str"/>
      <x:c r="G135" s="127" t="str">
        <x:v>SRD 5.2.1 p. 233</x:v>
      </x:c>
    </x:row>
    <x:row r="136">
      <x:c r="A136" s="125" t="str">
        <x:v>Oil of Sharpness</x:v>
      </x:c>
      <x:c r="B136" s="126" t="str">
        <x:v>Potion</x:v>
      </x:c>
      <x:c r="C136" s="126" t="str">
        <x:v>Rare, Very Rare</x:v>
      </x:c>
      <x:c r="D136" s="126" t="str">
        <x:v>No</x:v>
      </x:c>
      <x:c r="E136" s="126" t="str">
        <x:v>Potion, Very Rare</x:v>
      </x:c>
      <x:c r="F136" s="126" t="str"/>
      <x:c r="G136" s="127" t="str">
        <x:v>SRD 5.2.1 p. 233</x:v>
      </x:c>
    </x:row>
    <x:row r="137">
      <x:c r="A137" s="125" t="str">
        <x:v>Oil of Slipperiness</x:v>
      </x:c>
      <x:c r="B137" s="126" t="str">
        <x:v>Potion</x:v>
      </x:c>
      <x:c r="C137" s="126" t="str">
        <x:v>Uncommon</x:v>
      </x:c>
      <x:c r="D137" s="126" t="str">
        <x:v>No</x:v>
      </x:c>
      <x:c r="E137" s="126" t="str">
        <x:v>Potion, Uncommon</x:v>
      </x:c>
      <x:c r="F137" s="126" t="str"/>
      <x:c r="G137" s="127" t="str">
        <x:v>SRD 5.2.1 p. 233</x:v>
      </x:c>
    </x:row>
    <x:row r="138">
      <x:c r="A138" s="125" t="str">
        <x:v>Pearl of Power</x:v>
      </x:c>
      <x:c r="B138" s="126" t="str">
        <x:v>Wondrous Item</x:v>
      </x:c>
      <x:c r="C138" s="126" t="str">
        <x:v>Uncommon</x:v>
      </x:c>
      <x:c r="D138" s="126" t="str">
        <x:v>Yes</x:v>
      </x:c>
      <x:c r="E138" s="126" t="str">
        <x:v>Wondrous Item, Uncommon (Requires Attunement by</x:v>
      </x:c>
      <x:c r="F138" s="126" t="str"/>
      <x:c r="G138" s="127" t="str">
        <x:v>SRD 5.2.1 p. 234</x:v>
      </x:c>
    </x:row>
    <x:row r="139">
      <x:c r="A139" s="125" t="str">
        <x:v>Periapt of Health</x:v>
      </x:c>
      <x:c r="B139" s="126" t="str">
        <x:v>Wondrous Item</x:v>
      </x:c>
      <x:c r="C139" s="126" t="str">
        <x:v>Uncommon</x:v>
      </x:c>
      <x:c r="D139" s="126" t="str">
        <x:v>Yes</x:v>
      </x:c>
      <x:c r="E139" s="126" t="str">
        <x:v>Wondrous Item, Uncommon (Requires Attunement)</x:v>
      </x:c>
      <x:c r="F139" s="126" t="str"/>
      <x:c r="G139" s="127" t="str">
        <x:v>SRD 5.2.1 p. 234</x:v>
      </x:c>
    </x:row>
    <x:row r="140">
      <x:c r="A140" s="125" t="str">
        <x:v>Periapt of Proof against Poison</x:v>
      </x:c>
      <x:c r="B140" s="126" t="str">
        <x:v>Wondrous Item</x:v>
      </x:c>
      <x:c r="C140" s="126" t="str">
        <x:v>Rare</x:v>
      </x:c>
      <x:c r="D140" s="126" t="str">
        <x:v>Yes</x:v>
      </x:c>
      <x:c r="E140" s="126" t="str">
        <x:v>Wondrous Item, Rare (Requires Attunement)</x:v>
      </x:c>
      <x:c r="F140" s="126" t="str"/>
      <x:c r="G140" s="127" t="str">
        <x:v>SRD 5.2.1 p. 234</x:v>
      </x:c>
    </x:row>
    <x:row r="141">
      <x:c r="A141" s="125" t="str">
        <x:v>Periapt of Wound Closure</x:v>
      </x:c>
      <x:c r="B141" s="126" t="str">
        <x:v>Wondrous Item</x:v>
      </x:c>
      <x:c r="C141" s="126" t="str">
        <x:v>Uncommon</x:v>
      </x:c>
      <x:c r="D141" s="126" t="str">
        <x:v>Yes</x:v>
      </x:c>
      <x:c r="E141" s="126" t="str">
        <x:v>Wondrous Item, Uncommon (Requires Attunement)</x:v>
      </x:c>
      <x:c r="F141" s="126" t="str"/>
      <x:c r="G141" s="127" t="str">
        <x:v>SRD 5.2.1 p. 234</x:v>
      </x:c>
    </x:row>
    <x:row r="142">
      <x:c r="A142" s="125" t="str">
        <x:v>Philter of Love</x:v>
      </x:c>
      <x:c r="B142" s="126" t="str">
        <x:v>Potion</x:v>
      </x:c>
      <x:c r="C142" s="126" t="str">
        <x:v>Uncommon</x:v>
      </x:c>
      <x:c r="D142" s="126" t="str">
        <x:v>No</x:v>
      </x:c>
      <x:c r="E142" s="126" t="str">
        <x:v>Potion, Uncommon</x:v>
      </x:c>
      <x:c r="F142" s="126" t="str"/>
      <x:c r="G142" s="127" t="str">
        <x:v>SRD 5.2.1 p. 234</x:v>
      </x:c>
    </x:row>
    <x:row r="143">
      <x:c r="A143" s="125" t="str">
        <x:v>Pipes of Haunting</x:v>
      </x:c>
      <x:c r="B143" s="126" t="str">
        <x:v>Wondrous Item</x:v>
      </x:c>
      <x:c r="C143" s="126" t="str">
        <x:v>Uncommon</x:v>
      </x:c>
      <x:c r="D143" s="126" t="str">
        <x:v>No</x:v>
      </x:c>
      <x:c r="E143" s="126" t="str">
        <x:v>Wondrous Item, Uncommon</x:v>
      </x:c>
      <x:c r="F143" s="126" t="str"/>
      <x:c r="G143" s="127" t="str">
        <x:v>SRD 5.2.1 p. 234</x:v>
      </x:c>
    </x:row>
    <x:row r="144">
      <x:c r="A144" s="125" t="str">
        <x:v>Pipes of the Sewers</x:v>
      </x:c>
      <x:c r="B144" s="126" t="str">
        <x:v>Wondrous Item</x:v>
      </x:c>
      <x:c r="C144" s="126" t="str">
        <x:v>Uncommon</x:v>
      </x:c>
      <x:c r="D144" s="126" t="str">
        <x:v>Yes</x:v>
      </x:c>
      <x:c r="E144" s="126" t="str">
        <x:v>Wondrous Item, Uncommon (Requires Attunement)</x:v>
      </x:c>
      <x:c r="F144" s="126" t="str"/>
      <x:c r="G144" s="127" t="str">
        <x:v>SRD 5.2.1 p. 234</x:v>
      </x:c>
    </x:row>
    <x:row r="145">
      <x:c r="A145" s="125" t="str">
        <x:v>Plate Armor of Etherealness</x:v>
      </x:c>
      <x:c r="B145" s="126" t="str">
        <x:v>Armor</x:v>
      </x:c>
      <x:c r="C145" s="126" t="str">
        <x:v>Legendary</x:v>
      </x:c>
      <x:c r="D145" s="126" t="str">
        <x:v>No</x:v>
      </x:c>
      <x:c r="E145" s="126" t="str">
        <x:v>Armor (Half Plate Armor or Plate Armor), Legendary</x:v>
      </x:c>
      <x:c r="F145" s="126" t="str"/>
      <x:c r="G145" s="127" t="str">
        <x:v>SRD 5.2.1 p. 234</x:v>
      </x:c>
    </x:row>
    <x:row r="146">
      <x:c r="A146" s="125" t="str">
        <x:v>Portable Hole</x:v>
      </x:c>
      <x:c r="B146" s="126" t="str">
        <x:v>Wondrous Item</x:v>
      </x:c>
      <x:c r="C146" s="126" t="str">
        <x:v>Rare</x:v>
      </x:c>
      <x:c r="D146" s="126" t="str">
        <x:v>No</x:v>
      </x:c>
      <x:c r="E146" s="126" t="str">
        <x:v>Wondrous Item, Rare</x:v>
      </x:c>
      <x:c r="F146" s="126" t="str"/>
      <x:c r="G146" s="127" t="str">
        <x:v>SRD 5.2.1 p. 234</x:v>
      </x:c>
    </x:row>
    <x:row r="147">
      <x:c r="A147" s="125" t="str">
        <x:v>Potion of Animal Friendship</x:v>
      </x:c>
      <x:c r="B147" s="126" t="str">
        <x:v>Potion</x:v>
      </x:c>
      <x:c r="C147" s="126" t="str">
        <x:v>Uncommon</x:v>
      </x:c>
      <x:c r="D147" s="126" t="str">
        <x:v>No</x:v>
      </x:c>
      <x:c r="E147" s="126" t="str">
        <x:v>Potion, Uncommon</x:v>
      </x:c>
      <x:c r="F147" s="126" t="str"/>
      <x:c r="G147" s="127" t="str">
        <x:v>SRD 5.2.1 p. 235</x:v>
      </x:c>
    </x:row>
    <x:row r="148">
      <x:c r="A148" s="125" t="str">
        <x:v>Potion of Clairvoyance</x:v>
      </x:c>
      <x:c r="B148" s="126" t="str">
        <x:v>Potion</x:v>
      </x:c>
      <x:c r="C148" s="126" t="str">
        <x:v>Rare</x:v>
      </x:c>
      <x:c r="D148" s="126" t="str">
        <x:v>No</x:v>
      </x:c>
      <x:c r="E148" s="126" t="str">
        <x:v>Potion, Rare</x:v>
      </x:c>
      <x:c r="F148" s="126" t="str"/>
      <x:c r="G148" s="127" t="str">
        <x:v>SRD 5.2.1 p. 235</x:v>
      </x:c>
    </x:row>
    <x:row r="149">
      <x:c r="A149" s="125" t="str">
        <x:v>Potion of Climbing</x:v>
      </x:c>
      <x:c r="B149" s="126" t="str">
        <x:v>Potion</x:v>
      </x:c>
      <x:c r="C149" s="126" t="str">
        <x:v>Common</x:v>
      </x:c>
      <x:c r="D149" s="126" t="str">
        <x:v>No</x:v>
      </x:c>
      <x:c r="E149" s="126" t="str">
        <x:v>Potion, Common</x:v>
      </x:c>
      <x:c r="F149" s="126" t="str"/>
      <x:c r="G149" s="127" t="str">
        <x:v>SRD 5.2.1 p. 235</x:v>
      </x:c>
    </x:row>
    <x:row r="150">
      <x:c r="A150" s="125" t="str">
        <x:v>Potion of Diminution</x:v>
      </x:c>
      <x:c r="B150" s="126" t="str">
        <x:v>Potion</x:v>
      </x:c>
      <x:c r="C150" s="126" t="str">
        <x:v>Rare</x:v>
      </x:c>
      <x:c r="D150" s="126" t="str">
        <x:v>No</x:v>
      </x:c>
      <x:c r="E150" s="126" t="str">
        <x:v>Potion, Rare</x:v>
      </x:c>
      <x:c r="F150" s="126" t="str"/>
      <x:c r="G150" s="127" t="str">
        <x:v>SRD 5.2.1 p. 235</x:v>
      </x:c>
    </x:row>
    <x:row r="151">
      <x:c r="A151" s="125" t="str">
        <x:v>Potion of Flying</x:v>
      </x:c>
      <x:c r="B151" s="126" t="str">
        <x:v>Potion</x:v>
      </x:c>
      <x:c r="C151" s="126" t="str">
        <x:v>Rare, Very Rare</x:v>
      </x:c>
      <x:c r="D151" s="126" t="str">
        <x:v>No</x:v>
      </x:c>
      <x:c r="E151" s="126" t="str">
        <x:v>Potion, Very Rare</x:v>
      </x:c>
      <x:c r="F151" s="126" t="str"/>
      <x:c r="G151" s="127" t="str">
        <x:v>SRD 5.2.1 p. 235</x:v>
      </x:c>
    </x:row>
    <x:row r="152">
      <x:c r="A152" s="125" t="str">
        <x:v>Potion of Gaseous Form</x:v>
      </x:c>
      <x:c r="B152" s="126" t="str">
        <x:v>Potion</x:v>
      </x:c>
      <x:c r="C152" s="126" t="str">
        <x:v>Rare</x:v>
      </x:c>
      <x:c r="D152" s="126" t="str">
        <x:v>No</x:v>
      </x:c>
      <x:c r="E152" s="126" t="str">
        <x:v>Potion, Rare</x:v>
      </x:c>
      <x:c r="F152" s="126" t="str"/>
      <x:c r="G152" s="127" t="str">
        <x:v>SRD 5.2.1 p. 235</x:v>
      </x:c>
    </x:row>
    <x:row r="153">
      <x:c r="A153" s="125" t="str">
        <x:v>Potion of Giant Strength</x:v>
      </x:c>
      <x:c r="B153" s="126" t="str">
        <x:v>Potion</x:v>
      </x:c>
      <x:c r="C153" s="126" t="str">
        <x:v>Varies</x:v>
      </x:c>
      <x:c r="D153" s="126" t="str">
        <x:v>No</x:v>
      </x:c>
      <x:c r="E153" s="126" t="str">
        <x:v>Potion, Rarity Varies</x:v>
      </x:c>
      <x:c r="F153" s="126" t="str"/>
      <x:c r="G153" s="127" t="str">
        <x:v>SRD 5.2.1 p. 235</x:v>
      </x:c>
    </x:row>
    <x:row r="154">
      <x:c r="A154" s="125" t="str">
        <x:v>Potion of Growth</x:v>
      </x:c>
      <x:c r="B154" s="126" t="str">
        <x:v>Potion</x:v>
      </x:c>
      <x:c r="C154" s="126" t="str">
        <x:v>Uncommon</x:v>
      </x:c>
      <x:c r="D154" s="126" t="str">
        <x:v>No</x:v>
      </x:c>
      <x:c r="E154" s="126" t="str">
        <x:v>Potion, Uncommon</x:v>
      </x:c>
      <x:c r="F154" s="126" t="str"/>
      <x:c r="G154" s="127" t="str">
        <x:v>SRD 5.2.1 p. 235</x:v>
      </x:c>
    </x:row>
    <x:row r="155">
      <x:c r="A155" s="125" t="str">
        <x:v>Potions of Healing</x:v>
      </x:c>
      <x:c r="B155" s="126" t="str">
        <x:v>Potion</x:v>
      </x:c>
      <x:c r="C155" s="126" t="str">
        <x:v>Varies</x:v>
      </x:c>
      <x:c r="D155" s="126" t="str">
        <x:v>No</x:v>
      </x:c>
      <x:c r="E155" s="126" t="str">
        <x:v>Potion, Rarity Varies</x:v>
      </x:c>
      <x:c r="F155" s="126" t="str"/>
      <x:c r="G155" s="127" t="str">
        <x:v>SRD 5.2.1 p. 236</x:v>
      </x:c>
    </x:row>
    <x:row r="156">
      <x:c r="A156" s="125" t="str">
        <x:v>Potion of Heroism</x:v>
      </x:c>
      <x:c r="B156" s="126" t="str">
        <x:v>Potion</x:v>
      </x:c>
      <x:c r="C156" s="126" t="str">
        <x:v>Rare</x:v>
      </x:c>
      <x:c r="D156" s="126" t="str">
        <x:v>No</x:v>
      </x:c>
      <x:c r="E156" s="126" t="str">
        <x:v>Potion, Rare</x:v>
      </x:c>
      <x:c r="F156" s="126" t="str"/>
      <x:c r="G156" s="127" t="str">
        <x:v>SRD 5.2.1 p. 236</x:v>
      </x:c>
    </x:row>
    <x:row r="157">
      <x:c r="A157" s="125" t="str">
        <x:v>Potion of Invisibility</x:v>
      </x:c>
      <x:c r="B157" s="126" t="str">
        <x:v>Potion</x:v>
      </x:c>
      <x:c r="C157" s="126" t="str">
        <x:v>Rare</x:v>
      </x:c>
      <x:c r="D157" s="126" t="str">
        <x:v>No</x:v>
      </x:c>
      <x:c r="E157" s="126" t="str">
        <x:v>Potion, Rare</x:v>
      </x:c>
      <x:c r="F157" s="126" t="str"/>
      <x:c r="G157" s="127" t="str">
        <x:v>SRD 5.2.1 p. 236</x:v>
      </x:c>
    </x:row>
    <x:row r="158">
      <x:c r="A158" s="125" t="str">
        <x:v>Potion of Invulnerability</x:v>
      </x:c>
      <x:c r="B158" s="126" t="str">
        <x:v>Potion</x:v>
      </x:c>
      <x:c r="C158" s="126" t="str">
        <x:v>Rare</x:v>
      </x:c>
      <x:c r="D158" s="126" t="str">
        <x:v>No</x:v>
      </x:c>
      <x:c r="E158" s="126" t="str">
        <x:v>Potion, Rare</x:v>
      </x:c>
      <x:c r="F158" s="126" t="str"/>
      <x:c r="G158" s="127" t="str">
        <x:v>SRD 5.2.1 p. 236</x:v>
      </x:c>
    </x:row>
    <x:row r="159">
      <x:c r="A159" s="125" t="str">
        <x:v>Potion of Longevity</x:v>
      </x:c>
      <x:c r="B159" s="126" t="str">
        <x:v>Potion</x:v>
      </x:c>
      <x:c r="C159" s="126" t="str">
        <x:v>Rare, Very Rare</x:v>
      </x:c>
      <x:c r="D159" s="126" t="str">
        <x:v>No</x:v>
      </x:c>
      <x:c r="E159" s="126" t="str">
        <x:v>Potion, Very Rare</x:v>
      </x:c>
      <x:c r="F159" s="126" t="str"/>
      <x:c r="G159" s="127" t="str">
        <x:v>SRD 5.2.1 p. 236</x:v>
      </x:c>
    </x:row>
    <x:row r="160">
      <x:c r="A160" s="125" t="str">
        <x:v>Potion of Mind Reading</x:v>
      </x:c>
      <x:c r="B160" s="126" t="str">
        <x:v>Potion</x:v>
      </x:c>
      <x:c r="C160" s="126" t="str">
        <x:v>Rare</x:v>
      </x:c>
      <x:c r="D160" s="126" t="str">
        <x:v>No</x:v>
      </x:c>
      <x:c r="E160" s="126" t="str">
        <x:v>Potion, Rare</x:v>
      </x:c>
      <x:c r="F160" s="126" t="str"/>
      <x:c r="G160" s="127" t="str">
        <x:v>SRD 5.2.1 p. 236</x:v>
      </x:c>
    </x:row>
    <x:row r="161">
      <x:c r="A161" s="125" t="str">
        <x:v>Potion of Poison</x:v>
      </x:c>
      <x:c r="B161" s="126" t="str">
        <x:v>Potion</x:v>
      </x:c>
      <x:c r="C161" s="126" t="str">
        <x:v>Uncommon</x:v>
      </x:c>
      <x:c r="D161" s="126" t="str">
        <x:v>No</x:v>
      </x:c>
      <x:c r="E161" s="126" t="str">
        <x:v>Potion, Uncommon</x:v>
      </x:c>
      <x:c r="F161" s="126" t="str"/>
      <x:c r="G161" s="127" t="str">
        <x:v>SRD 5.2.1 p. 236</x:v>
      </x:c>
    </x:row>
    <x:row r="162">
      <x:c r="A162" s="125" t="str">
        <x:v>Potion of Resistance</x:v>
      </x:c>
      <x:c r="B162" s="126" t="str">
        <x:v>Potion</x:v>
      </x:c>
      <x:c r="C162" s="126" t="str">
        <x:v>Uncommon</x:v>
      </x:c>
      <x:c r="D162" s="126" t="str">
        <x:v>No</x:v>
      </x:c>
      <x:c r="E162" s="126" t="str">
        <x:v>Potion, Uncommon</x:v>
      </x:c>
      <x:c r="F162" s="126" t="str"/>
      <x:c r="G162" s="127" t="str">
        <x:v>SRD 5.2.1 p. 236</x:v>
      </x:c>
    </x:row>
    <x:row r="163">
      <x:c r="A163" s="125" t="str">
        <x:v>Potion of Speed</x:v>
      </x:c>
      <x:c r="B163" s="126" t="str">
        <x:v>Potion</x:v>
      </x:c>
      <x:c r="C163" s="126" t="str">
        <x:v>Rare, Very Rare</x:v>
      </x:c>
      <x:c r="D163" s="126" t="str">
        <x:v>No</x:v>
      </x:c>
      <x:c r="E163" s="126" t="str">
        <x:v>Potion, Very Rare</x:v>
      </x:c>
      <x:c r="F163" s="126" t="str"/>
      <x:c r="G163" s="127" t="str">
        <x:v>SRD 5.2.1 p. 236</x:v>
      </x:c>
    </x:row>
    <x:row r="164">
      <x:c r="A164" s="125" t="str">
        <x:v>Potion of Vitality</x:v>
      </x:c>
      <x:c r="B164" s="126" t="str">
        <x:v>Potion</x:v>
      </x:c>
      <x:c r="C164" s="126" t="str">
        <x:v>Rare, Very Rare</x:v>
      </x:c>
      <x:c r="D164" s="126" t="str">
        <x:v>No</x:v>
      </x:c>
      <x:c r="E164" s="126" t="str">
        <x:v>Potion, Very Rare</x:v>
      </x:c>
      <x:c r="F164" s="126" t="str"/>
      <x:c r="G164" s="127" t="str">
        <x:v>SRD 5.2.1 p. 236</x:v>
      </x:c>
    </x:row>
    <x:row r="165">
      <x:c r="A165" s="125" t="str">
        <x:v>Potion of Water Breathing</x:v>
      </x:c>
      <x:c r="B165" s="126" t="str">
        <x:v>Potion</x:v>
      </x:c>
      <x:c r="C165" s="126" t="str">
        <x:v>Uncommon</x:v>
      </x:c>
      <x:c r="D165" s="126" t="str">
        <x:v>No</x:v>
      </x:c>
      <x:c r="E165" s="126" t="str">
        <x:v>Potion, Uncommon</x:v>
      </x:c>
      <x:c r="F165" s="126" t="str"/>
      <x:c r="G165" s="127" t="str">
        <x:v>SRD 5.2.1 p. 236</x:v>
      </x:c>
    </x:row>
    <x:row r="166">
      <x:c r="A166" s="125" t="str">
        <x:v>Quarterstaff of the Acrobat</x:v>
      </x:c>
      <x:c r="B166" s="126" t="str">
        <x:v>Weapon</x:v>
      </x:c>
      <x:c r="C166" s="126" t="str">
        <x:v>Rare, Very Rare</x:v>
      </x:c>
      <x:c r="D166" s="126" t="str">
        <x:v>No</x:v>
      </x:c>
      <x:c r="E166" s="126" t="str">
        <x:v>Weapon (Quarterstaff), Very Rare (Requires</x:v>
      </x:c>
      <x:c r="F166" s="126" t="str"/>
      <x:c r="G166" s="127" t="str">
        <x:v>SRD 5.2.1 p. 237</x:v>
      </x:c>
    </x:row>
    <x:row r="167">
      <x:c r="A167" s="125" t="str">
        <x:v>Ring of Animal Influence</x:v>
      </x:c>
      <x:c r="B167" s="126" t="str">
        <x:v>Ring</x:v>
      </x:c>
      <x:c r="C167" s="126" t="str">
        <x:v>Rare</x:v>
      </x:c>
      <x:c r="D167" s="126" t="str">
        <x:v>No</x:v>
      </x:c>
      <x:c r="E167" s="126" t="str">
        <x:v>Ring, Rare</x:v>
      </x:c>
      <x:c r="F167" s="126" t="str"/>
      <x:c r="G167" s="127" t="str">
        <x:v>SRD 5.2.1 p. 237</x:v>
      </x:c>
    </x:row>
    <x:row r="168">
      <x:c r="A168" s="125" t="str">
        <x:v>Ring of Djinni Summoning</x:v>
      </x:c>
      <x:c r="B168" s="126" t="str">
        <x:v>Ring</x:v>
      </x:c>
      <x:c r="C168" s="126" t="str">
        <x:v>Legendary</x:v>
      </x:c>
      <x:c r="D168" s="126" t="str">
        <x:v>Yes</x:v>
      </x:c>
      <x:c r="E168" s="126" t="str">
        <x:v>Ring, Legendary (Requires Attunement)</x:v>
      </x:c>
      <x:c r="F168" s="126" t="str"/>
      <x:c r="G168" s="127" t="str">
        <x:v>SRD 5.2.1 p. 237</x:v>
      </x:c>
    </x:row>
    <x:row r="169">
      <x:c r="A169" s="125" t="str">
        <x:v>Ring of Elemental Command</x:v>
      </x:c>
      <x:c r="B169" s="126" t="str">
        <x:v>Ring</x:v>
      </x:c>
      <x:c r="C169" s="126" t="str">
        <x:v>Legendary</x:v>
      </x:c>
      <x:c r="D169" s="126" t="str">
        <x:v>Yes</x:v>
      </x:c>
      <x:c r="E169" s="126" t="str">
        <x:v>Ring, Legendary (Requires Attunement)</x:v>
      </x:c>
      <x:c r="F169" s="126" t="str"/>
      <x:c r="G169" s="127" t="str">
        <x:v>SRD 5.2.1 p. 237</x:v>
      </x:c>
    </x:row>
    <x:row r="170">
      <x:c r="A170" s="125" t="str">
        <x:v>Ring of Evasion</x:v>
      </x:c>
      <x:c r="B170" s="126" t="str">
        <x:v>Ring</x:v>
      </x:c>
      <x:c r="C170" s="126" t="str">
        <x:v>Rare</x:v>
      </x:c>
      <x:c r="D170" s="126" t="str">
        <x:v>Yes</x:v>
      </x:c>
      <x:c r="E170" s="126" t="str">
        <x:v>Ring, Rare (Requires Attunement)</x:v>
      </x:c>
      <x:c r="F170" s="126" t="str"/>
      <x:c r="G170" s="127" t="str">
        <x:v>SRD 5.2.1 p. 238</x:v>
      </x:c>
    </x:row>
    <x:row r="171">
      <x:c r="A171" s="125" t="str">
        <x:v>Ring of Feather Falling</x:v>
      </x:c>
      <x:c r="B171" s="126" t="str">
        <x:v>Ring</x:v>
      </x:c>
      <x:c r="C171" s="126" t="str">
        <x:v>Rare</x:v>
      </x:c>
      <x:c r="D171" s="126" t="str">
        <x:v>Yes</x:v>
      </x:c>
      <x:c r="E171" s="126" t="str">
        <x:v>Ring, Rare (Requires Attunement)</x:v>
      </x:c>
      <x:c r="F171" s="126" t="str"/>
      <x:c r="G171" s="127" t="str">
        <x:v>SRD 5.2.1 p. 238</x:v>
      </x:c>
    </x:row>
    <x:row r="172">
      <x:c r="A172" s="125" t="str">
        <x:v>Ring of Free Action</x:v>
      </x:c>
      <x:c r="B172" s="126" t="str">
        <x:v>Ring</x:v>
      </x:c>
      <x:c r="C172" s="126" t="str">
        <x:v>Rare</x:v>
      </x:c>
      <x:c r="D172" s="126" t="str">
        <x:v>Yes</x:v>
      </x:c>
      <x:c r="E172" s="126" t="str">
        <x:v>Ring, Rare (Requires Attunement)</x:v>
      </x:c>
      <x:c r="F172" s="126" t="str"/>
      <x:c r="G172" s="127" t="str">
        <x:v>SRD 5.2.1 p. 238</x:v>
      </x:c>
    </x:row>
    <x:row r="173">
      <x:c r="A173" s="125" t="str">
        <x:v>Ring of Invisibility</x:v>
      </x:c>
      <x:c r="B173" s="126" t="str">
        <x:v>Ring</x:v>
      </x:c>
      <x:c r="C173" s="126" t="str">
        <x:v>Legendary</x:v>
      </x:c>
      <x:c r="D173" s="126" t="str">
        <x:v>Yes</x:v>
      </x:c>
      <x:c r="E173" s="126" t="str">
        <x:v>Ring, Legendary (Requires Attunement)</x:v>
      </x:c>
      <x:c r="F173" s="126" t="str"/>
      <x:c r="G173" s="127" t="str">
        <x:v>SRD 5.2.1 p. 238</x:v>
      </x:c>
    </x:row>
    <x:row r="174">
      <x:c r="A174" s="125" t="str">
        <x:v>Ring of Jumping</x:v>
      </x:c>
      <x:c r="B174" s="126" t="str">
        <x:v>Ring</x:v>
      </x:c>
      <x:c r="C174" s="126" t="str">
        <x:v>Uncommon</x:v>
      </x:c>
      <x:c r="D174" s="126" t="str">
        <x:v>Yes</x:v>
      </x:c>
      <x:c r="E174" s="126" t="str">
        <x:v>Ring, Uncommon (Requires Attunement)</x:v>
      </x:c>
      <x:c r="F174" s="126" t="str"/>
      <x:c r="G174" s="127" t="str">
        <x:v>SRD 5.2.1 p. 238</x:v>
      </x:c>
    </x:row>
    <x:row r="175">
      <x:c r="A175" s="125" t="str">
        <x:v>Ring of Mind Shielding</x:v>
      </x:c>
      <x:c r="B175" s="126" t="str">
        <x:v>Ring</x:v>
      </x:c>
      <x:c r="C175" s="126" t="str">
        <x:v>Uncommon</x:v>
      </x:c>
      <x:c r="D175" s="126" t="str">
        <x:v>Yes</x:v>
      </x:c>
      <x:c r="E175" s="126" t="str">
        <x:v>Ring, Uncommon (Requires Attunement)</x:v>
      </x:c>
      <x:c r="F175" s="126" t="str"/>
      <x:c r="G175" s="127" t="str">
        <x:v>SRD 5.2.1 p. 238</x:v>
      </x:c>
    </x:row>
    <x:row r="176">
      <x:c r="A176" s="125" t="str">
        <x:v>Ring of Protection</x:v>
      </x:c>
      <x:c r="B176" s="126" t="str">
        <x:v>Ring</x:v>
      </x:c>
      <x:c r="C176" s="126" t="str">
        <x:v>Rare</x:v>
      </x:c>
      <x:c r="D176" s="126" t="str">
        <x:v>Yes</x:v>
      </x:c>
      <x:c r="E176" s="126" t="str">
        <x:v>Ring, Rare (Requires Attunement)</x:v>
      </x:c>
      <x:c r="F176" s="126" t="str"/>
      <x:c r="G176" s="127" t="str">
        <x:v>SRD 5.2.1 p. 238</x:v>
      </x:c>
    </x:row>
    <x:row r="177">
      <x:c r="A177" s="125" t="str">
        <x:v>Ring of Regeneration</x:v>
      </x:c>
      <x:c r="B177" s="126" t="str">
        <x:v>Ring</x:v>
      </x:c>
      <x:c r="C177" s="126" t="str">
        <x:v>Rare, Very Rare</x:v>
      </x:c>
      <x:c r="D177" s="126" t="str">
        <x:v>Yes</x:v>
      </x:c>
      <x:c r="E177" s="126" t="str">
        <x:v>Ring, Very Rare (Requires Attunement)</x:v>
      </x:c>
      <x:c r="F177" s="126" t="str"/>
      <x:c r="G177" s="127" t="str">
        <x:v>SRD 5.2.1 p. 238</x:v>
      </x:c>
    </x:row>
    <x:row r="178">
      <x:c r="A178" s="125" t="str">
        <x:v>Ring of Resistance</x:v>
      </x:c>
      <x:c r="B178" s="126" t="str">
        <x:v>Ring</x:v>
      </x:c>
      <x:c r="C178" s="126" t="str">
        <x:v>Rare</x:v>
      </x:c>
      <x:c r="D178" s="126" t="str">
        <x:v>No</x:v>
      </x:c>
      <x:c r="E178" s="126" t="str">
        <x:v>Ring, Rare</x:v>
      </x:c>
      <x:c r="F178" s="126" t="str"/>
      <x:c r="G178" s="127" t="str">
        <x:v>SRD 5.2.1 p. 238</x:v>
      </x:c>
    </x:row>
    <x:row r="179">
      <x:c r="A179" s="125" t="str">
        <x:v>Ring of Shooting Stars</x:v>
      </x:c>
      <x:c r="B179" s="126" t="str">
        <x:v>Ring</x:v>
      </x:c>
      <x:c r="C179" s="126" t="str">
        <x:v>Rare, Very Rare</x:v>
      </x:c>
      <x:c r="D179" s="126" t="str">
        <x:v>Yes</x:v>
      </x:c>
      <x:c r="E179" s="126" t="str">
        <x:v>Ring, Very Rare (Requires Attunement)</x:v>
      </x:c>
      <x:c r="F179" s="126" t="str"/>
      <x:c r="G179" s="127" t="str">
        <x:v>SRD 5.2.1 p. 238</x:v>
      </x:c>
    </x:row>
    <x:row r="180">
      <x:c r="A180" s="125" t="str">
        <x:v>Ring of Spell Storing</x:v>
      </x:c>
      <x:c r="B180" s="126" t="str">
        <x:v>Ring</x:v>
      </x:c>
      <x:c r="C180" s="126" t="str">
        <x:v>Rare</x:v>
      </x:c>
      <x:c r="D180" s="126" t="str">
        <x:v>Yes</x:v>
      </x:c>
      <x:c r="E180" s="126" t="str">
        <x:v>Ring, Rare (Requires Attunement)</x:v>
      </x:c>
      <x:c r="F180" s="126" t="str"/>
      <x:c r="G180" s="127" t="str">
        <x:v>SRD 5.2.1 p. 239</x:v>
      </x:c>
    </x:row>
    <x:row r="181">
      <x:c r="A181" s="125" t="str">
        <x:v>Ring of Spell Turning</x:v>
      </x:c>
      <x:c r="B181" s="126" t="str">
        <x:v>Ring</x:v>
      </x:c>
      <x:c r="C181" s="126" t="str">
        <x:v>Legendary</x:v>
      </x:c>
      <x:c r="D181" s="126" t="str">
        <x:v>Yes</x:v>
      </x:c>
      <x:c r="E181" s="126" t="str">
        <x:v>Ring, Legendary (Requires Attunement)</x:v>
      </x:c>
      <x:c r="F181" s="126" t="str"/>
      <x:c r="G181" s="127" t="str">
        <x:v>SRD 5.2.1 p. 239</x:v>
      </x:c>
    </x:row>
    <x:row r="182">
      <x:c r="A182" s="125" t="str">
        <x:v>Ring of Swimming</x:v>
      </x:c>
      <x:c r="B182" s="126" t="str">
        <x:v>Ring</x:v>
      </x:c>
      <x:c r="C182" s="126" t="str">
        <x:v>Uncommon</x:v>
      </x:c>
      <x:c r="D182" s="126" t="str">
        <x:v>No</x:v>
      </x:c>
      <x:c r="E182" s="126" t="str">
        <x:v>Ring, Uncommon</x:v>
      </x:c>
      <x:c r="F182" s="126" t="str"/>
      <x:c r="G182" s="127" t="str">
        <x:v>SRD 5.2.1 p. 239</x:v>
      </x:c>
    </x:row>
    <x:row r="183">
      <x:c r="A183" s="125" t="str">
        <x:v>Ring of Telekinesis</x:v>
      </x:c>
      <x:c r="B183" s="126" t="str">
        <x:v>Ring</x:v>
      </x:c>
      <x:c r="C183" s="126" t="str">
        <x:v>Rare, Very Rare</x:v>
      </x:c>
      <x:c r="D183" s="126" t="str">
        <x:v>Yes</x:v>
      </x:c>
      <x:c r="E183" s="126" t="str">
        <x:v>Ring, Very Rare (Requires Attunement)</x:v>
      </x:c>
      <x:c r="F183" s="126" t="str"/>
      <x:c r="G183" s="127" t="str">
        <x:v>SRD 5.2.1 p. 239</x:v>
      </x:c>
    </x:row>
    <x:row r="184">
      <x:c r="A184" s="125" t="str">
        <x:v>Ring of the Ram</x:v>
      </x:c>
      <x:c r="B184" s="126" t="str">
        <x:v>Ring</x:v>
      </x:c>
      <x:c r="C184" s="126" t="str">
        <x:v>Rare</x:v>
      </x:c>
      <x:c r="D184" s="126" t="str">
        <x:v>Yes</x:v>
      </x:c>
      <x:c r="E184" s="126" t="str">
        <x:v>Ring, Rare (Requires Attunement)</x:v>
      </x:c>
      <x:c r="F184" s="126" t="str"/>
      <x:c r="G184" s="127" t="str">
        <x:v>SRD 5.2.1 p. 239</x:v>
      </x:c>
    </x:row>
    <x:row r="185">
      <x:c r="A185" s="125" t="str">
        <x:v>Ring of Three Wishes</x:v>
      </x:c>
      <x:c r="B185" s="126" t="str">
        <x:v>Ring</x:v>
      </x:c>
      <x:c r="C185" s="126" t="str">
        <x:v>Legendary</x:v>
      </x:c>
      <x:c r="D185" s="126" t="str">
        <x:v>No</x:v>
      </x:c>
      <x:c r="E185" s="126" t="str">
        <x:v>Ring, Legendary</x:v>
      </x:c>
      <x:c r="F185" s="126" t="str"/>
      <x:c r="G185" s="127" t="str">
        <x:v>SRD 5.2.1 p. 239</x:v>
      </x:c>
    </x:row>
    <x:row r="186">
      <x:c r="A186" s="125" t="str">
        <x:v>Ring of Warmth</x:v>
      </x:c>
      <x:c r="B186" s="126" t="str">
        <x:v>Ring</x:v>
      </x:c>
      <x:c r="C186" s="126" t="str">
        <x:v>Uncommon</x:v>
      </x:c>
      <x:c r="D186" s="126" t="str">
        <x:v>Yes</x:v>
      </x:c>
      <x:c r="E186" s="126" t="str">
        <x:v>Ring, Uncommon (Requires Attunement)</x:v>
      </x:c>
      <x:c r="F186" s="126" t="str"/>
      <x:c r="G186" s="127" t="str">
        <x:v>SRD 5.2.1 p. 239</x:v>
      </x:c>
    </x:row>
    <x:row r="187">
      <x:c r="A187" s="125" t="str">
        <x:v>Ring of Water Walking</x:v>
      </x:c>
      <x:c r="B187" s="126" t="str">
        <x:v>Ring</x:v>
      </x:c>
      <x:c r="C187" s="126" t="str">
        <x:v>Uncommon</x:v>
      </x:c>
      <x:c r="D187" s="126" t="str">
        <x:v>No</x:v>
      </x:c>
      <x:c r="E187" s="126" t="str">
        <x:v>Ring, Uncommon</x:v>
      </x:c>
      <x:c r="F187" s="126" t="str"/>
      <x:c r="G187" s="127" t="str">
        <x:v>SRD 5.2.1 p. 239</x:v>
      </x:c>
    </x:row>
    <x:row r="188">
      <x:c r="A188" s="125" t="str">
        <x:v>Ring of X-ray Vision</x:v>
      </x:c>
      <x:c r="B188" s="126" t="str">
        <x:v>Ring</x:v>
      </x:c>
      <x:c r="C188" s="126" t="str">
        <x:v>Rare</x:v>
      </x:c>
      <x:c r="D188" s="126" t="str">
        <x:v>Yes</x:v>
      </x:c>
      <x:c r="E188" s="126" t="str">
        <x:v>Ring, Rare (Requires Attunement)</x:v>
      </x:c>
      <x:c r="F188" s="126" t="str"/>
      <x:c r="G188" s="127" t="str">
        <x:v>SRD 5.2.1 p. 239</x:v>
      </x:c>
    </x:row>
    <x:row r="189">
      <x:c r="A189" s="125" t="str">
        <x:v>Robe of Eyes</x:v>
      </x:c>
      <x:c r="B189" s="126" t="str">
        <x:v>Wondrous Item</x:v>
      </x:c>
      <x:c r="C189" s="126" t="str">
        <x:v>Rare</x:v>
      </x:c>
      <x:c r="D189" s="126" t="str">
        <x:v>Yes</x:v>
      </x:c>
      <x:c r="E189" s="126" t="str">
        <x:v>Wondrous Item, Rare (Requires Attunement)</x:v>
      </x:c>
      <x:c r="F189" s="126" t="str"/>
      <x:c r="G189" s="127" t="str">
        <x:v>SRD 5.2.1 p. 240</x:v>
      </x:c>
    </x:row>
    <x:row r="190">
      <x:c r="A190" s="125" t="str">
        <x:v>Robe of Scintillating Colors</x:v>
      </x:c>
      <x:c r="B190" s="126" t="str">
        <x:v>Wondrous Item</x:v>
      </x:c>
      <x:c r="C190" s="126" t="str">
        <x:v>Rare, Very Rare</x:v>
      </x:c>
      <x:c r="D190" s="126" t="str">
        <x:v>Yes</x:v>
      </x:c>
      <x:c r="E190" s="126" t="str">
        <x:v>Wondrous Item, Very Rare (Requires Attunement)</x:v>
      </x:c>
      <x:c r="F190" s="126" t="str"/>
      <x:c r="G190" s="127" t="str">
        <x:v>SRD 5.2.1 p. 240</x:v>
      </x:c>
    </x:row>
    <x:row r="191">
      <x:c r="A191" s="125" t="str">
        <x:v>Robe of Stars</x:v>
      </x:c>
      <x:c r="B191" s="126" t="str">
        <x:v>Wondrous Item</x:v>
      </x:c>
      <x:c r="C191" s="126" t="str">
        <x:v>Rare, Very Rare</x:v>
      </x:c>
      <x:c r="D191" s="126" t="str">
        <x:v>Yes</x:v>
      </x:c>
      <x:c r="E191" s="126" t="str">
        <x:v>Wondrous Item, Very Rare (Requires Attunement)</x:v>
      </x:c>
      <x:c r="F191" s="126" t="str"/>
      <x:c r="G191" s="127" t="str">
        <x:v>SRD 5.2.1 p. 240</x:v>
      </x:c>
    </x:row>
    <x:row r="192">
      <x:c r="A192" s="125" t="str">
        <x:v>Robe of the Archmagi</x:v>
      </x:c>
      <x:c r="B192" s="126" t="str">
        <x:v>Wondrous Item</x:v>
      </x:c>
      <x:c r="C192" s="126" t="str">
        <x:v>Legendary</x:v>
      </x:c>
      <x:c r="D192" s="126" t="str">
        <x:v>Yes</x:v>
      </x:c>
      <x:c r="E192" s="126" t="str">
        <x:v>Wondrous Item, Legendary (Requires Attunement by a</x:v>
      </x:c>
      <x:c r="F192" s="126" t="str"/>
      <x:c r="G192" s="127" t="str">
        <x:v>SRD 5.2.1 p. 240</x:v>
      </x:c>
    </x:row>
    <x:row r="193">
      <x:c r="A193" s="125" t="str">
        <x:v>Robe of Useful Items</x:v>
      </x:c>
      <x:c r="B193" s="126" t="str">
        <x:v>Wondrous Item</x:v>
      </x:c>
      <x:c r="C193" s="126" t="str">
        <x:v>Uncommon</x:v>
      </x:c>
      <x:c r="D193" s="126" t="str">
        <x:v>No</x:v>
      </x:c>
      <x:c r="E193" s="126" t="str">
        <x:v>Wondrous Item, Uncommon</x:v>
      </x:c>
      <x:c r="F193" s="126" t="str"/>
      <x:c r="G193" s="127" t="str">
        <x:v>SRD 5.2.1 p. 240</x:v>
      </x:c>
    </x:row>
    <x:row r="194">
      <x:c r="A194" s="125" t="str">
        <x:v>Rod of Absorption</x:v>
      </x:c>
      <x:c r="B194" s="126" t="str">
        <x:v>Rod</x:v>
      </x:c>
      <x:c r="C194" s="126" t="str">
        <x:v>Rare, Very Rare</x:v>
      </x:c>
      <x:c r="D194" s="126" t="str">
        <x:v>Yes</x:v>
      </x:c>
      <x:c r="E194" s="126" t="str">
        <x:v>Rod, Very Rare (Requires Attunement)</x:v>
      </x:c>
      <x:c r="F194" s="126" t="str"/>
      <x:c r="G194" s="127" t="str">
        <x:v>SRD 5.2.1 p. 241</x:v>
      </x:c>
    </x:row>
    <x:row r="195">
      <x:c r="A195" s="125" t="str">
        <x:v>Rod of Alertness</x:v>
      </x:c>
      <x:c r="B195" s="126" t="str">
        <x:v>Rod</x:v>
      </x:c>
      <x:c r="C195" s="126" t="str">
        <x:v>Rare, Very Rare</x:v>
      </x:c>
      <x:c r="D195" s="126" t="str">
        <x:v>Yes</x:v>
      </x:c>
      <x:c r="E195" s="126" t="str">
        <x:v>Rod, Very Rare (Requires Attunement)</x:v>
      </x:c>
      <x:c r="F195" s="126" t="str"/>
      <x:c r="G195" s="127" t="str">
        <x:v>SRD 5.2.1 p. 241</x:v>
      </x:c>
    </x:row>
    <x:row r="196">
      <x:c r="A196" s="125" t="str">
        <x:v>Rod of Lordly Might</x:v>
      </x:c>
      <x:c r="B196" s="126" t="str">
        <x:v>Rod</x:v>
      </x:c>
      <x:c r="C196" s="126" t="str">
        <x:v>Legendary</x:v>
      </x:c>
      <x:c r="D196" s="126" t="str">
        <x:v>Yes</x:v>
      </x:c>
      <x:c r="E196" s="126" t="str">
        <x:v>Rod, Legendary (Requires Attunement)</x:v>
      </x:c>
      <x:c r="F196" s="126" t="str"/>
      <x:c r="G196" s="127" t="str">
        <x:v>SRD 5.2.1 p. 241</x:v>
      </x:c>
    </x:row>
    <x:row r="197">
      <x:c r="A197" s="125" t="str">
        <x:v>Rod of Resurrection</x:v>
      </x:c>
      <x:c r="B197" s="126" t="str">
        <x:v>Rod</x:v>
      </x:c>
      <x:c r="C197" s="126" t="str">
        <x:v>Legendary</x:v>
      </x:c>
      <x:c r="D197" s="126" t="str">
        <x:v>Yes</x:v>
      </x:c>
      <x:c r="E197" s="126" t="str">
        <x:v>Rod, Legendary (Requires Attunement)</x:v>
      </x:c>
      <x:c r="F197" s="126" t="str"/>
      <x:c r="G197" s="127" t="str">
        <x:v>SRD 5.2.1 p. 242</x:v>
      </x:c>
    </x:row>
    <x:row r="198">
      <x:c r="A198" s="125" t="str">
        <x:v>Rod of Rulership</x:v>
      </x:c>
      <x:c r="B198" s="126" t="str">
        <x:v>Rod</x:v>
      </x:c>
      <x:c r="C198" s="126" t="str">
        <x:v>Rare</x:v>
      </x:c>
      <x:c r="D198" s="126" t="str">
        <x:v>Yes</x:v>
      </x:c>
      <x:c r="E198" s="126" t="str">
        <x:v>Rod, Rare (Requires Attunement)</x:v>
      </x:c>
      <x:c r="F198" s="126" t="str"/>
      <x:c r="G198" s="127" t="str">
        <x:v>SRD 5.2.1 p. 242</x:v>
      </x:c>
    </x:row>
    <x:row r="199">
      <x:c r="A199" s="125" t="str">
        <x:v>Rod of Security</x:v>
      </x:c>
      <x:c r="B199" s="126" t="str">
        <x:v>Rod</x:v>
      </x:c>
      <x:c r="C199" s="126" t="str">
        <x:v>Rare, Very Rare</x:v>
      </x:c>
      <x:c r="D199" s="126" t="str">
        <x:v>No</x:v>
      </x:c>
      <x:c r="E199" s="126" t="str">
        <x:v>Rod, Very Rare</x:v>
      </x:c>
      <x:c r="F199" s="126" t="str"/>
      <x:c r="G199" s="127" t="str">
        <x:v>SRD 5.2.1 p. 242</x:v>
      </x:c>
    </x:row>
    <x:row r="200">
      <x:c r="A200" s="125" t="str">
        <x:v>Rope of Climbing</x:v>
      </x:c>
      <x:c r="B200" s="126" t="str">
        <x:v>Wondrous Item</x:v>
      </x:c>
      <x:c r="C200" s="126" t="str">
        <x:v>Uncommon</x:v>
      </x:c>
      <x:c r="D200" s="126" t="str">
        <x:v>No</x:v>
      </x:c>
      <x:c r="E200" s="126" t="str">
        <x:v>Wondrous Item, Uncommon</x:v>
      </x:c>
      <x:c r="F200" s="126" t="str"/>
      <x:c r="G200" s="127" t="str">
        <x:v>SRD 5.2.1 p. 242</x:v>
      </x:c>
    </x:row>
    <x:row r="201">
      <x:c r="A201" s="125" t="str">
        <x:v>Rope of Entanglement</x:v>
      </x:c>
      <x:c r="B201" s="126" t="str">
        <x:v>Wondrous Item</x:v>
      </x:c>
      <x:c r="C201" s="126" t="str">
        <x:v>Rare</x:v>
      </x:c>
      <x:c r="D201" s="126" t="str">
        <x:v>No</x:v>
      </x:c>
      <x:c r="E201" s="126" t="str">
        <x:v>Wondrous Item, Rare</x:v>
      </x:c>
      <x:c r="F201" s="126" t="str"/>
      <x:c r="G201" s="127" t="str">
        <x:v>SRD 5.2.1 p. 242</x:v>
      </x:c>
    </x:row>
    <x:row r="202">
      <x:c r="A202" s="125" t="str">
        <x:v>Scarab of Protection</x:v>
      </x:c>
      <x:c r="B202" s="126" t="str">
        <x:v>Wondrous Item</x:v>
      </x:c>
      <x:c r="C202" s="126" t="str">
        <x:v>Legendary</x:v>
      </x:c>
      <x:c r="D202" s="126" t="str">
        <x:v>Yes</x:v>
      </x:c>
      <x:c r="E202" s="126" t="str">
        <x:v>Wondrous Item, Legendary (Requires Attunement)</x:v>
      </x:c>
      <x:c r="F202" s="126" t="str"/>
      <x:c r="G202" s="127" t="str">
        <x:v>SRD 5.2.1 p. 243</x:v>
      </x:c>
    </x:row>
    <x:row r="203">
      <x:c r="A203" s="125" t="str">
        <x:v>Scimitar of Speed</x:v>
      </x:c>
      <x:c r="B203" s="126" t="str">
        <x:v>Weapon</x:v>
      </x:c>
      <x:c r="C203" s="126" t="str">
        <x:v>Rare, Very Rare</x:v>
      </x:c>
      <x:c r="D203" s="126" t="str">
        <x:v>Yes</x:v>
      </x:c>
      <x:c r="E203" s="126" t="str">
        <x:v>Weapon (Scimitar), Very Rare (Requires Attunement)</x:v>
      </x:c>
      <x:c r="F203" s="126" t="str"/>
      <x:c r="G203" s="127" t="str">
        <x:v>SRD 5.2.1 p. 243</x:v>
      </x:c>
    </x:row>
    <x:row r="204">
      <x:c r="A204" s="125" t="str">
        <x:v>Sending Stones</x:v>
      </x:c>
      <x:c r="B204" s="126" t="str">
        <x:v>Wondrous Item</x:v>
      </x:c>
      <x:c r="C204" s="126" t="str">
        <x:v>Uncommon</x:v>
      </x:c>
      <x:c r="D204" s="126" t="str">
        <x:v>No</x:v>
      </x:c>
      <x:c r="E204" s="126" t="str">
        <x:v>Wondrous Item, Uncommon</x:v>
      </x:c>
      <x:c r="F204" s="126" t="str"/>
      <x:c r="G204" s="127" t="str">
        <x:v>SRD 5.2.1 p. 243</x:v>
      </x:c>
    </x:row>
    <x:row r="205">
      <x:c r="A205" s="125" t="str">
        <x:v>Sentinel Shield</x:v>
      </x:c>
      <x:c r="B205" s="126" t="str">
        <x:v>Armor</x:v>
      </x:c>
      <x:c r="C205" s="126" t="str">
        <x:v>Uncommon</x:v>
      </x:c>
      <x:c r="D205" s="126" t="str">
        <x:v>No</x:v>
      </x:c>
      <x:c r="E205" s="126" t="str">
        <x:v>Armor (Shield), Uncommon</x:v>
      </x:c>
      <x:c r="F205" s="126" t="str"/>
      <x:c r="G205" s="127" t="str">
        <x:v>SRD 5.2.1 p. 243</x:v>
      </x:c>
    </x:row>
    <x:row r="206">
      <x:c r="A206" s="125" t="str">
        <x:v>Shield, +1, +2, or +3</x:v>
      </x:c>
      <x:c r="B206" s="126" t="str">
        <x:v>Armor</x:v>
      </x:c>
      <x:c r="C206" s="126" t="str">
        <x:v>Uncommon, Rare</x:v>
      </x:c>
      <x:c r="D206" s="126" t="str">
        <x:v>No</x:v>
      </x:c>
      <x:c r="E206" s="126" t="str">
        <x:v>Armor (Shield), Uncommon (+1), Rare (+2), or Very</x:v>
      </x:c>
      <x:c r="F206" s="126" t="str"/>
      <x:c r="G206" s="127" t="str">
        <x:v>SRD 5.2.1 p. 243</x:v>
      </x:c>
    </x:row>
    <x:row r="207">
      <x:c r="A207" s="125" t="str">
        <x:v>Shield of Missile Attraction</x:v>
      </x:c>
      <x:c r="B207" s="126" t="str">
        <x:v>Armor</x:v>
      </x:c>
      <x:c r="C207" s="126" t="str">
        <x:v>Rare</x:v>
      </x:c>
      <x:c r="D207" s="126" t="str">
        <x:v>Yes</x:v>
      </x:c>
      <x:c r="E207" s="126" t="str">
        <x:v>Armor (Shield), Rare (Requires Attunement)</x:v>
      </x:c>
      <x:c r="F207" s="126" t="str"/>
      <x:c r="G207" s="127" t="str">
        <x:v>SRD 5.2.1 p. 243</x:v>
      </x:c>
    </x:row>
    <x:row r="208">
      <x:c r="A208" s="125" t="str">
        <x:v>Shield of the Cavalier</x:v>
      </x:c>
      <x:c r="B208" s="126" t="str">
        <x:v>Armor</x:v>
      </x:c>
      <x:c r="C208" s="126" t="str">
        <x:v>Rare, Very Rare</x:v>
      </x:c>
      <x:c r="D208" s="126" t="str">
        <x:v>Yes</x:v>
      </x:c>
      <x:c r="E208" s="126" t="str">
        <x:v>Armor (Shield), Very Rare (Requires Attunement)</x:v>
      </x:c>
      <x:c r="F208" s="126" t="str"/>
      <x:c r="G208" s="127" t="str">
        <x:v>SRD 5.2.1 p. 243</x:v>
      </x:c>
    </x:row>
    <x:row r="209">
      <x:c r="A209" s="125" t="str">
        <x:v>Slippers of Spider Climbing</x:v>
      </x:c>
      <x:c r="B209" s="126" t="str">
        <x:v>Wondrous Item</x:v>
      </x:c>
      <x:c r="C209" s="126" t="str">
        <x:v>Uncommon</x:v>
      </x:c>
      <x:c r="D209" s="126" t="str">
        <x:v>Yes</x:v>
      </x:c>
      <x:c r="E209" s="126" t="str">
        <x:v>Wondrous Item, Uncommon (Requires Attunement)</x:v>
      </x:c>
      <x:c r="F209" s="126" t="str"/>
      <x:c r="G209" s="127" t="str">
        <x:v>SRD 5.2.1 p. 244</x:v>
      </x:c>
    </x:row>
    <x:row r="210">
      <x:c r="A210" s="125" t="str">
        <x:v>Sovereign Glue</x:v>
      </x:c>
      <x:c r="B210" s="126" t="str">
        <x:v>Wondrous Item</x:v>
      </x:c>
      <x:c r="C210" s="126" t="str">
        <x:v>Legendary</x:v>
      </x:c>
      <x:c r="D210" s="126" t="str">
        <x:v>No</x:v>
      </x:c>
      <x:c r="E210" s="126" t="str">
        <x:v>Wondrous Item, Legendary</x:v>
      </x:c>
      <x:c r="F210" s="126" t="str"/>
      <x:c r="G210" s="127" t="str">
        <x:v>SRD 5.2.1 p. 244</x:v>
      </x:c>
    </x:row>
    <x:row r="211">
      <x:c r="A211" s="125" t="str">
        <x:v>Spellguard Shield</x:v>
      </x:c>
      <x:c r="B211" s="126" t="str">
        <x:v>Armor</x:v>
      </x:c>
      <x:c r="C211" s="126" t="str">
        <x:v>Rare, Very Rare</x:v>
      </x:c>
      <x:c r="D211" s="126" t="str">
        <x:v>Yes</x:v>
      </x:c>
      <x:c r="E211" s="126" t="str">
        <x:v>Armor (Shield), Very Rare (Requires Attunement)</x:v>
      </x:c>
      <x:c r="F211" s="126" t="str"/>
      <x:c r="G211" s="127" t="str">
        <x:v>SRD 5.2.1 p. 244</x:v>
      </x:c>
    </x:row>
    <x:row r="212">
      <x:c r="A212" s="125" t="str">
        <x:v>Spell Scroll</x:v>
      </x:c>
      <x:c r="B212" s="126" t="str">
        <x:v>Scroll</x:v>
      </x:c>
      <x:c r="C212" s="126" t="str">
        <x:v>Varies</x:v>
      </x:c>
      <x:c r="D212" s="126" t="str">
        <x:v>No</x:v>
      </x:c>
      <x:c r="E212" s="126" t="str">
        <x:v>Scroll, Rarity Varies</x:v>
      </x:c>
      <x:c r="F212" s="126" t="str"/>
      <x:c r="G212" s="127" t="str">
        <x:v>SRD 5.2.1 p. 244</x:v>
      </x:c>
    </x:row>
    <x:row r="213">
      <x:c r="A213" s="125" t="str">
        <x:v>Sphere of Annihilation</x:v>
      </x:c>
      <x:c r="B213" s="126" t="str">
        <x:v>Wondrous Item</x:v>
      </x:c>
      <x:c r="C213" s="126" t="str">
        <x:v>Legendary</x:v>
      </x:c>
      <x:c r="D213" s="126" t="str">
        <x:v>No</x:v>
      </x:c>
      <x:c r="E213" s="126" t="str">
        <x:v>Wondrous Item, Legendary</x:v>
      </x:c>
      <x:c r="F213" s="126" t="str"/>
      <x:c r="G213" s="127" t="str">
        <x:v>SRD 5.2.1 p. 244</x:v>
      </x:c>
    </x:row>
    <x:row r="214">
      <x:c r="A214" s="125" t="str">
        <x:v>Staff of Charming</x:v>
      </x:c>
      <x:c r="B214" s="126" t="str">
        <x:v>Staff</x:v>
      </x:c>
      <x:c r="C214" s="126" t="str">
        <x:v>Rare</x:v>
      </x:c>
      <x:c r="D214" s="126" t="str">
        <x:v>Yes</x:v>
      </x:c>
      <x:c r="E214" s="126" t="str">
        <x:v>Staff, Rare (Requires Attunement by a Bard, Cleric,</x:v>
      </x:c>
      <x:c r="F214" s="126" t="str"/>
      <x:c r="G214" s="127" t="str">
        <x:v>SRD 5.2.1 p. 245</x:v>
      </x:c>
    </x:row>
    <x:row r="215">
      <x:c r="A215" s="125" t="str">
        <x:v>Staff of Fire</x:v>
      </x:c>
      <x:c r="B215" s="126" t="str">
        <x:v>Staff</x:v>
      </x:c>
      <x:c r="C215" s="126" t="str">
        <x:v>Rare, Very Rare</x:v>
      </x:c>
      <x:c r="D215" s="126" t="str">
        <x:v>Yes</x:v>
      </x:c>
      <x:c r="E215" s="126" t="str">
        <x:v>Staff, Very Rare (Requires Attunement by a Druid,</x:v>
      </x:c>
      <x:c r="F215" s="126" t="str"/>
      <x:c r="G215" s="127" t="str">
        <x:v>SRD 5.2.1 p. 245</x:v>
      </x:c>
    </x:row>
    <x:row r="216">
      <x:c r="A216" s="125" t="str">
        <x:v>Staff of Frost</x:v>
      </x:c>
      <x:c r="B216" s="126" t="str">
        <x:v>Staff</x:v>
      </x:c>
      <x:c r="C216" s="126" t="str">
        <x:v>Rare, Very Rare</x:v>
      </x:c>
      <x:c r="D216" s="126" t="str">
        <x:v>Yes</x:v>
      </x:c>
      <x:c r="E216" s="126" t="str">
        <x:v>Staff, Very Rare (Requires Attunement by a Druid,</x:v>
      </x:c>
      <x:c r="F216" s="126" t="str"/>
      <x:c r="G216" s="127" t="str">
        <x:v>SRD 5.2.1 p. 245</x:v>
      </x:c>
    </x:row>
    <x:row r="217">
      <x:c r="A217" s="125" t="str">
        <x:v>Staff of Healing</x:v>
      </x:c>
      <x:c r="B217" s="126" t="str">
        <x:v>Staff</x:v>
      </x:c>
      <x:c r="C217" s="126" t="str">
        <x:v>Rare</x:v>
      </x:c>
      <x:c r="D217" s="126" t="str">
        <x:v>Yes</x:v>
      </x:c>
      <x:c r="E217" s="126" t="str">
        <x:v>Staff, Rare (Requires Attunement by a Bard, Cleric, or</x:v>
      </x:c>
      <x:c r="F217" s="126" t="str"/>
      <x:c r="G217" s="127" t="str">
        <x:v>SRD 5.2.1 p. 245</x:v>
      </x:c>
    </x:row>
    <x:row r="218">
      <x:c r="A218" s="125" t="str">
        <x:v>Staff of Power</x:v>
      </x:c>
      <x:c r="B218" s="126" t="str">
        <x:v>Staff</x:v>
      </x:c>
      <x:c r="C218" s="126" t="str">
        <x:v>Rare, Very Rare</x:v>
      </x:c>
      <x:c r="D218" s="126" t="str">
        <x:v>Yes</x:v>
      </x:c>
      <x:c r="E218" s="126" t="str">
        <x:v>Staff, Very Rare (Requires Attunement by a Sorcerer,</x:v>
      </x:c>
      <x:c r="F218" s="126" t="str"/>
      <x:c r="G218" s="127" t="str">
        <x:v>SRD 5.2.1 p. 245</x:v>
      </x:c>
    </x:row>
    <x:row r="219">
      <x:c r="A219" s="125" t="str">
        <x:v>Staff of Striking</x:v>
      </x:c>
      <x:c r="B219" s="126" t="str">
        <x:v>Staff</x:v>
      </x:c>
      <x:c r="C219" s="126" t="str">
        <x:v>Rare, Very Rare</x:v>
      </x:c>
      <x:c r="D219" s="126" t="str">
        <x:v>Yes</x:v>
      </x:c>
      <x:c r="E219" s="126" t="str">
        <x:v>Staff, Very Rare (Requires Attunement)</x:v>
      </x:c>
      <x:c r="F219" s="126" t="str"/>
      <x:c r="G219" s="127" t="str">
        <x:v>SRD 5.2.1 p. 246</x:v>
      </x:c>
    </x:row>
    <x:row r="220">
      <x:c r="A220" s="125" t="str">
        <x:v>Staff of Swarming Insects</x:v>
      </x:c>
      <x:c r="B220" s="126" t="str">
        <x:v>Staff</x:v>
      </x:c>
      <x:c r="C220" s="126" t="str">
        <x:v>Rare</x:v>
      </x:c>
      <x:c r="D220" s="126" t="str">
        <x:v>Yes</x:v>
      </x:c>
      <x:c r="E220" s="126" t="str">
        <x:v>Staff, Rare (Requires Attunement by a Bard, Cleric,</x:v>
      </x:c>
      <x:c r="F220" s="126" t="str"/>
      <x:c r="G220" s="127" t="str">
        <x:v>SRD 5.2.1 p. 246</x:v>
      </x:c>
    </x:row>
    <x:row r="221">
      <x:c r="A221" s="125" t="str">
        <x:v>Staff of the Magi</x:v>
      </x:c>
      <x:c r="B221" s="126" t="str">
        <x:v>Staff</x:v>
      </x:c>
      <x:c r="C221" s="126" t="str">
        <x:v>Legendary</x:v>
      </x:c>
      <x:c r="D221" s="126" t="str">
        <x:v>Yes</x:v>
      </x:c>
      <x:c r="E221" s="126" t="str">
        <x:v>Staff, Legendary (Requires Attunement by a Sorcerer,</x:v>
      </x:c>
      <x:c r="F221" s="126" t="str"/>
      <x:c r="G221" s="127" t="str">
        <x:v>SRD 5.2.1 p. 246</x:v>
      </x:c>
    </x:row>
    <x:row r="222">
      <x:c r="A222" s="125" t="str">
        <x:v>Staff of the Python</x:v>
      </x:c>
      <x:c r="B222" s="126" t="str">
        <x:v>Staff</x:v>
      </x:c>
      <x:c r="C222" s="126" t="str">
        <x:v>Uncommon</x:v>
      </x:c>
      <x:c r="D222" s="126" t="str">
        <x:v>Yes</x:v>
      </x:c>
      <x:c r="E222" s="126" t="str">
        <x:v>Staff, Uncommon (Requires Attunement)</x:v>
      </x:c>
      <x:c r="F222" s="126" t="str"/>
      <x:c r="G222" s="127" t="str">
        <x:v>SRD 5.2.1 p. 247</x:v>
      </x:c>
    </x:row>
    <x:row r="223">
      <x:c r="A223" s="125" t="str">
        <x:v>Staff of the Woodlands</x:v>
      </x:c>
      <x:c r="B223" s="126" t="str">
        <x:v>Staff</x:v>
      </x:c>
      <x:c r="C223" s="126" t="str">
        <x:v>Rare</x:v>
      </x:c>
      <x:c r="D223" s="126" t="str">
        <x:v>Yes</x:v>
      </x:c>
      <x:c r="E223" s="126" t="str">
        <x:v>Staff, Rare (Requires Attunement by a Druid)</x:v>
      </x:c>
      <x:c r="F223" s="126" t="str"/>
      <x:c r="G223" s="127" t="str">
        <x:v>SRD 5.2.1 p. 247</x:v>
      </x:c>
    </x:row>
    <x:row r="224">
      <x:c r="A224" s="125" t="str">
        <x:v>Staff of Thunder and Lightning</x:v>
      </x:c>
      <x:c r="B224" s="126" t="str">
        <x:v>Staff</x:v>
      </x:c>
      <x:c r="C224" s="126" t="str">
        <x:v>Rare, Very Rare</x:v>
      </x:c>
      <x:c r="D224" s="126" t="str">
        <x:v>Yes</x:v>
      </x:c>
      <x:c r="E224" s="126" t="str">
        <x:v>Staff, Very Rare (Requires Attunement)</x:v>
      </x:c>
      <x:c r="F224" s="126" t="str"/>
      <x:c r="G224" s="127" t="str">
        <x:v>SRD 5.2.1 p. 247</x:v>
      </x:c>
    </x:row>
    <x:row r="225">
      <x:c r="A225" s="125" t="str">
        <x:v>Staff of Withering</x:v>
      </x:c>
      <x:c r="B225" s="126" t="str">
        <x:v>Staff</x:v>
      </x:c>
      <x:c r="C225" s="126" t="str">
        <x:v>Rare</x:v>
      </x:c>
      <x:c r="D225" s="126" t="str">
        <x:v>Yes</x:v>
      </x:c>
      <x:c r="E225" s="126" t="str">
        <x:v>Staff, Rare (Requires Attunement)</x:v>
      </x:c>
      <x:c r="F225" s="126" t="str"/>
      <x:c r="G225" s="127" t="str">
        <x:v>SRD 5.2.1 p. 248</x:v>
      </x:c>
    </x:row>
    <x:row r="226">
      <x:c r="A226" s="125" t="str">
        <x:v>Stone of Controlling Earth Elementals</x:v>
      </x:c>
      <x:c r="B226" s="126" t="str">
        <x:v>Wondrous Item</x:v>
      </x:c>
      <x:c r="C226" s="126" t="str">
        <x:v>Rare</x:v>
      </x:c>
      <x:c r="D226" s="126" t="str">
        <x:v>No</x:v>
      </x:c>
      <x:c r="E226" s="126" t="str">
        <x:v>Wondrous Item, Rare</x:v>
      </x:c>
      <x:c r="F226" s="126" t="str"/>
      <x:c r="G226" s="127" t="str">
        <x:v>SRD 5.2.1 p. 248</x:v>
      </x:c>
    </x:row>
    <x:row r="227">
      <x:c r="A227" s="125" t="str">
        <x:v>Stone of Good Luck (Luckstone)</x:v>
      </x:c>
      <x:c r="B227" s="126" t="str">
        <x:v>Wondrous Item</x:v>
      </x:c>
      <x:c r="C227" s="126" t="str">
        <x:v>Uncommon</x:v>
      </x:c>
      <x:c r="D227" s="126" t="str">
        <x:v>Yes</x:v>
      </x:c>
      <x:c r="E227" s="126" t="str">
        <x:v>Wondrous Item, Uncommon (Requires Attunement)</x:v>
      </x:c>
      <x:c r="F227" s="126" t="str"/>
      <x:c r="G227" s="127" t="str">
        <x:v>SRD 5.2.1 p. 248</x:v>
      </x:c>
    </x:row>
    <x:row r="228">
      <x:c r="A228" s="125" t="str">
        <x:v>Sun Blade</x:v>
      </x:c>
      <x:c r="B228" s="126" t="str">
        <x:v>Weapon</x:v>
      </x:c>
      <x:c r="C228" s="126" t="str">
        <x:v>Rare</x:v>
      </x:c>
      <x:c r="D228" s="126" t="str">
        <x:v>Yes</x:v>
      </x:c>
      <x:c r="E228" s="126" t="str">
        <x:v>Weapon (Longsword), Rare (Requires Attunement)</x:v>
      </x:c>
      <x:c r="F228" s="126" t="str"/>
      <x:c r="G228" s="127" t="str">
        <x:v>SRD 5.2.1 p. 248</x:v>
      </x:c>
    </x:row>
    <x:row r="229">
      <x:c r="A229" s="125" t="str">
        <x:v>Sword of Life Stealing</x:v>
      </x:c>
      <x:c r="B229" s="126" t="str">
        <x:v>Weapon</x:v>
      </x:c>
      <x:c r="C229" s="126" t="str"/>
      <x:c r="D229" s="126" t="str">
        <x:v>No</x:v>
      </x:c>
      <x:c r="E229" s="126" t="str">
        <x:v>Weapon (Glaive, Greatsword, Longsword, Rapier,</x:v>
      </x:c>
      <x:c r="F229" s="126" t="str"/>
      <x:c r="G229" s="127" t="str">
        <x:v>SRD 5.2.1 p. 248</x:v>
      </x:c>
    </x:row>
    <x:row r="230">
      <x:c r="A230" s="125" t="str">
        <x:v>Sword of Sharpness</x:v>
      </x:c>
      <x:c r="B230" s="126" t="str">
        <x:v>Weapon</x:v>
      </x:c>
      <x:c r="C230" s="126" t="str"/>
      <x:c r="D230" s="126" t="str">
        <x:v>No</x:v>
      </x:c>
      <x:c r="E230" s="126" t="str">
        <x:v>Weapon (Glaive, Greatsword, Longsword, or Scimitar),</x:v>
      </x:c>
      <x:c r="F230" s="126" t="str"/>
      <x:c r="G230" s="127" t="str">
        <x:v>SRD 5.2.1 p. 248</x:v>
      </x:c>
    </x:row>
    <x:row r="231">
      <x:c r="A231" s="125" t="str">
        <x:v>Sword of Wounding</x:v>
      </x:c>
      <x:c r="B231" s="126" t="str">
        <x:v>Weapon</x:v>
      </x:c>
      <x:c r="C231" s="126" t="str"/>
      <x:c r="D231" s="126" t="str">
        <x:v>No</x:v>
      </x:c>
      <x:c r="E231" s="126" t="str">
        <x:v>Weapon (Glaive, Greatsword, Longsword, Rapier,</x:v>
      </x:c>
      <x:c r="F231" s="126" t="str"/>
      <x:c r="G231" s="127" t="str">
        <x:v>SRD 5.2.1 p. 248</x:v>
      </x:c>
    </x:row>
    <x:row r="232">
      <x:c r="A232" s="125" t="str">
        <x:v>Talisman of Pure Good</x:v>
      </x:c>
      <x:c r="B232" s="126" t="str">
        <x:v>Wondrous Item</x:v>
      </x:c>
      <x:c r="C232" s="126" t="str">
        <x:v>Legendary</x:v>
      </x:c>
      <x:c r="D232" s="126" t="str">
        <x:v>Yes</x:v>
      </x:c>
      <x:c r="E232" s="126" t="str">
        <x:v>Wondrous Item, Legendary (Requires Attunement by a</x:v>
      </x:c>
      <x:c r="F232" s="126" t="str"/>
      <x:c r="G232" s="127" t="str">
        <x:v>SRD 5.2.1 p. 248</x:v>
      </x:c>
    </x:row>
    <x:row r="233">
      <x:c r="A233" s="125" t="str">
        <x:v>Talisman of the Sphere</x:v>
      </x:c>
      <x:c r="B233" s="126" t="str">
        <x:v>Wondrous Item</x:v>
      </x:c>
      <x:c r="C233" s="126" t="str">
        <x:v>Legendary</x:v>
      </x:c>
      <x:c r="D233" s="126" t="str">
        <x:v>Yes</x:v>
      </x:c>
      <x:c r="E233" s="126" t="str">
        <x:v>Wondrous Item, Legendary (Requires Attunement)</x:v>
      </x:c>
      <x:c r="F233" s="126" t="str"/>
      <x:c r="G233" s="127" t="str">
        <x:v>SRD 5.2.1 p. 249</x:v>
      </x:c>
    </x:row>
    <x:row r="234">
      <x:c r="A234" s="125" t="str">
        <x:v>Talisman of Ultimate Evil</x:v>
      </x:c>
      <x:c r="B234" s="126" t="str">
        <x:v>Wondrous Item</x:v>
      </x:c>
      <x:c r="C234" s="126" t="str">
        <x:v>Legendary</x:v>
      </x:c>
      <x:c r="D234" s="126" t="str">
        <x:v>Yes</x:v>
      </x:c>
      <x:c r="E234" s="126" t="str">
        <x:v>Wondrous Item, Legendary (Requires Attunement)</x:v>
      </x:c>
      <x:c r="F234" s="126" t="str"/>
      <x:c r="G234" s="127" t="str">
        <x:v>SRD 5.2.1 p. 249</x:v>
      </x:c>
    </x:row>
    <x:row r="235">
      <x:c r="A235" s="125" t="str">
        <x:v>Thunderous Greatclub</x:v>
      </x:c>
      <x:c r="B235" s="126" t="str">
        <x:v>Weapon</x:v>
      </x:c>
      <x:c r="C235" s="126" t="str">
        <x:v>Rare, Very Rare</x:v>
      </x:c>
      <x:c r="D235" s="126" t="str">
        <x:v>Yes</x:v>
      </x:c>
      <x:c r="E235" s="126" t="str">
        <x:v>Weapon (Greatclub), Very Rare (Requires Attunement)</x:v>
      </x:c>
      <x:c r="F235" s="126" t="str"/>
      <x:c r="G235" s="127" t="str">
        <x:v>SRD 5.2.1 p. 249</x:v>
      </x:c>
    </x:row>
    <x:row r="236">
      <x:c r="A236" s="125" t="str">
        <x:v>Tome of Clear Thought</x:v>
      </x:c>
      <x:c r="B236" s="126" t="str">
        <x:v>Wondrous Item</x:v>
      </x:c>
      <x:c r="C236" s="126" t="str">
        <x:v>Rare, Very Rare</x:v>
      </x:c>
      <x:c r="D236" s="126" t="str">
        <x:v>No</x:v>
      </x:c>
      <x:c r="E236" s="126" t="str">
        <x:v>Wondrous Item, Very Rare</x:v>
      </x:c>
      <x:c r="F236" s="126" t="str"/>
      <x:c r="G236" s="127" t="str">
        <x:v>SRD 5.2.1 p. 249</x:v>
      </x:c>
    </x:row>
    <x:row r="237">
      <x:c r="A237" s="125" t="str">
        <x:v>Tome of Leadership and Influence</x:v>
      </x:c>
      <x:c r="B237" s="126" t="str">
        <x:v>Wondrous Item</x:v>
      </x:c>
      <x:c r="C237" s="126" t="str">
        <x:v>Rare, Very Rare</x:v>
      </x:c>
      <x:c r="D237" s="126" t="str">
        <x:v>No</x:v>
      </x:c>
      <x:c r="E237" s="126" t="str">
        <x:v>Wondrous Item, Very Rare</x:v>
      </x:c>
      <x:c r="F237" s="126" t="str"/>
      <x:c r="G237" s="127" t="str">
        <x:v>SRD 5.2.1 p. 249</x:v>
      </x:c>
    </x:row>
    <x:row r="238">
      <x:c r="A238" s="125" t="str">
        <x:v>Tome of Understanding</x:v>
      </x:c>
      <x:c r="B238" s="126" t="str">
        <x:v>Wondrous Item</x:v>
      </x:c>
      <x:c r="C238" s="126" t="str">
        <x:v>Rare, Very Rare</x:v>
      </x:c>
      <x:c r="D238" s="126" t="str">
        <x:v>No</x:v>
      </x:c>
      <x:c r="E238" s="126" t="str">
        <x:v>Wondrous Item, Very Rare</x:v>
      </x:c>
      <x:c r="F238" s="126" t="str"/>
      <x:c r="G238" s="127" t="str">
        <x:v>SRD 5.2.1 p. 250</x:v>
      </x:c>
    </x:row>
    <x:row r="239">
      <x:c r="A239" s="125" t="str">
        <x:v>Trident of Fish Command</x:v>
      </x:c>
      <x:c r="B239" s="126" t="str">
        <x:v>Weapon</x:v>
      </x:c>
      <x:c r="C239" s="126" t="str">
        <x:v>Uncommon</x:v>
      </x:c>
      <x:c r="D239" s="126" t="str">
        <x:v>Yes</x:v>
      </x:c>
      <x:c r="E239" s="126" t="str">
        <x:v>Weapon (Trident), Uncommon (Requires Attunement)</x:v>
      </x:c>
      <x:c r="F239" s="126" t="str"/>
      <x:c r="G239" s="127" t="str">
        <x:v>SRD 5.2.1 p. 250</x:v>
      </x:c>
    </x:row>
    <x:row r="240">
      <x:c r="A240" s="125" t="str">
        <x:v>Universal Solvent</x:v>
      </x:c>
      <x:c r="B240" s="126" t="str">
        <x:v>Wondrous Item</x:v>
      </x:c>
      <x:c r="C240" s="126" t="str">
        <x:v>Legendary</x:v>
      </x:c>
      <x:c r="D240" s="126" t="str">
        <x:v>No</x:v>
      </x:c>
      <x:c r="E240" s="126" t="str">
        <x:v>Wondrous Item, Legendary</x:v>
      </x:c>
      <x:c r="F240" s="126" t="str"/>
      <x:c r="G240" s="127" t="str">
        <x:v>SRD 5.2.1 p. 250</x:v>
      </x:c>
    </x:row>
    <x:row r="241">
      <x:c r="A241" s="125" t="str">
        <x:v>Vicious Weapon</x:v>
      </x:c>
      <x:c r="B241" s="126" t="str">
        <x:v>Weapon</x:v>
      </x:c>
      <x:c r="C241" s="126" t="str">
        <x:v>Rare</x:v>
      </x:c>
      <x:c r="D241" s="126" t="str">
        <x:v>No</x:v>
      </x:c>
      <x:c r="E241" s="126" t="str">
        <x:v>Weapon (Any Simple or Martial), Rare</x:v>
      </x:c>
      <x:c r="F241" s="126" t="str"/>
      <x:c r="G241" s="127" t="str">
        <x:v>SRD 5.2.1 p. 250</x:v>
      </x:c>
    </x:row>
    <x:row r="242">
      <x:c r="A242" s="125" t="str">
        <x:v>Vorpal Sword</x:v>
      </x:c>
      <x:c r="B242" s="126" t="str">
        <x:v>Weapon</x:v>
      </x:c>
      <x:c r="C242" s="126" t="str"/>
      <x:c r="D242" s="126" t="str">
        <x:v>No</x:v>
      </x:c>
      <x:c r="E242" s="126" t="str">
        <x:v>Weapon (Glaive, Greatsword, Longsword, or Scimitar),</x:v>
      </x:c>
      <x:c r="F242" s="126" t="str"/>
      <x:c r="G242" s="127" t="str">
        <x:v>SRD 5.2.1 p. 250</x:v>
      </x:c>
    </x:row>
    <x:row r="243">
      <x:c r="A243" s="125" t="str">
        <x:v>Wand of Binding</x:v>
      </x:c>
      <x:c r="B243" s="126" t="str">
        <x:v>Wand</x:v>
      </x:c>
      <x:c r="C243" s="126" t="str">
        <x:v>Rare</x:v>
      </x:c>
      <x:c r="D243" s="126" t="str">
        <x:v>Yes</x:v>
      </x:c>
      <x:c r="E243" s="126" t="str">
        <x:v>Wand, Rare (Requires Attunement)</x:v>
      </x:c>
      <x:c r="F243" s="126" t="str"/>
      <x:c r="G243" s="127" t="str">
        <x:v>SRD 5.2.1 p. 250</x:v>
      </x:c>
    </x:row>
    <x:row r="244">
      <x:c r="A244" s="125" t="str">
        <x:v>Wand of Enemy Detection</x:v>
      </x:c>
      <x:c r="B244" s="126" t="str">
        <x:v>Wand</x:v>
      </x:c>
      <x:c r="C244" s="126" t="str">
        <x:v>Rare</x:v>
      </x:c>
      <x:c r="D244" s="126" t="str">
        <x:v>Yes</x:v>
      </x:c>
      <x:c r="E244" s="126" t="str">
        <x:v>Wand, Rare (Requires Attunement)</x:v>
      </x:c>
      <x:c r="F244" s="126" t="str"/>
      <x:c r="G244" s="127" t="str">
        <x:v>SRD 5.2.1 p. 250</x:v>
      </x:c>
    </x:row>
    <x:row r="245">
      <x:c r="A245" s="125" t="str">
        <x:v>Wand of Fear</x:v>
      </x:c>
      <x:c r="B245" s="126" t="str">
        <x:v>Wand</x:v>
      </x:c>
      <x:c r="C245" s="126" t="str">
        <x:v>Rare</x:v>
      </x:c>
      <x:c r="D245" s="126" t="str">
        <x:v>Yes</x:v>
      </x:c>
      <x:c r="E245" s="126" t="str">
        <x:v>Wand, Rare (Requires Attunement)</x:v>
      </x:c>
      <x:c r="F245" s="126" t="str"/>
      <x:c r="G245" s="127" t="str">
        <x:v>SRD 5.2.1 p. 250</x:v>
      </x:c>
    </x:row>
    <x:row r="246">
      <x:c r="A246" s="125" t="str">
        <x:v>Wand of Fireballs</x:v>
      </x:c>
      <x:c r="B246" s="126" t="str">
        <x:v>Wand</x:v>
      </x:c>
      <x:c r="C246" s="126" t="str">
        <x:v>Rare</x:v>
      </x:c>
      <x:c r="D246" s="126" t="str">
        <x:v>Yes</x:v>
      </x:c>
      <x:c r="E246" s="126" t="str">
        <x:v>Wand, Rare (Requires Attunement by a Spellcaster)</x:v>
      </x:c>
      <x:c r="F246" s="126" t="str"/>
      <x:c r="G246" s="127" t="str">
        <x:v>SRD 5.2.1 p. 250</x:v>
      </x:c>
    </x:row>
    <x:row r="247">
      <x:c r="A247" s="125" t="str">
        <x:v>Wand of Lightning Bolts</x:v>
      </x:c>
      <x:c r="B247" s="126" t="str">
        <x:v>Wand</x:v>
      </x:c>
      <x:c r="C247" s="126" t="str">
        <x:v>Rare</x:v>
      </x:c>
      <x:c r="D247" s="126" t="str">
        <x:v>Yes</x:v>
      </x:c>
      <x:c r="E247" s="126" t="str">
        <x:v>Wand, Rare (Requires Attunement by a Spellcaster)</x:v>
      </x:c>
      <x:c r="F247" s="126" t="str"/>
      <x:c r="G247" s="127" t="str">
        <x:v>SRD 5.2.1 p. 251</x:v>
      </x:c>
    </x:row>
    <x:row r="248">
      <x:c r="A248" s="125" t="str">
        <x:v>Wand of Magic Detection</x:v>
      </x:c>
      <x:c r="B248" s="126" t="str">
        <x:v>Wand</x:v>
      </x:c>
      <x:c r="C248" s="126" t="str">
        <x:v>Uncommon</x:v>
      </x:c>
      <x:c r="D248" s="126" t="str">
        <x:v>No</x:v>
      </x:c>
      <x:c r="E248" s="126" t="str">
        <x:v>Wand, Uncommon</x:v>
      </x:c>
      <x:c r="F248" s="126" t="str"/>
      <x:c r="G248" s="127" t="str">
        <x:v>SRD 5.2.1 p. 251</x:v>
      </x:c>
    </x:row>
    <x:row r="249">
      <x:c r="A249" s="125" t="str">
        <x:v>Wand of Magic Missiles</x:v>
      </x:c>
      <x:c r="B249" s="126" t="str">
        <x:v>Wand</x:v>
      </x:c>
      <x:c r="C249" s="126" t="str">
        <x:v>Uncommon</x:v>
      </x:c>
      <x:c r="D249" s="126" t="str">
        <x:v>No</x:v>
      </x:c>
      <x:c r="E249" s="126" t="str">
        <x:v>Wand, Uncommon</x:v>
      </x:c>
      <x:c r="F249" s="126" t="str"/>
      <x:c r="G249" s="127" t="str">
        <x:v>SRD 5.2.1 p. 251</x:v>
      </x:c>
    </x:row>
    <x:row r="250">
      <x:c r="A250" s="125" t="str">
        <x:v>Wand of Paralysis</x:v>
      </x:c>
      <x:c r="B250" s="126" t="str">
        <x:v>Wand</x:v>
      </x:c>
      <x:c r="C250" s="126" t="str">
        <x:v>Rare</x:v>
      </x:c>
      <x:c r="D250" s="126" t="str">
        <x:v>Yes</x:v>
      </x:c>
      <x:c r="E250" s="126" t="str">
        <x:v>Wand, Rare (Requires Attunement by a Spellcaster)</x:v>
      </x:c>
      <x:c r="F250" s="126" t="str"/>
      <x:c r="G250" s="127" t="str">
        <x:v>SRD 5.2.1 p. 251</x:v>
      </x:c>
    </x:row>
    <x:row r="251">
      <x:c r="A251" s="125" t="str">
        <x:v>Wand of Polymorph</x:v>
      </x:c>
      <x:c r="B251" s="126" t="str">
        <x:v>Wand</x:v>
      </x:c>
      <x:c r="C251" s="126" t="str">
        <x:v>Rare, Very Rare</x:v>
      </x:c>
      <x:c r="D251" s="126" t="str">
        <x:v>Yes</x:v>
      </x:c>
      <x:c r="E251" s="126" t="str">
        <x:v>Wand, Very Rare (Requires Attunement by a</x:v>
      </x:c>
      <x:c r="F251" s="126" t="str"/>
      <x:c r="G251" s="127" t="str">
        <x:v>SRD 5.2.1 p. 251</x:v>
      </x:c>
    </x:row>
    <x:row r="252">
      <x:c r="A252" s="125" t="str">
        <x:v>Wand of Secrets</x:v>
      </x:c>
      <x:c r="B252" s="126" t="str">
        <x:v>Wand</x:v>
      </x:c>
      <x:c r="C252" s="126" t="str">
        <x:v>Uncommon</x:v>
      </x:c>
      <x:c r="D252" s="126" t="str">
        <x:v>No</x:v>
      </x:c>
      <x:c r="E252" s="126" t="str">
        <x:v>Wand, Uncommon</x:v>
      </x:c>
      <x:c r="F252" s="126" t="str"/>
      <x:c r="G252" s="127" t="str">
        <x:v>SRD 5.2.1 p. 251</x:v>
      </x:c>
    </x:row>
    <x:row r="253">
      <x:c r="A253" s="125" t="str">
        <x:v>Wand of the War Mage, +1, +2, or +3</x:v>
      </x:c>
      <x:c r="B253" s="126" t="str">
        <x:v>Wand</x:v>
      </x:c>
      <x:c r="C253" s="126" t="str">
        <x:v>Uncommon, Rare, Very Rare</x:v>
      </x:c>
      <x:c r="D253" s="126" t="str">
        <x:v>No</x:v>
      </x:c>
      <x:c r="E253" s="126" t="str">
        <x:v>Wand, Uncommon (+1), Rare (+2), or Very Rare (+3)</x:v>
      </x:c>
      <x:c r="F253" s="126" t="str"/>
      <x:c r="G253" s="127" t="str">
        <x:v>SRD 5.2.1 p. 251</x:v>
      </x:c>
    </x:row>
    <x:row r="254">
      <x:c r="A254" s="125" t="str">
        <x:v>Wand of Web</x:v>
      </x:c>
      <x:c r="B254" s="126" t="str">
        <x:v>Wand</x:v>
      </x:c>
      <x:c r="C254" s="126" t="str">
        <x:v>Uncommon</x:v>
      </x:c>
      <x:c r="D254" s="126" t="str">
        <x:v>Yes</x:v>
      </x:c>
      <x:c r="E254" s="126" t="str">
        <x:v>Wand, Uncommon (Requires Attunement by a</x:v>
      </x:c>
      <x:c r="F254" s="126" t="str"/>
      <x:c r="G254" s="127" t="str">
        <x:v>SRD 5.2.1 p. 251</x:v>
      </x:c>
    </x:row>
    <x:row r="255">
      <x:c r="A255" s="125" t="str">
        <x:v>Wand of Wonder</x:v>
      </x:c>
      <x:c r="B255" s="126" t="str">
        <x:v>Wand</x:v>
      </x:c>
      <x:c r="C255" s="126" t="str">
        <x:v>Rare</x:v>
      </x:c>
      <x:c r="D255" s="126" t="str">
        <x:v>Yes</x:v>
      </x:c>
      <x:c r="E255" s="126" t="str">
        <x:v>Wand, Rare (Requires Attunement)</x:v>
      </x:c>
      <x:c r="F255" s="126" t="str"/>
      <x:c r="G255" s="127" t="str">
        <x:v>SRD 5.2.1 p. 251</x:v>
      </x:c>
    </x:row>
    <x:row r="256">
      <x:c r="A256" s="125" t="str">
        <x:v>Weapon, +1, +2, or +3</x:v>
      </x:c>
      <x:c r="B256" s="126" t="str">
        <x:v>Weapon</x:v>
      </x:c>
      <x:c r="C256" s="126" t="str">
        <x:v>Uncommon, Rare</x:v>
      </x:c>
      <x:c r="D256" s="126" t="str">
        <x:v>No</x:v>
      </x:c>
      <x:c r="E256" s="126" t="str">
        <x:v>Weapon (Any Simple or Martial), Uncommon (+1), Rare</x:v>
      </x:c>
      <x:c r="F256" s="126" t="str"/>
      <x:c r="G256" s="127" t="str">
        <x:v>SRD 5.2.1 p. 253</x:v>
      </x:c>
    </x:row>
    <x:row r="257">
      <x:c r="A257" s="125" t="str">
        <x:v>Weapon of Warning</x:v>
      </x:c>
      <x:c r="B257" s="126" t="str">
        <x:v>Weapon</x:v>
      </x:c>
      <x:c r="C257" s="126" t="str">
        <x:v>Uncommon</x:v>
      </x:c>
      <x:c r="D257" s="126" t="str">
        <x:v>No</x:v>
      </x:c>
      <x:c r="E257" s="126" t="str">
        <x:v>Weapon (Any Simple or Martial), Uncommon (Requires</x:v>
      </x:c>
      <x:c r="F257" s="126" t="str"/>
      <x:c r="G257" s="127" t="str">
        <x:v>SRD 5.2.1 p. 253</x:v>
      </x:c>
    </x:row>
    <x:row r="258">
      <x:c r="A258" s="125" t="str">
        <x:v>Well of Many Worlds</x:v>
      </x:c>
      <x:c r="B258" s="126" t="str">
        <x:v>Wondrous Item</x:v>
      </x:c>
      <x:c r="C258" s="126" t="str">
        <x:v>Legendary</x:v>
      </x:c>
      <x:c r="D258" s="126" t="str">
        <x:v>No</x:v>
      </x:c>
      <x:c r="E258" s="126" t="str">
        <x:v>Wondrous Item, Legendary</x:v>
      </x:c>
      <x:c r="F258" s="126" t="str"/>
      <x:c r="G258" s="127" t="str">
        <x:v>SRD 5.2.1 p. 253</x:v>
      </x:c>
    </x:row>
    <x:row r="259">
      <x:c r="A259" s="125" t="str">
        <x:v>Wind Fan</x:v>
      </x:c>
      <x:c r="B259" s="126" t="str">
        <x:v>Wondrous Item</x:v>
      </x:c>
      <x:c r="C259" s="126" t="str">
        <x:v>Uncommon</x:v>
      </x:c>
      <x:c r="D259" s="126" t="str">
        <x:v>No</x:v>
      </x:c>
      <x:c r="E259" s="126" t="str">
        <x:v>Wondrous Item, Uncommon</x:v>
      </x:c>
      <x:c r="F259" s="126" t="str"/>
      <x:c r="G259" s="127" t="str">
        <x:v>SRD 5.2.1 p. 253</x:v>
      </x:c>
    </x:row>
    <x:row r="260">
      <x:c r="A260" s="125" t="str">
        <x:v>Winged Boots</x:v>
      </x:c>
      <x:c r="B260" s="126" t="str">
        <x:v>Wondrous Item</x:v>
      </x:c>
      <x:c r="C260" s="126" t="str">
        <x:v>Uncommon</x:v>
      </x:c>
      <x:c r="D260" s="126" t="str">
        <x:v>Yes</x:v>
      </x:c>
      <x:c r="E260" s="126" t="str">
        <x:v>Wondrous Item, Uncommon (Requires Attunement)</x:v>
      </x:c>
      <x:c r="F260" s="126" t="str"/>
      <x:c r="G260" s="127" t="str">
        <x:v>SRD 5.2.1 p. 253</x:v>
      </x:c>
    </x:row>
    <x:row r="261">
      <x:c r="A261" s="128" t="str">
        <x:v>Wings of Flying</x:v>
      </x:c>
      <x:c r="B261" s="129" t="str">
        <x:v>Wondrous Item</x:v>
      </x:c>
      <x:c r="C261" s="129" t="str">
        <x:v>Rare</x:v>
      </x:c>
      <x:c r="D261" s="129" t="str">
        <x:v>Yes</x:v>
      </x:c>
      <x:c r="E261" s="129" t="str">
        <x:v>Wondrous Item, Rare (Requires Attunement)</x:v>
      </x:c>
      <x:c r="F261" s="129" t="str"/>
      <x:c r="G261" s="130" t="str">
        <x:v>SRD 5.2.1 p. 253</x:v>
      </x:c>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14" hidden="0" customWidth="1"/>
    <x:col min="2" max="2" width="18" hidden="0" customWidth="1"/>
    <x:col min="3" max="3" width="40" hidden="0" customWidth="1"/>
    <x:col min="4" max="4" width="40" hidden="0" customWidth="1"/>
    <x:col min="5" max="5" width="40" hidden="0" customWidth="1"/>
    <x:col min="6" max="6" width="10" hidden="0" customWidth="1"/>
    <x:col min="7" max="7" width="10" hidden="0" customWidth="1"/>
    <x:col min="8" max="8" width="10" hidden="0" customWidth="1"/>
  </x:cols>
  <x:sheetData>
    <x:row r="1">
      <x:c r="A1" s="144" t="str">
        <x:v>Equipment Guide</x:v>
      </x:c>
      <x:c r="B1" s="144" t="str"/>
      <x:c r="C1" s="144" t="str"/>
      <x:c r="D1" s="144" t="str"/>
      <x:c r="E1" s="144" t="str"/>
      <x:c r="F1" s="144" t="str"/>
      <x:c r="G1" s="144" t="str"/>
      <x:c r="H1" s="144" t="str"/>
    </x:row>
    <x:row r="2">
      <x:c r="A2" s="63" t="str">
        <x:v>Purpose</x:v>
      </x:c>
      <x:c r="B2" s="63" t="str">
        <x:v>This sheet explains how armor, weapons, equipment, and magic item databases connect to the combat tracker.</x:v>
      </x:c>
      <x:c r="C2" s="63" t="str"/>
      <x:c r="D2" s="63" t="str"/>
      <x:c r="E2" s="63" t="str"/>
      <x:c r="F2" s="63" t="str"/>
      <x:c r="G2" s="63" t="str"/>
      <x:c r="H2" s="63" t="str"/>
    </x:row>
    <x:row r="3">
      <x:c r="A3" s="134" t="str">
        <x:v>Workflow Step</x:v>
      </x:c>
      <x:c r="B3" s="134" t="str">
        <x:v>Tab</x:v>
      </x:c>
      <x:c r="C3" s="134" t="str">
        <x:v>What to do</x:v>
      </x:c>
      <x:c r="D3" s="134" t="str">
        <x:v>Result in Workbook</x:v>
      </x:c>
      <x:c r="E3" s="134" t="str">
        <x:v>Notes</x:v>
      </x:c>
      <x:c r="F3" s="134" t="str"/>
      <x:c r="G3" s="134" t="str"/>
      <x:c r="H3" s="134" t="str"/>
    </x:row>
    <x:row r="4">
      <x:c r="A4" s="63" t="str">
        <x:v>1</x:v>
      </x:c>
      <x:c r="B4" s="63" t="str">
        <x:v>Players</x:v>
      </x:c>
      <x:c r="C4" s="63" t="str">
        <x:v>Select Equipped Armor, Shield Equipped, Main Weapon, Offhand Weapon, Ranged Weapon, and Magic Item 1–3.</x:v>
      </x:c>
      <x:c r="D4" s="63" t="str">
        <x:v>Equipment AC and weapon damage helper fields populate automatically.</x:v>
      </x:c>
      <x:c r="E4" s="63" t="str">
        <x:v>Use Manual AC Override for class features, spells, or custom magic items.</x:v>
      </x:c>
      <x:c r="F4" s="63" t="str"/>
      <x:c r="G4" s="63" t="str"/>
      <x:c r="H4" s="63" t="str"/>
    </x:row>
    <x:row r="5">
      <x:c r="A5" s="63" t="str">
        <x:v>2</x:v>
      </x:c>
      <x:c r="B5" s="63" t="str">
        <x:v>Combatants</x:v>
      </x:c>
      <x:c r="C5" s="63" t="str">
        <x:v>Add players from the Players tab and monsters from Monster Database.</x:v>
      </x:c>
      <x:c r="D5" s="63" t="str">
        <x:v>Combatants pulls AC, HP, initiative, and other stats from the correct source.</x:v>
      </x:c>
      <x:c r="E5" s="63" t="str">
        <x:v>Override columns still supersede database values.</x:v>
      </x:c>
      <x:c r="F5" s="63" t="str"/>
      <x:c r="G5" s="63" t="str"/>
      <x:c r="H5" s="63" t="str"/>
    </x:row>
    <x:row r="6">
      <x:c r="A6" s="63" t="str">
        <x:v>3</x:v>
      </x:c>
      <x:c r="B6" s="63" t="str">
        <x:v>Turn Log</x:v>
      </x:c>
      <x:c r="C6" s="63" t="str">
        <x:v>Record each actor's action and select Weapon / Item Used when relevant.</x:v>
      </x:c>
      <x:c r="D6" s="63" t="str">
        <x:v>Attack Damage Formula populates from Weapons Database.</x:v>
      </x:c>
      <x:c r="E6" s="63" t="str">
        <x:v>Use notes for spells and non-weapon effects.</x:v>
      </x:c>
      <x:c r="F6" s="63" t="str"/>
      <x:c r="G6" s="63" t="str"/>
      <x:c r="H6" s="63" t="str"/>
    </x:row>
    <x:row r="7">
      <x:c r="A7" s="63" t="str">
        <x:v>4</x:v>
      </x:c>
      <x:c r="B7" s="63" t="str">
        <x:v>Action Targets</x:v>
      </x:c>
      <x:c r="C7" s="63" t="str">
        <x:v>Record per-target outcomes for attacks, spells, saves, damage, healing, and conditions.</x:v>
      </x:c>
      <x:c r="D7" s="63" t="str">
        <x:v>Weapon/item information can be tied to each target for multiattack or area effects.</x:v>
      </x:c>
      <x:c r="E7" s="63" t="str">
        <x:v>This is the best place to record mechanical results.</x:v>
      </x:c>
      <x:c r="F7" s="63" t="str"/>
      <x:c r="G7" s="63" t="str"/>
      <x:c r="H7" s="63" t="str"/>
    </x:row>
    <x:row r="8">
      <x:c r="A8" s="63" t="str">
        <x:v>5</x:v>
      </x:c>
      <x:c r="B8" s="63" t="str">
        <x:v>Summary Export</x:v>
      </x:c>
      <x:c r="C8" s="63" t="str">
        <x:v>Use the Turn Log and Action Targets to generate the combat narrative.</x:v>
      </x:c>
      <x:c r="D8" s="63" t="str">
        <x:v>Combat reports can mention the specific weapon or item used.</x:v>
      </x:c>
      <x:c r="E8" s="63" t="str">
        <x:v>Future VBA can automate the text export.</x:v>
      </x:c>
      <x:c r="F8" s="63" t="str"/>
      <x:c r="G8" s="63" t="str"/>
      <x:c r="H8" s="63" t="str"/>
    </x:row>
    <x:row r="9">
      <x:c r="A9" s="63" t="str">
        <x:v>Source</x:v>
      </x:c>
      <x:c r="B9" s="63" t="str">
        <x:v>SRD 5.2.1 by Wizards of the Coast LLC, available at https://www.dndbeyond.com/srd. Licensed under CC-BY-4.0.</x:v>
      </x:c>
      <x:c r="C9" s="63" t="str"/>
      <x:c r="D9" s="63" t="str"/>
      <x:c r="E9" s="63" t="str"/>
      <x:c r="F9" s="63" t="str"/>
      <x:c r="G9" s="63" t="str"/>
      <x:c r="H9" s="63" t="str"/>
    </x:row>
  </x:sheetData>
  <x:pageMargins left="0.7" right="0.7" top="0.75" bottom="0.75" header="0.3" footer="0.3"/>
</x:worksheet>
</file>